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Customers" sheetId="2" state="visible" r:id="rId4"/>
    <sheet name="Invoi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de-learning</author>
  </authors>
  <commentList>
    <comment ref="B2" authorId="0">
      <text>
        <r>
          <rPr>
            <sz val="10"/>
            <rFont val="Arial"/>
            <family val="2"/>
          </rPr>
          <t xml:space="preserve">TODO: Ngày mua đầu tiên (MINIFS, chỉ Type = "Sale")</t>
        </r>
      </text>
    </comment>
    <comment ref="C2" authorId="0">
      <text>
        <r>
          <rPr>
            <sz val="10"/>
            <rFont val="Arial"/>
            <family val="2"/>
          </rPr>
          <t xml:space="preserve">TODO: Ngày mua gần nhất (MAXIFS)</t>
        </r>
      </text>
    </comment>
    <comment ref="D2" authorId="0">
      <text>
        <r>
          <rPr>
            <sz val="10"/>
            <rFont val="Arial"/>
            <family val="2"/>
          </rPr>
          <t xml:space="preserve">TODO: Số hoá đơn bán (COUNTIFS)</t>
        </r>
      </text>
    </comment>
    <comment ref="E2" authorId="0">
      <text>
        <r>
          <rPr>
            <sz val="10"/>
            <rFont val="Arial"/>
            <family val="2"/>
          </rPr>
          <t xml:space="preserve">TODO: Doanh thu gộp (SUMIFS, chỉ Sale)</t>
        </r>
      </text>
    </comment>
    <comment ref="F2" authorId="0">
      <text>
        <r>
          <rPr>
            <sz val="10"/>
            <rFont val="Arial"/>
            <family val="2"/>
          </rPr>
          <t xml:space="preserve">TODO: Số tháng tròn từ lần mua đầu tới lần mua cuối (DATEDIF "m")</t>
        </r>
      </text>
    </comment>
    <comment ref="G2" authorId="0">
      <text>
        <r>
          <rPr>
            <sz val="10"/>
            <rFont val="Arial"/>
            <family val="2"/>
          </rPr>
          <t xml:space="preserve">TODO: Số ngày từ lần mua cuối tới ngày báo cáo L1 (DATEDIF "d", tham chiếu tuyệt đối $L$1)</t>
        </r>
      </text>
    </comment>
    <comment ref="H2" authorId="0">
      <text>
        <r>
          <rPr>
            <sz val="10"/>
            <rFont val="Arial"/>
            <family val="2"/>
          </rPr>
          <t xml:space="preserve">TODO: IF lồng: ≤ 90 ngày "Active", ≤ 180 "At risk", còn lại "Lost"</t>
        </r>
      </text>
    </comment>
    <comment ref="L4" authorId="0">
      <text>
        <r>
          <rPr>
            <sz val="10"/>
            <rFont val="Arial"/>
            <family val="2"/>
          </rPr>
          <t xml:space="preserve">TODO: Tạo Data Validation dạng List: Active,At risk,Lost; rồi chọn một giá trị</t>
        </r>
      </text>
    </comment>
    <comment ref="L5" authorId="0">
      <text>
        <r>
          <rPr>
            <sz val="10"/>
            <rFont val="Arial"/>
            <family val="2"/>
          </rPr>
          <t xml:space="preserve">TODO: COUNTIF / SUMIFS / chia theo segment ở L4</t>
        </r>
      </text>
    </comment>
    <comment ref="L6" authorId="0">
      <text>
        <r>
          <rPr>
            <sz val="10"/>
            <rFont val="Arial"/>
            <family val="2"/>
          </rPr>
          <t xml:space="preserve">TODO: COUNTIF / SUMIFS / chia theo segment ở L4</t>
        </r>
      </text>
    </comment>
    <comment ref="L7" authorId="0">
      <text>
        <r>
          <rPr>
            <sz val="10"/>
            <rFont val="Arial"/>
            <family val="2"/>
          </rPr>
          <t xml:space="preserve">TODO: COUNTIF / SUMIFS / chia theo segment ở L4</t>
        </r>
      </text>
    </comment>
  </commentList>
</comments>
</file>

<file path=xl/sharedStrings.xml><?xml version="1.0" encoding="utf-8"?>
<sst xmlns="http://schemas.openxmlformats.org/spreadsheetml/2006/main" count="2607" uniqueCount="909">
  <si>
    <t xml:space="preserve">Bài intermediate 01 — Recency và tuổi khách bằng DATEDIF, MINIFS/MAXIFS</t>
  </si>
  <si>
    <t xml:space="preserve">Nguồn dữ liệu</t>
  </si>
  <si>
    <t xml:space="preserve">Online Retail II (UCI Machine Learning Repository, Daqing Chen, 2019), https://archive.ics.uci.edu/dataset/502/online+retail+ii — giấy phép CC BY 4.0</t>
  </si>
  <si>
    <t xml:space="preserve">Trích mẫu</t>
  </si>
  <si>
    <t xml:space="preserve">Invoices: 855 hoá đơn của 120 khách chọn ngẫu nhiên (seed 5) trong cả hai sheet (bỏ phần trùng 01–09/12/2010), gộp từ dòng bằng Python: InvoiceTotal = tổng Quantity * Price của dòng hợp lệ (đơn bán) hoặc của dòng huỷ (đơn Cancel, số âm). Chỉ khách có Customer ID. Ngày hoá đơn chỉ giữ phần ngày.</t>
  </si>
  <si>
    <t xml:space="preserve">Giấy phép</t>
  </si>
  <si>
    <t xml:space="preserve">CC BY 4.0: được chia sẻ và chỉnh sửa, phải ghi nguồn như trên. Trích mẫu này chỉ để học.</t>
  </si>
  <si>
    <t xml:space="preserve">Quy ước</t>
  </si>
  <si>
    <t xml:space="preserve">Ô nền vàng là ô TODO: điền CÔNG THỨC (bắt đầu bằng =), không gõ số. Test đọc cả công thức lẫn giá trị.</t>
  </si>
  <si>
    <t xml:space="preserve">Lưu tệp</t>
  </si>
  <si>
    <t xml:space="preserve">LibreOffice: File &gt; Save, chọn 'Use Excel 2007-365!' (giữ định dạng .xlsx). Excel: Ctrl+S.</t>
  </si>
  <si>
    <t xml:space="preserve">Chạy test</t>
  </si>
  <si>
    <t xml:space="preserve">uv run pytest &lt;thư mục bài&gt; -q (xem lệnh trong đề bài trên app)</t>
  </si>
  <si>
    <t xml:space="preserve">Việc cần làm</t>
  </si>
  <si>
    <t xml:space="preserve">1. Sheet Customers: điền công thức hàng 2 các cột B–H (ô vàng), kéo xuống hết 120 khách.</t>
  </si>
  <si>
    <t xml:space="preserve">2. Ô L4: tạo Data Validation (Data &gt; Validity / Data Validation) dạng danh sách Active, At risk, Lost; L5:L7 tính theo L4.</t>
  </si>
  <si>
    <t xml:space="preserve">3. Thêm Conditional Formatting cho H2:H121: ô bằng Lost thì tô nền đỏ nhạt.</t>
  </si>
  <si>
    <t xml:space="preserve">4. Ngưỡng 90/180 ngày là ví dụ giả định của team CRM, không phải chuẩn ngành.</t>
  </si>
  <si>
    <t xml:space="preserve">5. Lưu .xlsx rồi chạy test.</t>
  </si>
  <si>
    <t xml:space="preserve">Customer ID</t>
  </si>
  <si>
    <t xml:space="preserve">FirstPurchase</t>
  </si>
  <si>
    <t xml:space="preserve">LastPurchase</t>
  </si>
  <si>
    <t xml:space="preserve">Orders</t>
  </si>
  <si>
    <t xml:space="preserve">Revenue</t>
  </si>
  <si>
    <t xml:space="preserve">TenureMonths</t>
  </si>
  <si>
    <t xml:space="preserve">DaysSinceLast</t>
  </si>
  <si>
    <t xml:space="preserve">Segment</t>
  </si>
  <si>
    <t xml:space="preserve">Ngày báo cáo</t>
  </si>
  <si>
    <t xml:space="preserve">Tra cứu theo segment</t>
  </si>
  <si>
    <t xml:space="preserve">Segment (chọn từ danh sách)</t>
  </si>
  <si>
    <t xml:space="preserve">At risk</t>
  </si>
  <si>
    <t xml:space="preserve">Số khách</t>
  </si>
  <si>
    <t xml:space="preserve">Doanh thu gộp (GBP)</t>
  </si>
  <si>
    <t xml:space="preserve">Doanh thu TB mỗi khách</t>
  </si>
  <si>
    <t xml:space="preserve">Định dạng có điều kiện: tô đỏ các ô H2:H121 có giá trị Lost (TODO)</t>
  </si>
  <si>
    <t xml:space="preserve">Invoice</t>
  </si>
  <si>
    <t xml:space="preserve">InvoiceDate</t>
  </si>
  <si>
    <t xml:space="preserve">Country</t>
  </si>
  <si>
    <t xml:space="preserve">Lines</t>
  </si>
  <si>
    <t xml:space="preserve">InvoiceTotal</t>
  </si>
  <si>
    <t xml:space="preserve">Type</t>
  </si>
  <si>
    <t xml:space="preserve">489434</t>
  </si>
  <si>
    <t xml:space="preserve">United Kingdom</t>
  </si>
  <si>
    <t xml:space="preserve">Sale</t>
  </si>
  <si>
    <t xml:space="preserve">489435</t>
  </si>
  <si>
    <t xml:space="preserve">489582</t>
  </si>
  <si>
    <t xml:space="preserve">489688</t>
  </si>
  <si>
    <t xml:space="preserve">489725</t>
  </si>
  <si>
    <t xml:space="preserve">489726</t>
  </si>
  <si>
    <t xml:space="preserve">489727</t>
  </si>
  <si>
    <t xml:space="preserve">489891</t>
  </si>
  <si>
    <t xml:space="preserve">489910</t>
  </si>
  <si>
    <t xml:space="preserve">490002</t>
  </si>
  <si>
    <t xml:space="preserve">490019</t>
  </si>
  <si>
    <t xml:space="preserve">490020</t>
  </si>
  <si>
    <t xml:space="preserve">490021</t>
  </si>
  <si>
    <t xml:space="preserve">490022</t>
  </si>
  <si>
    <t xml:space="preserve">490064</t>
  </si>
  <si>
    <t xml:space="preserve">490068</t>
  </si>
  <si>
    <t xml:space="preserve">490069</t>
  </si>
  <si>
    <t xml:space="preserve">490086</t>
  </si>
  <si>
    <t xml:space="preserve">490089</t>
  </si>
  <si>
    <t xml:space="preserve">490091</t>
  </si>
  <si>
    <t xml:space="preserve">490094</t>
  </si>
  <si>
    <t xml:space="preserve">C490129</t>
  </si>
  <si>
    <t xml:space="preserve">Cancel</t>
  </si>
  <si>
    <t xml:space="preserve">C490133</t>
  </si>
  <si>
    <t xml:space="preserve">490212</t>
  </si>
  <si>
    <t xml:space="preserve">490229</t>
  </si>
  <si>
    <t xml:space="preserve">490326</t>
  </si>
  <si>
    <t xml:space="preserve">490353</t>
  </si>
  <si>
    <t xml:space="preserve">490612</t>
  </si>
  <si>
    <t xml:space="preserve">Greece</t>
  </si>
  <si>
    <t xml:space="preserve">490625</t>
  </si>
  <si>
    <t xml:space="preserve">490752</t>
  </si>
  <si>
    <t xml:space="preserve">490761</t>
  </si>
  <si>
    <t xml:space="preserve">491009</t>
  </si>
  <si>
    <t xml:space="preserve">C491012</t>
  </si>
  <si>
    <t xml:space="preserve">491124</t>
  </si>
  <si>
    <t xml:space="preserve">491314</t>
  </si>
  <si>
    <t xml:space="preserve">C491461</t>
  </si>
  <si>
    <t xml:space="preserve">491737</t>
  </si>
  <si>
    <t xml:space="preserve">491757</t>
  </si>
  <si>
    <t xml:space="preserve">492021</t>
  </si>
  <si>
    <t xml:space="preserve">492022</t>
  </si>
  <si>
    <t xml:space="preserve">492202</t>
  </si>
  <si>
    <t xml:space="preserve">492239</t>
  </si>
  <si>
    <t xml:space="preserve">C492320</t>
  </si>
  <si>
    <t xml:space="preserve">492449</t>
  </si>
  <si>
    <t xml:space="preserve">492519</t>
  </si>
  <si>
    <t xml:space="preserve">492582</t>
  </si>
  <si>
    <t xml:space="preserve">C492633</t>
  </si>
  <si>
    <t xml:space="preserve">C492678</t>
  </si>
  <si>
    <t xml:space="preserve">492875</t>
  </si>
  <si>
    <t xml:space="preserve">492954</t>
  </si>
  <si>
    <t xml:space="preserve">493375</t>
  </si>
  <si>
    <t xml:space="preserve">C493538</t>
  </si>
  <si>
    <t xml:space="preserve">493609</t>
  </si>
  <si>
    <t xml:space="preserve">493613</t>
  </si>
  <si>
    <t xml:space="preserve">493793</t>
  </si>
  <si>
    <t xml:space="preserve">493794</t>
  </si>
  <si>
    <t xml:space="preserve">493965</t>
  </si>
  <si>
    <t xml:space="preserve">494118</t>
  </si>
  <si>
    <t xml:space="preserve">494456</t>
  </si>
  <si>
    <t xml:space="preserve">494473</t>
  </si>
  <si>
    <t xml:space="preserve">494630</t>
  </si>
  <si>
    <t xml:space="preserve">Netherlands</t>
  </si>
  <si>
    <t xml:space="preserve">494783</t>
  </si>
  <si>
    <t xml:space="preserve">494898</t>
  </si>
  <si>
    <t xml:space="preserve">494904</t>
  </si>
  <si>
    <t xml:space="preserve">C494984</t>
  </si>
  <si>
    <t xml:space="preserve">494987</t>
  </si>
  <si>
    <t xml:space="preserve">494996</t>
  </si>
  <si>
    <t xml:space="preserve">495010</t>
  </si>
  <si>
    <t xml:space="preserve">495011</t>
  </si>
  <si>
    <t xml:space="preserve">495077</t>
  </si>
  <si>
    <t xml:space="preserve">495240</t>
  </si>
  <si>
    <t xml:space="preserve">495242</t>
  </si>
  <si>
    <t xml:space="preserve">495354</t>
  </si>
  <si>
    <t xml:space="preserve">C495585</t>
  </si>
  <si>
    <t xml:space="preserve">495755</t>
  </si>
  <si>
    <t xml:space="preserve">C495924</t>
  </si>
  <si>
    <t xml:space="preserve">C495961</t>
  </si>
  <si>
    <t xml:space="preserve">C496000</t>
  </si>
  <si>
    <t xml:space="preserve">496007</t>
  </si>
  <si>
    <t xml:space="preserve">496070</t>
  </si>
  <si>
    <t xml:space="preserve">496092</t>
  </si>
  <si>
    <t xml:space="preserve">496097</t>
  </si>
  <si>
    <t xml:space="preserve">C496114</t>
  </si>
  <si>
    <t xml:space="preserve">496115</t>
  </si>
  <si>
    <t xml:space="preserve">C496116</t>
  </si>
  <si>
    <t xml:space="preserve">496166</t>
  </si>
  <si>
    <t xml:space="preserve">496428</t>
  </si>
  <si>
    <t xml:space="preserve">496473</t>
  </si>
  <si>
    <t xml:space="preserve">496519</t>
  </si>
  <si>
    <t xml:space="preserve">496710</t>
  </si>
  <si>
    <t xml:space="preserve">496864</t>
  </si>
  <si>
    <t xml:space="preserve">Austria</t>
  </si>
  <si>
    <t xml:space="preserve">496959</t>
  </si>
  <si>
    <t xml:space="preserve">496962</t>
  </si>
  <si>
    <t xml:space="preserve">496963</t>
  </si>
  <si>
    <t xml:space="preserve">496981</t>
  </si>
  <si>
    <t xml:space="preserve">C497041</t>
  </si>
  <si>
    <t xml:space="preserve">497233</t>
  </si>
  <si>
    <t xml:space="preserve">497235</t>
  </si>
  <si>
    <t xml:space="preserve">497368</t>
  </si>
  <si>
    <t xml:space="preserve">497523</t>
  </si>
  <si>
    <t xml:space="preserve">497706</t>
  </si>
  <si>
    <t xml:space="preserve">497711</t>
  </si>
  <si>
    <t xml:space="preserve">497955</t>
  </si>
  <si>
    <t xml:space="preserve">498457</t>
  </si>
  <si>
    <t xml:space="preserve">498505</t>
  </si>
  <si>
    <t xml:space="preserve">C498506</t>
  </si>
  <si>
    <t xml:space="preserve">C498607</t>
  </si>
  <si>
    <t xml:space="preserve">498706</t>
  </si>
  <si>
    <t xml:space="preserve">498900</t>
  </si>
  <si>
    <t xml:space="preserve">499029</t>
  </si>
  <si>
    <t xml:space="preserve">499163</t>
  </si>
  <si>
    <t xml:space="preserve">499169</t>
  </si>
  <si>
    <t xml:space="preserve">C499280</t>
  </si>
  <si>
    <t xml:space="preserve">499302</t>
  </si>
  <si>
    <t xml:space="preserve">499312</t>
  </si>
  <si>
    <t xml:space="preserve">499473</t>
  </si>
  <si>
    <t xml:space="preserve">499770</t>
  </si>
  <si>
    <t xml:space="preserve">500116</t>
  </si>
  <si>
    <t xml:space="preserve">500166</t>
  </si>
  <si>
    <t xml:space="preserve">500183</t>
  </si>
  <si>
    <t xml:space="preserve">500300</t>
  </si>
  <si>
    <t xml:space="preserve">500374</t>
  </si>
  <si>
    <t xml:space="preserve">500458</t>
  </si>
  <si>
    <t xml:space="preserve">500564</t>
  </si>
  <si>
    <t xml:space="preserve">500566</t>
  </si>
  <si>
    <t xml:space="preserve">501159</t>
  </si>
  <si>
    <t xml:space="preserve">501181</t>
  </si>
  <si>
    <t xml:space="preserve">501251</t>
  </si>
  <si>
    <t xml:space="preserve">501256</t>
  </si>
  <si>
    <t xml:space="preserve">501257</t>
  </si>
  <si>
    <t xml:space="preserve">501261</t>
  </si>
  <si>
    <t xml:space="preserve">501263</t>
  </si>
  <si>
    <t xml:space="preserve">501265</t>
  </si>
  <si>
    <t xml:space="preserve">501432</t>
  </si>
  <si>
    <t xml:space="preserve">501445</t>
  </si>
  <si>
    <t xml:space="preserve">501546</t>
  </si>
  <si>
    <t xml:space="preserve">501687</t>
  </si>
  <si>
    <t xml:space="preserve">501691</t>
  </si>
  <si>
    <t xml:space="preserve">501712</t>
  </si>
  <si>
    <t xml:space="preserve">501714</t>
  </si>
  <si>
    <t xml:space="preserve">501881</t>
  </si>
  <si>
    <t xml:space="preserve">C501915</t>
  </si>
  <si>
    <t xml:space="preserve">501918</t>
  </si>
  <si>
    <t xml:space="preserve">502256</t>
  </si>
  <si>
    <t xml:space="preserve">C502295</t>
  </si>
  <si>
    <t xml:space="preserve">C502325</t>
  </si>
  <si>
    <t xml:space="preserve">502594</t>
  </si>
  <si>
    <t xml:space="preserve">502607</t>
  </si>
  <si>
    <t xml:space="preserve">502615</t>
  </si>
  <si>
    <t xml:space="preserve">502692</t>
  </si>
  <si>
    <t xml:space="preserve">502723</t>
  </si>
  <si>
    <t xml:space="preserve">502817</t>
  </si>
  <si>
    <t xml:space="preserve">502876</t>
  </si>
  <si>
    <t xml:space="preserve">502902</t>
  </si>
  <si>
    <t xml:space="preserve">C503208</t>
  </si>
  <si>
    <t xml:space="preserve">503252</t>
  </si>
  <si>
    <t xml:space="preserve">503599</t>
  </si>
  <si>
    <t xml:space="preserve">503600</t>
  </si>
  <si>
    <t xml:space="preserve">503602</t>
  </si>
  <si>
    <t xml:space="preserve">C503610</t>
  </si>
  <si>
    <t xml:space="preserve">503613</t>
  </si>
  <si>
    <t xml:space="preserve">503854</t>
  </si>
  <si>
    <t xml:space="preserve">503921</t>
  </si>
  <si>
    <t xml:space="preserve">503984</t>
  </si>
  <si>
    <t xml:space="preserve">C504275</t>
  </si>
  <si>
    <t xml:space="preserve">C504362</t>
  </si>
  <si>
    <t xml:space="preserve">504646</t>
  </si>
  <si>
    <t xml:space="preserve">C504648</t>
  </si>
  <si>
    <t xml:space="preserve">504826</t>
  </si>
  <si>
    <t xml:space="preserve">C504843</t>
  </si>
  <si>
    <t xml:space="preserve">504851</t>
  </si>
  <si>
    <t xml:space="preserve">504856</t>
  </si>
  <si>
    <t xml:space="preserve">504886</t>
  </si>
  <si>
    <t xml:space="preserve">504896</t>
  </si>
  <si>
    <t xml:space="preserve">504897</t>
  </si>
  <si>
    <t xml:space="preserve">505019</t>
  </si>
  <si>
    <t xml:space="preserve">505235</t>
  </si>
  <si>
    <t xml:space="preserve">505559</t>
  </si>
  <si>
    <t xml:space="preserve">505560</t>
  </si>
  <si>
    <t xml:space="preserve">505641</t>
  </si>
  <si>
    <t xml:space="preserve">506276</t>
  </si>
  <si>
    <t xml:space="preserve">506277</t>
  </si>
  <si>
    <t xml:space="preserve">506386</t>
  </si>
  <si>
    <t xml:space="preserve">506387</t>
  </si>
  <si>
    <t xml:space="preserve">506458</t>
  </si>
  <si>
    <t xml:space="preserve">506468</t>
  </si>
  <si>
    <t xml:space="preserve">506570</t>
  </si>
  <si>
    <t xml:space="preserve">506713</t>
  </si>
  <si>
    <t xml:space="preserve">507054</t>
  </si>
  <si>
    <t xml:space="preserve">C507131</t>
  </si>
  <si>
    <t xml:space="preserve">507207</t>
  </si>
  <si>
    <t xml:space="preserve">507244</t>
  </si>
  <si>
    <t xml:space="preserve">507245</t>
  </si>
  <si>
    <t xml:space="preserve">507248</t>
  </si>
  <si>
    <t xml:space="preserve">507440</t>
  </si>
  <si>
    <t xml:space="preserve">507620</t>
  </si>
  <si>
    <t xml:space="preserve">508040</t>
  </si>
  <si>
    <t xml:space="preserve">C508244</t>
  </si>
  <si>
    <t xml:space="preserve">508464</t>
  </si>
  <si>
    <t xml:space="preserve">508465</t>
  </si>
  <si>
    <t xml:space="preserve">508466</t>
  </si>
  <si>
    <t xml:space="preserve">508735</t>
  </si>
  <si>
    <t xml:space="preserve">C508738</t>
  </si>
  <si>
    <t xml:space="preserve">508807</t>
  </si>
  <si>
    <t xml:space="preserve">508997</t>
  </si>
  <si>
    <t xml:space="preserve">509024</t>
  </si>
  <si>
    <t xml:space="preserve">509211</t>
  </si>
  <si>
    <t xml:space="preserve">509640</t>
  </si>
  <si>
    <t xml:space="preserve">510060</t>
  </si>
  <si>
    <t xml:space="preserve">C510220</t>
  </si>
  <si>
    <t xml:space="preserve">510225</t>
  </si>
  <si>
    <t xml:space="preserve">510354</t>
  </si>
  <si>
    <t xml:space="preserve">Germany</t>
  </si>
  <si>
    <t xml:space="preserve">510497</t>
  </si>
  <si>
    <t xml:space="preserve">510498</t>
  </si>
  <si>
    <t xml:space="preserve">510505</t>
  </si>
  <si>
    <t xml:space="preserve">C510809</t>
  </si>
  <si>
    <t xml:space="preserve">C510832</t>
  </si>
  <si>
    <t xml:space="preserve">511037</t>
  </si>
  <si>
    <t xml:space="preserve">511047</t>
  </si>
  <si>
    <t xml:space="preserve">511185</t>
  </si>
  <si>
    <t xml:space="preserve">511331</t>
  </si>
  <si>
    <t xml:space="preserve">C511649</t>
  </si>
  <si>
    <t xml:space="preserve">511710</t>
  </si>
  <si>
    <t xml:space="preserve">511816</t>
  </si>
  <si>
    <t xml:space="preserve">511818</t>
  </si>
  <si>
    <t xml:space="preserve">511859</t>
  </si>
  <si>
    <t xml:space="preserve">511860</t>
  </si>
  <si>
    <t xml:space="preserve">512055</t>
  </si>
  <si>
    <t xml:space="preserve">512060</t>
  </si>
  <si>
    <t xml:space="preserve">512089</t>
  </si>
  <si>
    <t xml:space="preserve">512117</t>
  </si>
  <si>
    <t xml:space="preserve">512518</t>
  </si>
  <si>
    <t xml:space="preserve">512536</t>
  </si>
  <si>
    <t xml:space="preserve">512909</t>
  </si>
  <si>
    <t xml:space="preserve">513163</t>
  </si>
  <si>
    <t xml:space="preserve">513276</t>
  </si>
  <si>
    <t xml:space="preserve">513315</t>
  </si>
  <si>
    <t xml:space="preserve">513492</t>
  </si>
  <si>
    <t xml:space="preserve">513493</t>
  </si>
  <si>
    <t xml:space="preserve">513616</t>
  </si>
  <si>
    <t xml:space="preserve">513617</t>
  </si>
  <si>
    <t xml:space="preserve">513960</t>
  </si>
  <si>
    <t xml:space="preserve">513993</t>
  </si>
  <si>
    <t xml:space="preserve">514021</t>
  </si>
  <si>
    <t xml:space="preserve">514274</t>
  </si>
  <si>
    <t xml:space="preserve">514310</t>
  </si>
  <si>
    <t xml:space="preserve">514359</t>
  </si>
  <si>
    <t xml:space="preserve">514389</t>
  </si>
  <si>
    <t xml:space="preserve">C514526</t>
  </si>
  <si>
    <t xml:space="preserve">514583</t>
  </si>
  <si>
    <t xml:space="preserve">514940</t>
  </si>
  <si>
    <t xml:space="preserve">515123</t>
  </si>
  <si>
    <t xml:space="preserve">C515125</t>
  </si>
  <si>
    <t xml:space="preserve">515128</t>
  </si>
  <si>
    <t xml:space="preserve">C515133</t>
  </si>
  <si>
    <t xml:space="preserve">C515139</t>
  </si>
  <si>
    <t xml:space="preserve">515146</t>
  </si>
  <si>
    <t xml:space="preserve">C515422</t>
  </si>
  <si>
    <t xml:space="preserve">515424</t>
  </si>
  <si>
    <t xml:space="preserve">515485</t>
  </si>
  <si>
    <t xml:space="preserve">515503</t>
  </si>
  <si>
    <t xml:space="preserve">515568</t>
  </si>
  <si>
    <t xml:space="preserve">C515618</t>
  </si>
  <si>
    <t xml:space="preserve">515774</t>
  </si>
  <si>
    <t xml:space="preserve">C515788</t>
  </si>
  <si>
    <t xml:space="preserve">515842</t>
  </si>
  <si>
    <t xml:space="preserve">515924</t>
  </si>
  <si>
    <t xml:space="preserve">515926</t>
  </si>
  <si>
    <t xml:space="preserve">515934</t>
  </si>
  <si>
    <t xml:space="preserve">515938</t>
  </si>
  <si>
    <t xml:space="preserve">C515979</t>
  </si>
  <si>
    <t xml:space="preserve">516158</t>
  </si>
  <si>
    <t xml:space="preserve">C516159</t>
  </si>
  <si>
    <t xml:space="preserve">516201</t>
  </si>
  <si>
    <t xml:space="preserve">516535</t>
  </si>
  <si>
    <t xml:space="preserve">C516580</t>
  </si>
  <si>
    <t xml:space="preserve">516840</t>
  </si>
  <si>
    <t xml:space="preserve">516967</t>
  </si>
  <si>
    <t xml:space="preserve">517130</t>
  </si>
  <si>
    <t xml:space="preserve">517391</t>
  </si>
  <si>
    <t xml:space="preserve">517457</t>
  </si>
  <si>
    <t xml:space="preserve">C517544</t>
  </si>
  <si>
    <t xml:space="preserve">517554</t>
  </si>
  <si>
    <t xml:space="preserve">518055</t>
  </si>
  <si>
    <t xml:space="preserve">518139</t>
  </si>
  <si>
    <t xml:space="preserve">518200</t>
  </si>
  <si>
    <t xml:space="preserve">518414</t>
  </si>
  <si>
    <t xml:space="preserve">518427</t>
  </si>
  <si>
    <t xml:space="preserve">518623</t>
  </si>
  <si>
    <t xml:space="preserve">C518997</t>
  </si>
  <si>
    <t xml:space="preserve">519029</t>
  </si>
  <si>
    <t xml:space="preserve">519098</t>
  </si>
  <si>
    <t xml:space="preserve">519124</t>
  </si>
  <si>
    <t xml:space="preserve">519176</t>
  </si>
  <si>
    <t xml:space="preserve">519226</t>
  </si>
  <si>
    <t xml:space="preserve">519260</t>
  </si>
  <si>
    <t xml:space="preserve">519409</t>
  </si>
  <si>
    <t xml:space="preserve">519783</t>
  </si>
  <si>
    <t xml:space="preserve">519805</t>
  </si>
  <si>
    <t xml:space="preserve">519817</t>
  </si>
  <si>
    <t xml:space="preserve">519824</t>
  </si>
  <si>
    <t xml:space="preserve">519936</t>
  </si>
  <si>
    <t xml:space="preserve">C519949</t>
  </si>
  <si>
    <t xml:space="preserve">520039</t>
  </si>
  <si>
    <t xml:space="preserve">520052</t>
  </si>
  <si>
    <t xml:space="preserve">520181</t>
  </si>
  <si>
    <t xml:space="preserve">520343</t>
  </si>
  <si>
    <t xml:space="preserve">520370</t>
  </si>
  <si>
    <t xml:space="preserve">520380</t>
  </si>
  <si>
    <t xml:space="preserve">520695</t>
  </si>
  <si>
    <t xml:space="preserve">520857</t>
  </si>
  <si>
    <t xml:space="preserve">520874</t>
  </si>
  <si>
    <t xml:space="preserve">C520967</t>
  </si>
  <si>
    <t xml:space="preserve">C521009</t>
  </si>
  <si>
    <t xml:space="preserve">521173</t>
  </si>
  <si>
    <t xml:space="preserve">521186</t>
  </si>
  <si>
    <t xml:space="preserve">521314</t>
  </si>
  <si>
    <t xml:space="preserve">522111</t>
  </si>
  <si>
    <t xml:space="preserve">522618</t>
  </si>
  <si>
    <t xml:space="preserve">522907</t>
  </si>
  <si>
    <t xml:space="preserve">522932</t>
  </si>
  <si>
    <t xml:space="preserve">522934</t>
  </si>
  <si>
    <t xml:space="preserve">522936</t>
  </si>
  <si>
    <t xml:space="preserve">523168</t>
  </si>
  <si>
    <t xml:space="preserve">523198</t>
  </si>
  <si>
    <t xml:space="preserve">523315</t>
  </si>
  <si>
    <t xml:space="preserve">C523401</t>
  </si>
  <si>
    <t xml:space="preserve">523536</t>
  </si>
  <si>
    <t xml:space="preserve">523563</t>
  </si>
  <si>
    <t xml:space="preserve">523580</t>
  </si>
  <si>
    <t xml:space="preserve">523581</t>
  </si>
  <si>
    <t xml:space="preserve">523582</t>
  </si>
  <si>
    <t xml:space="preserve">523786</t>
  </si>
  <si>
    <t xml:space="preserve">523970</t>
  </si>
  <si>
    <t xml:space="preserve">524027</t>
  </si>
  <si>
    <t xml:space="preserve">524224</t>
  </si>
  <si>
    <t xml:space="preserve">524517</t>
  </si>
  <si>
    <t xml:space="preserve">C524695</t>
  </si>
  <si>
    <t xml:space="preserve">524833</t>
  </si>
  <si>
    <t xml:space="preserve">524838</t>
  </si>
  <si>
    <t xml:space="preserve">525054</t>
  </si>
  <si>
    <t xml:space="preserve">525291</t>
  </si>
  <si>
    <t xml:space="preserve">525747</t>
  </si>
  <si>
    <t xml:space="preserve">C525758</t>
  </si>
  <si>
    <t xml:space="preserve">525872</t>
  </si>
  <si>
    <t xml:space="preserve">Australia</t>
  </si>
  <si>
    <t xml:space="preserve">525943</t>
  </si>
  <si>
    <t xml:space="preserve">525944</t>
  </si>
  <si>
    <t xml:space="preserve">525967</t>
  </si>
  <si>
    <t xml:space="preserve">526150</t>
  </si>
  <si>
    <t xml:space="preserve">526162</t>
  </si>
  <si>
    <t xml:space="preserve">C526648</t>
  </si>
  <si>
    <t xml:space="preserve">C526667</t>
  </si>
  <si>
    <t xml:space="preserve">526751</t>
  </si>
  <si>
    <t xml:space="preserve">526863</t>
  </si>
  <si>
    <t xml:space="preserve">526890</t>
  </si>
  <si>
    <t xml:space="preserve">527201</t>
  </si>
  <si>
    <t xml:space="preserve">C527339</t>
  </si>
  <si>
    <t xml:space="preserve">527439</t>
  </si>
  <si>
    <t xml:space="preserve">Switzerland</t>
  </si>
  <si>
    <t xml:space="preserve">527763</t>
  </si>
  <si>
    <t xml:space="preserve">528070</t>
  </si>
  <si>
    <t xml:space="preserve">528072</t>
  </si>
  <si>
    <t xml:space="preserve">528097</t>
  </si>
  <si>
    <t xml:space="preserve">528179</t>
  </si>
  <si>
    <t xml:space="preserve">C528404</t>
  </si>
  <si>
    <t xml:space="preserve">528511</t>
  </si>
  <si>
    <t xml:space="preserve">528648</t>
  </si>
  <si>
    <t xml:space="preserve">528746</t>
  </si>
  <si>
    <t xml:space="preserve">528851</t>
  </si>
  <si>
    <t xml:space="preserve">528865</t>
  </si>
  <si>
    <t xml:space="preserve">528876</t>
  </si>
  <si>
    <t xml:space="preserve">528880</t>
  </si>
  <si>
    <t xml:space="preserve">528923</t>
  </si>
  <si>
    <t xml:space="preserve">C529184</t>
  </si>
  <si>
    <t xml:space="preserve">529190</t>
  </si>
  <si>
    <t xml:space="preserve">529211</t>
  </si>
  <si>
    <t xml:space="preserve">529332</t>
  </si>
  <si>
    <t xml:space="preserve">529341</t>
  </si>
  <si>
    <t xml:space="preserve">C529343</t>
  </si>
  <si>
    <t xml:space="preserve">529345</t>
  </si>
  <si>
    <t xml:space="preserve">529355</t>
  </si>
  <si>
    <t xml:space="preserve">529537</t>
  </si>
  <si>
    <t xml:space="preserve">C529571</t>
  </si>
  <si>
    <t xml:space="preserve">C529612</t>
  </si>
  <si>
    <t xml:space="preserve">529613</t>
  </si>
  <si>
    <t xml:space="preserve">529614</t>
  </si>
  <si>
    <t xml:space="preserve">529615</t>
  </si>
  <si>
    <t xml:space="preserve">530178</t>
  </si>
  <si>
    <t xml:space="preserve">530412</t>
  </si>
  <si>
    <t xml:space="preserve">530589</t>
  </si>
  <si>
    <t xml:space="preserve">530642</t>
  </si>
  <si>
    <t xml:space="preserve">530921</t>
  </si>
  <si>
    <t xml:space="preserve">C530933</t>
  </si>
  <si>
    <t xml:space="preserve">531069</t>
  </si>
  <si>
    <t xml:space="preserve">531342</t>
  </si>
  <si>
    <t xml:space="preserve">531736</t>
  </si>
  <si>
    <t xml:space="preserve">531759</t>
  </si>
  <si>
    <t xml:space="preserve">531782</t>
  </si>
  <si>
    <t xml:space="preserve">531852</t>
  </si>
  <si>
    <t xml:space="preserve">531945</t>
  </si>
  <si>
    <t xml:space="preserve">532101</t>
  </si>
  <si>
    <t xml:space="preserve">532318</t>
  </si>
  <si>
    <t xml:space="preserve">532430</t>
  </si>
  <si>
    <t xml:space="preserve">Norway</t>
  </si>
  <si>
    <t xml:space="preserve">532652</t>
  </si>
  <si>
    <t xml:space="preserve">532678</t>
  </si>
  <si>
    <t xml:space="preserve">532699</t>
  </si>
  <si>
    <t xml:space="preserve">532952</t>
  </si>
  <si>
    <t xml:space="preserve">C533107</t>
  </si>
  <si>
    <t xml:space="preserve">533466</t>
  </si>
  <si>
    <t xml:space="preserve">533477</t>
  </si>
  <si>
    <t xml:space="preserve">533486</t>
  </si>
  <si>
    <t xml:space="preserve">533530</t>
  </si>
  <si>
    <t xml:space="preserve">533576</t>
  </si>
  <si>
    <t xml:space="preserve">533581</t>
  </si>
  <si>
    <t xml:space="preserve">533582</t>
  </si>
  <si>
    <t xml:space="preserve">C533768</t>
  </si>
  <si>
    <t xml:space="preserve">533794</t>
  </si>
  <si>
    <t xml:space="preserve">533880</t>
  </si>
  <si>
    <t xml:space="preserve">C534023</t>
  </si>
  <si>
    <t xml:space="preserve">C534024</t>
  </si>
  <si>
    <t xml:space="preserve">534175</t>
  </si>
  <si>
    <t xml:space="preserve">534450</t>
  </si>
  <si>
    <t xml:space="preserve">534472</t>
  </si>
  <si>
    <t xml:space="preserve">534555</t>
  </si>
  <si>
    <t xml:space="preserve">534718</t>
  </si>
  <si>
    <t xml:space="preserve">534762</t>
  </si>
  <si>
    <t xml:space="preserve">C534838</t>
  </si>
  <si>
    <t xml:space="preserve">535313</t>
  </si>
  <si>
    <t xml:space="preserve">C535793</t>
  </si>
  <si>
    <t xml:space="preserve">535796</t>
  </si>
  <si>
    <t xml:space="preserve">535838</t>
  </si>
  <si>
    <t xml:space="preserve">535980</t>
  </si>
  <si>
    <t xml:space="preserve">536235</t>
  </si>
  <si>
    <t xml:space="preserve">536538</t>
  </si>
  <si>
    <t xml:space="preserve">536769</t>
  </si>
  <si>
    <t xml:space="preserve">536771</t>
  </si>
  <si>
    <t xml:space="preserve">536832</t>
  </si>
  <si>
    <t xml:space="preserve">536846</t>
  </si>
  <si>
    <t xml:space="preserve">536857</t>
  </si>
  <si>
    <t xml:space="preserve">536970</t>
  </si>
  <si>
    <t xml:space="preserve">536987</t>
  </si>
  <si>
    <t xml:space="preserve">537467</t>
  </si>
  <si>
    <t xml:space="preserve">537636</t>
  </si>
  <si>
    <t xml:space="preserve">537793</t>
  </si>
  <si>
    <t xml:space="preserve">537810</t>
  </si>
  <si>
    <t xml:space="preserve">537813</t>
  </si>
  <si>
    <t xml:space="preserve">537879</t>
  </si>
  <si>
    <t xml:space="preserve">538056</t>
  </si>
  <si>
    <t xml:space="preserve">538155</t>
  </si>
  <si>
    <t xml:space="preserve">538216</t>
  </si>
  <si>
    <t xml:space="preserve">538313</t>
  </si>
  <si>
    <t xml:space="preserve">C538314</t>
  </si>
  <si>
    <t xml:space="preserve">538327</t>
  </si>
  <si>
    <t xml:space="preserve">C538341</t>
  </si>
  <si>
    <t xml:space="preserve">538342</t>
  </si>
  <si>
    <t xml:space="preserve">C538375</t>
  </si>
  <si>
    <t xml:space="preserve">538379</t>
  </si>
  <si>
    <t xml:space="preserve">538420</t>
  </si>
  <si>
    <t xml:space="preserve">538509</t>
  </si>
  <si>
    <t xml:space="preserve">538796</t>
  </si>
  <si>
    <t xml:space="preserve">C538798</t>
  </si>
  <si>
    <t xml:space="preserve">538809</t>
  </si>
  <si>
    <t xml:space="preserve">539011</t>
  </si>
  <si>
    <t xml:space="preserve">539092</t>
  </si>
  <si>
    <t xml:space="preserve">539093</t>
  </si>
  <si>
    <t xml:space="preserve">539293</t>
  </si>
  <si>
    <t xml:space="preserve">539411</t>
  </si>
  <si>
    <t xml:space="preserve">C539707</t>
  </si>
  <si>
    <t xml:space="preserve">C539949</t>
  </si>
  <si>
    <t xml:space="preserve">540016</t>
  </si>
  <si>
    <t xml:space="preserve">540264</t>
  </si>
  <si>
    <t xml:space="preserve">540477</t>
  </si>
  <si>
    <t xml:space="preserve">540700</t>
  </si>
  <si>
    <t xml:space="preserve">540782</t>
  </si>
  <si>
    <t xml:space="preserve">540809</t>
  </si>
  <si>
    <t xml:space="preserve">C541009</t>
  </si>
  <si>
    <t xml:space="preserve">541149</t>
  </si>
  <si>
    <t xml:space="preserve">541202</t>
  </si>
  <si>
    <t xml:space="preserve">541260</t>
  </si>
  <si>
    <t xml:space="preserve">541279</t>
  </si>
  <si>
    <t xml:space="preserve">541655</t>
  </si>
  <si>
    <t xml:space="preserve">C541707</t>
  </si>
  <si>
    <t xml:space="preserve">541708</t>
  </si>
  <si>
    <t xml:space="preserve">541783</t>
  </si>
  <si>
    <t xml:space="preserve">541785</t>
  </si>
  <si>
    <t xml:space="preserve">C541831</t>
  </si>
  <si>
    <t xml:space="preserve">542025</t>
  </si>
  <si>
    <t xml:space="preserve">542227</t>
  </si>
  <si>
    <t xml:space="preserve">542247</t>
  </si>
  <si>
    <t xml:space="preserve">C542588</t>
  </si>
  <si>
    <t xml:space="preserve">542613</t>
  </si>
  <si>
    <t xml:space="preserve">542707</t>
  </si>
  <si>
    <t xml:space="preserve">542870</t>
  </si>
  <si>
    <t xml:space="preserve">542887</t>
  </si>
  <si>
    <t xml:space="preserve">543010</t>
  </si>
  <si>
    <t xml:space="preserve">C543750</t>
  </si>
  <si>
    <t xml:space="preserve">543803</t>
  </si>
  <si>
    <t xml:space="preserve">544070</t>
  </si>
  <si>
    <t xml:space="preserve">544156</t>
  </si>
  <si>
    <t xml:space="preserve">544178</t>
  </si>
  <si>
    <t xml:space="preserve">544306</t>
  </si>
  <si>
    <t xml:space="preserve">544644</t>
  </si>
  <si>
    <t xml:space="preserve">544666</t>
  </si>
  <si>
    <t xml:space="preserve">544685</t>
  </si>
  <si>
    <t xml:space="preserve">544698</t>
  </si>
  <si>
    <t xml:space="preserve">544699</t>
  </si>
  <si>
    <t xml:space="preserve">544809</t>
  </si>
  <si>
    <t xml:space="preserve">544885</t>
  </si>
  <si>
    <t xml:space="preserve">545014</t>
  </si>
  <si>
    <t xml:space="preserve">545036</t>
  </si>
  <si>
    <t xml:space="preserve">545150</t>
  </si>
  <si>
    <t xml:space="preserve">545238</t>
  </si>
  <si>
    <t xml:space="preserve">545323</t>
  </si>
  <si>
    <t xml:space="preserve">C545329</t>
  </si>
  <si>
    <t xml:space="preserve">C545330</t>
  </si>
  <si>
    <t xml:space="preserve">545332</t>
  </si>
  <si>
    <t xml:space="preserve">545341</t>
  </si>
  <si>
    <t xml:space="preserve">C545439</t>
  </si>
  <si>
    <t xml:space="preserve">545477</t>
  </si>
  <si>
    <t xml:space="preserve">545579</t>
  </si>
  <si>
    <t xml:space="preserve">545585</t>
  </si>
  <si>
    <t xml:space="preserve">Spain</t>
  </si>
  <si>
    <t xml:space="preserve">545588</t>
  </si>
  <si>
    <t xml:space="preserve">545591</t>
  </si>
  <si>
    <t xml:space="preserve">545592</t>
  </si>
  <si>
    <t xml:space="preserve">545593</t>
  </si>
  <si>
    <t xml:space="preserve">545637</t>
  </si>
  <si>
    <t xml:space="preserve">545646</t>
  </si>
  <si>
    <t xml:space="preserve">C545674</t>
  </si>
  <si>
    <t xml:space="preserve">545675</t>
  </si>
  <si>
    <t xml:space="preserve">C545677</t>
  </si>
  <si>
    <t xml:space="preserve">C545824</t>
  </si>
  <si>
    <t xml:space="preserve">546036</t>
  </si>
  <si>
    <t xml:space="preserve">C546173</t>
  </si>
  <si>
    <t xml:space="preserve">C546205</t>
  </si>
  <si>
    <t xml:space="preserve">546319</t>
  </si>
  <si>
    <t xml:space="preserve">546749</t>
  </si>
  <si>
    <t xml:space="preserve">546750</t>
  </si>
  <si>
    <t xml:space="preserve">546869</t>
  </si>
  <si>
    <t xml:space="preserve">546924</t>
  </si>
  <si>
    <t xml:space="preserve">C547376</t>
  </si>
  <si>
    <t xml:space="preserve">C547388</t>
  </si>
  <si>
    <t xml:space="preserve">547390</t>
  </si>
  <si>
    <t xml:space="preserve">547714</t>
  </si>
  <si>
    <t xml:space="preserve">547828</t>
  </si>
  <si>
    <t xml:space="preserve">547877</t>
  </si>
  <si>
    <t xml:space="preserve">547941</t>
  </si>
  <si>
    <t xml:space="preserve">547947</t>
  </si>
  <si>
    <t xml:space="preserve">C547958</t>
  </si>
  <si>
    <t xml:space="preserve">C547961</t>
  </si>
  <si>
    <t xml:space="preserve">548312</t>
  </si>
  <si>
    <t xml:space="preserve">C548469</t>
  </si>
  <si>
    <t xml:space="preserve">548509</t>
  </si>
  <si>
    <t xml:space="preserve">548529</t>
  </si>
  <si>
    <t xml:space="preserve">548548</t>
  </si>
  <si>
    <t xml:space="preserve">548568</t>
  </si>
  <si>
    <t xml:space="preserve">548697</t>
  </si>
  <si>
    <t xml:space="preserve">549313</t>
  </si>
  <si>
    <t xml:space="preserve">549321</t>
  </si>
  <si>
    <t xml:space="preserve">549428</t>
  </si>
  <si>
    <t xml:space="preserve">549449</t>
  </si>
  <si>
    <t xml:space="preserve">549591</t>
  </si>
  <si>
    <t xml:space="preserve">549914</t>
  </si>
  <si>
    <t xml:space="preserve">Channel Islands</t>
  </si>
  <si>
    <t xml:space="preserve">550324</t>
  </si>
  <si>
    <t xml:space="preserve">550347</t>
  </si>
  <si>
    <t xml:space="preserve">550518</t>
  </si>
  <si>
    <t xml:space="preserve">550624</t>
  </si>
  <si>
    <t xml:space="preserve">550632</t>
  </si>
  <si>
    <t xml:space="preserve">C550709</t>
  </si>
  <si>
    <t xml:space="preserve">551259</t>
  </si>
  <si>
    <t xml:space="preserve">551275</t>
  </si>
  <si>
    <t xml:space="preserve">551391</t>
  </si>
  <si>
    <t xml:space="preserve">C551464</t>
  </si>
  <si>
    <t xml:space="preserve">551523</t>
  </si>
  <si>
    <t xml:space="preserve">551548</t>
  </si>
  <si>
    <t xml:space="preserve">C551949</t>
  </si>
  <si>
    <t xml:space="preserve">551996</t>
  </si>
  <si>
    <t xml:space="preserve">C552019</t>
  </si>
  <si>
    <t xml:space="preserve">552032</t>
  </si>
  <si>
    <t xml:space="preserve">552253</t>
  </si>
  <si>
    <t xml:space="preserve">552260</t>
  </si>
  <si>
    <t xml:space="preserve">552340</t>
  </si>
  <si>
    <t xml:space="preserve">552341</t>
  </si>
  <si>
    <t xml:space="preserve">552342</t>
  </si>
  <si>
    <t xml:space="preserve">552451</t>
  </si>
  <si>
    <t xml:space="preserve">552560</t>
  </si>
  <si>
    <t xml:space="preserve">552561</t>
  </si>
  <si>
    <t xml:space="preserve">552562</t>
  </si>
  <si>
    <t xml:space="preserve">552648</t>
  </si>
  <si>
    <t xml:space="preserve">552649</t>
  </si>
  <si>
    <t xml:space="preserve">552803</t>
  </si>
  <si>
    <t xml:space="preserve">C552805</t>
  </si>
  <si>
    <t xml:space="preserve">552855</t>
  </si>
  <si>
    <t xml:space="preserve">C553029</t>
  </si>
  <si>
    <t xml:space="preserve">553055</t>
  </si>
  <si>
    <t xml:space="preserve">553056</t>
  </si>
  <si>
    <t xml:space="preserve">C553230</t>
  </si>
  <si>
    <t xml:space="preserve">553421</t>
  </si>
  <si>
    <t xml:space="preserve">553466</t>
  </si>
  <si>
    <t xml:space="preserve">553559</t>
  </si>
  <si>
    <t xml:space="preserve">C553560</t>
  </si>
  <si>
    <t xml:space="preserve">C553564</t>
  </si>
  <si>
    <t xml:space="preserve">553572</t>
  </si>
  <si>
    <t xml:space="preserve">553925</t>
  </si>
  <si>
    <t xml:space="preserve">C553998</t>
  </si>
  <si>
    <t xml:space="preserve">C554127</t>
  </si>
  <si>
    <t xml:space="preserve">554130</t>
  </si>
  <si>
    <t xml:space="preserve">C554150</t>
  </si>
  <si>
    <t xml:space="preserve">554163</t>
  </si>
  <si>
    <t xml:space="preserve">C554197</t>
  </si>
  <si>
    <t xml:space="preserve">C554203</t>
  </si>
  <si>
    <t xml:space="preserve">554207</t>
  </si>
  <si>
    <t xml:space="preserve">C554210</t>
  </si>
  <si>
    <t xml:space="preserve">C554522</t>
  </si>
  <si>
    <t xml:space="preserve">554669</t>
  </si>
  <si>
    <t xml:space="preserve">554835</t>
  </si>
  <si>
    <t xml:space="preserve">554950</t>
  </si>
  <si>
    <t xml:space="preserve">554952</t>
  </si>
  <si>
    <t xml:space="preserve">554953</t>
  </si>
  <si>
    <t xml:space="preserve">554954</t>
  </si>
  <si>
    <t xml:space="preserve">555104</t>
  </si>
  <si>
    <t xml:space="preserve">555127</t>
  </si>
  <si>
    <t xml:space="preserve">555159</t>
  </si>
  <si>
    <t xml:space="preserve">555389</t>
  </si>
  <si>
    <t xml:space="preserve">555489</t>
  </si>
  <si>
    <t xml:space="preserve">555490</t>
  </si>
  <si>
    <t xml:space="preserve">555541</t>
  </si>
  <si>
    <t xml:space="preserve">C555629</t>
  </si>
  <si>
    <t xml:space="preserve">555702</t>
  </si>
  <si>
    <t xml:space="preserve">C555892</t>
  </si>
  <si>
    <t xml:space="preserve">556115</t>
  </si>
  <si>
    <t xml:space="preserve">556329</t>
  </si>
  <si>
    <t xml:space="preserve">556417</t>
  </si>
  <si>
    <t xml:space="preserve">556521</t>
  </si>
  <si>
    <t xml:space="preserve">556890</t>
  </si>
  <si>
    <t xml:space="preserve">556891</t>
  </si>
  <si>
    <t xml:space="preserve">556892</t>
  </si>
  <si>
    <t xml:space="preserve">557040</t>
  </si>
  <si>
    <t xml:space="preserve">557041</t>
  </si>
  <si>
    <t xml:space="preserve">557314</t>
  </si>
  <si>
    <t xml:space="preserve">557316</t>
  </si>
  <si>
    <t xml:space="preserve">557476</t>
  </si>
  <si>
    <t xml:space="preserve">557477</t>
  </si>
  <si>
    <t xml:space="preserve">557617</t>
  </si>
  <si>
    <t xml:space="preserve">C557654</t>
  </si>
  <si>
    <t xml:space="preserve">C557876</t>
  </si>
  <si>
    <t xml:space="preserve">C557945</t>
  </si>
  <si>
    <t xml:space="preserve">558126</t>
  </si>
  <si>
    <t xml:space="preserve">558416</t>
  </si>
  <si>
    <t xml:space="preserve">558523</t>
  </si>
  <si>
    <t xml:space="preserve">558526</t>
  </si>
  <si>
    <t xml:space="preserve">558528</t>
  </si>
  <si>
    <t xml:space="preserve">558529</t>
  </si>
  <si>
    <t xml:space="preserve">C558553</t>
  </si>
  <si>
    <t xml:space="preserve">558554</t>
  </si>
  <si>
    <t xml:space="preserve">558612</t>
  </si>
  <si>
    <t xml:space="preserve">558718</t>
  </si>
  <si>
    <t xml:space="preserve">558731</t>
  </si>
  <si>
    <t xml:space="preserve">558773</t>
  </si>
  <si>
    <t xml:space="preserve">558892</t>
  </si>
  <si>
    <t xml:space="preserve">558893</t>
  </si>
  <si>
    <t xml:space="preserve">558996</t>
  </si>
  <si>
    <t xml:space="preserve">559056</t>
  </si>
  <si>
    <t xml:space="preserve">559299</t>
  </si>
  <si>
    <t xml:space="preserve">559329</t>
  </si>
  <si>
    <t xml:space="preserve">C559533</t>
  </si>
  <si>
    <t xml:space="preserve">559542</t>
  </si>
  <si>
    <t xml:space="preserve">559543</t>
  </si>
  <si>
    <t xml:space="preserve">559544</t>
  </si>
  <si>
    <t xml:space="preserve">559793</t>
  </si>
  <si>
    <t xml:space="preserve">559861</t>
  </si>
  <si>
    <t xml:space="preserve">559916</t>
  </si>
  <si>
    <t xml:space="preserve">560098</t>
  </si>
  <si>
    <t xml:space="preserve">560557</t>
  </si>
  <si>
    <t xml:space="preserve">560577</t>
  </si>
  <si>
    <t xml:space="preserve">560582</t>
  </si>
  <si>
    <t xml:space="preserve">C560649</t>
  </si>
  <si>
    <t xml:space="preserve">560917</t>
  </si>
  <si>
    <t xml:space="preserve">560920</t>
  </si>
  <si>
    <t xml:space="preserve">560978</t>
  </si>
  <si>
    <t xml:space="preserve">560998</t>
  </si>
  <si>
    <t xml:space="preserve">561322</t>
  </si>
  <si>
    <t xml:space="preserve">561391</t>
  </si>
  <si>
    <t xml:space="preserve">561507</t>
  </si>
  <si>
    <t xml:space="preserve">Belgium</t>
  </si>
  <si>
    <t xml:space="preserve">C561586</t>
  </si>
  <si>
    <t xml:space="preserve">C561604</t>
  </si>
  <si>
    <t xml:space="preserve">561633</t>
  </si>
  <si>
    <t xml:space="preserve">561637</t>
  </si>
  <si>
    <t xml:space="preserve">C561681</t>
  </si>
  <si>
    <t xml:space="preserve">561689</t>
  </si>
  <si>
    <t xml:space="preserve">561708</t>
  </si>
  <si>
    <t xml:space="preserve">C562117</t>
  </si>
  <si>
    <t xml:space="preserve">562342</t>
  </si>
  <si>
    <t xml:space="preserve">562421</t>
  </si>
  <si>
    <t xml:space="preserve">562441</t>
  </si>
  <si>
    <t xml:space="preserve">562579</t>
  </si>
  <si>
    <t xml:space="preserve">562917</t>
  </si>
  <si>
    <t xml:space="preserve">C563570</t>
  </si>
  <si>
    <t xml:space="preserve">563575</t>
  </si>
  <si>
    <t xml:space="preserve">C563577</t>
  </si>
  <si>
    <t xml:space="preserve">563709</t>
  </si>
  <si>
    <t xml:space="preserve">563847</t>
  </si>
  <si>
    <t xml:space="preserve">563944</t>
  </si>
  <si>
    <t xml:space="preserve">563945</t>
  </si>
  <si>
    <t xml:space="preserve">C564081</t>
  </si>
  <si>
    <t xml:space="preserve">564090</t>
  </si>
  <si>
    <t xml:space="preserve">564149</t>
  </si>
  <si>
    <t xml:space="preserve">564374</t>
  </si>
  <si>
    <t xml:space="preserve">564438</t>
  </si>
  <si>
    <t xml:space="preserve">564562</t>
  </si>
  <si>
    <t xml:space="preserve">564583</t>
  </si>
  <si>
    <t xml:space="preserve">564871</t>
  </si>
  <si>
    <t xml:space="preserve">564959</t>
  </si>
  <si>
    <t xml:space="preserve">C564998</t>
  </si>
  <si>
    <t xml:space="preserve">565123</t>
  </si>
  <si>
    <t xml:space="preserve">565240</t>
  </si>
  <si>
    <t xml:space="preserve">565241</t>
  </si>
  <si>
    <t xml:space="preserve">565413</t>
  </si>
  <si>
    <t xml:space="preserve">565584</t>
  </si>
  <si>
    <t xml:space="preserve">565858</t>
  </si>
  <si>
    <t xml:space="preserve">566054</t>
  </si>
  <si>
    <t xml:space="preserve">C566181</t>
  </si>
  <si>
    <t xml:space="preserve">566266</t>
  </si>
  <si>
    <t xml:space="preserve">566303</t>
  </si>
  <si>
    <t xml:space="preserve">C566460</t>
  </si>
  <si>
    <t xml:space="preserve">C566780</t>
  </si>
  <si>
    <t xml:space="preserve">566781</t>
  </si>
  <si>
    <t xml:space="preserve">566821</t>
  </si>
  <si>
    <t xml:space="preserve">566823</t>
  </si>
  <si>
    <t xml:space="preserve">566860</t>
  </si>
  <si>
    <t xml:space="preserve">566891</t>
  </si>
  <si>
    <t xml:space="preserve">566917</t>
  </si>
  <si>
    <t xml:space="preserve">567408</t>
  </si>
  <si>
    <t xml:space="preserve">567505</t>
  </si>
  <si>
    <t xml:space="preserve">567619</t>
  </si>
  <si>
    <t xml:space="preserve">C567716</t>
  </si>
  <si>
    <t xml:space="preserve">567792</t>
  </si>
  <si>
    <t xml:space="preserve">567794</t>
  </si>
  <si>
    <t xml:space="preserve">568054</t>
  </si>
  <si>
    <t xml:space="preserve">568239</t>
  </si>
  <si>
    <t xml:space="preserve">568242</t>
  </si>
  <si>
    <t xml:space="preserve">568313</t>
  </si>
  <si>
    <t xml:space="preserve">568318</t>
  </si>
  <si>
    <t xml:space="preserve">568398</t>
  </si>
  <si>
    <t xml:space="preserve">568529</t>
  </si>
  <si>
    <t xml:space="preserve">568535</t>
  </si>
  <si>
    <t xml:space="preserve">C568562</t>
  </si>
  <si>
    <t xml:space="preserve">C568571</t>
  </si>
  <si>
    <t xml:space="preserve">C568600</t>
  </si>
  <si>
    <t xml:space="preserve">568699</t>
  </si>
  <si>
    <t xml:space="preserve">568708</t>
  </si>
  <si>
    <t xml:space="preserve">568785</t>
  </si>
  <si>
    <t xml:space="preserve">568831</t>
  </si>
  <si>
    <t xml:space="preserve">568907</t>
  </si>
  <si>
    <t xml:space="preserve">568944</t>
  </si>
  <si>
    <t xml:space="preserve">569015</t>
  </si>
  <si>
    <t xml:space="preserve">569084</t>
  </si>
  <si>
    <t xml:space="preserve">569085</t>
  </si>
  <si>
    <t xml:space="preserve">569086</t>
  </si>
  <si>
    <t xml:space="preserve">569405</t>
  </si>
  <si>
    <t xml:space="preserve">569494</t>
  </si>
  <si>
    <t xml:space="preserve">569567</t>
  </si>
  <si>
    <t xml:space="preserve">569691</t>
  </si>
  <si>
    <t xml:space="preserve">569917</t>
  </si>
  <si>
    <t xml:space="preserve">569999</t>
  </si>
  <si>
    <t xml:space="preserve">570117</t>
  </si>
  <si>
    <t xml:space="preserve">570281</t>
  </si>
  <si>
    <t xml:space="preserve">570415</t>
  </si>
  <si>
    <t xml:space="preserve">570510</t>
  </si>
  <si>
    <t xml:space="preserve">570790</t>
  </si>
  <si>
    <t xml:space="preserve">571120</t>
  </si>
  <si>
    <t xml:space="preserve">571179</t>
  </si>
  <si>
    <t xml:space="preserve">571199</t>
  </si>
  <si>
    <t xml:space="preserve">571918</t>
  </si>
  <si>
    <t xml:space="preserve">C571919</t>
  </si>
  <si>
    <t xml:space="preserve">571939</t>
  </si>
  <si>
    <t xml:space="preserve">572194</t>
  </si>
  <si>
    <t xml:space="preserve">572348</t>
  </si>
  <si>
    <t xml:space="preserve">C572428</t>
  </si>
  <si>
    <t xml:space="preserve">572651</t>
  </si>
  <si>
    <t xml:space="preserve">C572754</t>
  </si>
  <si>
    <t xml:space="preserve">572756</t>
  </si>
  <si>
    <t xml:space="preserve">572922</t>
  </si>
  <si>
    <t xml:space="preserve">C573034</t>
  </si>
  <si>
    <t xml:space="preserve">573261</t>
  </si>
  <si>
    <t xml:space="preserve">573325</t>
  </si>
  <si>
    <t xml:space="preserve">573420</t>
  </si>
  <si>
    <t xml:space="preserve">573878</t>
  </si>
  <si>
    <t xml:space="preserve">573900</t>
  </si>
  <si>
    <t xml:space="preserve">574233</t>
  </si>
  <si>
    <t xml:space="preserve">574251</t>
  </si>
  <si>
    <t xml:space="preserve">574275</t>
  </si>
  <si>
    <t xml:space="preserve">574319</t>
  </si>
  <si>
    <t xml:space="preserve">C574322</t>
  </si>
  <si>
    <t xml:space="preserve">574336</t>
  </si>
  <si>
    <t xml:space="preserve">C574584</t>
  </si>
  <si>
    <t xml:space="preserve">574589</t>
  </si>
  <si>
    <t xml:space="preserve">574667</t>
  </si>
  <si>
    <t xml:space="preserve">574668</t>
  </si>
  <si>
    <t xml:space="preserve">574677</t>
  </si>
  <si>
    <t xml:space="preserve">574684</t>
  </si>
  <si>
    <t xml:space="preserve">574685</t>
  </si>
  <si>
    <t xml:space="preserve">574687</t>
  </si>
  <si>
    <t xml:space="preserve">C574954</t>
  </si>
  <si>
    <t xml:space="preserve">575086</t>
  </si>
  <si>
    <t xml:space="preserve">575322</t>
  </si>
  <si>
    <t xml:space="preserve">575514</t>
  </si>
  <si>
    <t xml:space="preserve">575591</t>
  </si>
  <si>
    <t xml:space="preserve">575610</t>
  </si>
  <si>
    <t xml:space="preserve">575718</t>
  </si>
  <si>
    <t xml:space="preserve">575869</t>
  </si>
  <si>
    <t xml:space="preserve">575936</t>
  </si>
  <si>
    <t xml:space="preserve">576067</t>
  </si>
  <si>
    <t xml:space="preserve">576081</t>
  </si>
  <si>
    <t xml:space="preserve">576137</t>
  </si>
  <si>
    <t xml:space="preserve">576172</t>
  </si>
  <si>
    <t xml:space="preserve">576274</t>
  </si>
  <si>
    <t xml:space="preserve">576521</t>
  </si>
  <si>
    <t xml:space="preserve">576572</t>
  </si>
  <si>
    <t xml:space="preserve">576652</t>
  </si>
  <si>
    <t xml:space="preserve">576769</t>
  </si>
  <si>
    <t xml:space="preserve">576771</t>
  </si>
  <si>
    <t xml:space="preserve">576901</t>
  </si>
  <si>
    <t xml:space="preserve">576904</t>
  </si>
  <si>
    <t xml:space="preserve">576914</t>
  </si>
  <si>
    <t xml:space="preserve">577085</t>
  </si>
  <si>
    <t xml:space="preserve">577596</t>
  </si>
  <si>
    <t xml:space="preserve">577602</t>
  </si>
  <si>
    <t xml:space="preserve">577810</t>
  </si>
  <si>
    <t xml:space="preserve">577825</t>
  </si>
  <si>
    <t xml:space="preserve">578063</t>
  </si>
  <si>
    <t xml:space="preserve">578358</t>
  </si>
  <si>
    <t xml:space="preserve">C578363</t>
  </si>
  <si>
    <t xml:space="preserve">578365</t>
  </si>
  <si>
    <t xml:space="preserve">578667</t>
  </si>
  <si>
    <t xml:space="preserve">578951</t>
  </si>
  <si>
    <t xml:space="preserve">579121</t>
  </si>
  <si>
    <t xml:space="preserve">579155</t>
  </si>
  <si>
    <t xml:space="preserve">579962</t>
  </si>
  <si>
    <t xml:space="preserve">580109</t>
  </si>
  <si>
    <t xml:space="preserve">580110</t>
  </si>
  <si>
    <t xml:space="preserve">580169</t>
  </si>
  <si>
    <t xml:space="preserve">580170</t>
  </si>
  <si>
    <t xml:space="preserve">C580171</t>
  </si>
  <si>
    <t xml:space="preserve">580172</t>
  </si>
  <si>
    <t xml:space="preserve">580287</t>
  </si>
  <si>
    <t xml:space="preserve">580543</t>
  </si>
  <si>
    <t xml:space="preserve">580558</t>
  </si>
  <si>
    <t xml:space="preserve">580733</t>
  </si>
  <si>
    <t xml:space="preserve">C580762</t>
  </si>
  <si>
    <t xml:space="preserve">C581322</t>
  </si>
  <si>
    <t xml:space="preserve">581397</t>
  </si>
  <si>
    <t xml:space="preserve">581458</t>
  </si>
  <si>
    <t xml:space="preserve">581459</t>
  </si>
  <si>
    <t xml:space="preserve">581579</t>
  </si>
  <si>
    <t xml:space="preserve">581581</t>
  </si>
  <si>
    <t xml:space="preserve">581582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</si>
</sst>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D966"/>
        <bgColor rgb="FFFFCC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8.35" hidden="false" customHeight="false" outlineLevel="0" collapsed="false">
      <c r="A3" s="2" t="s">
        <v>1</v>
      </c>
      <c r="B3" s="3" t="s">
        <v>2</v>
      </c>
    </row>
    <row r="4" customFormat="false" ht="41.7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B11" s="3" t="s">
        <v>15</v>
      </c>
    </row>
    <row r="12" customFormat="false" ht="15" hidden="false" customHeight="false" outlineLevel="0" collapsed="false">
      <c r="B12" s="3" t="s">
        <v>16</v>
      </c>
    </row>
    <row r="13" customFormat="false" ht="15" hidden="false" customHeight="false" outlineLevel="0" collapsed="false">
      <c r="B13" s="3" t="s">
        <v>17</v>
      </c>
    </row>
    <row r="14" customFormat="false" ht="15" hidden="false" customHeight="false" outlineLevel="0" collapsed="false">
      <c r="B14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11" min="11" style="0" width="28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4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K1" s="2" t="s">
        <v>27</v>
      </c>
      <c r="L1" s="6" t="n">
        <v>40887</v>
      </c>
    </row>
    <row r="2" customFormat="false" ht="15" hidden="false" customHeight="false" outlineLevel="0" collapsed="false">
      <c r="A2" s="0" t="n">
        <v>12352</v>
      </c>
      <c r="B2" s="7" t="n">
        <f aca="false">_xlfn.MINIFS(Invoices!$B$2:$B$856,Invoices!$C$2:$C$856,A2,Invoices!$G$2:$G$856,"Sale")</f>
        <v>40494</v>
      </c>
      <c r="C2" s="7" t="n">
        <f aca="false">_xlfn.MAXIFS(Invoices!$B$2:$B$856,Invoices!$C$2:$C$856,A2,Invoices!$G$2:$G$856,"Sale")</f>
        <v>40850</v>
      </c>
      <c r="D2" s="8" t="n">
        <f aca="false">COUNTIFS(Invoices!$C$2:$C$856,A2,Invoices!$G$2:$G$856,"Sale")</f>
        <v>10</v>
      </c>
      <c r="E2" s="9" t="n">
        <f aca="false">SUMIFS(Invoices!$F$2:$F$856,Invoices!$C$2:$C$856,A2,Invoices!$G$2:$G$856,"Sale")</f>
        <v>2849.84</v>
      </c>
      <c r="F2" s="8" t="n">
        <f aca="false">DATEDIF(B2,C2,"m")</f>
        <v>11</v>
      </c>
      <c r="G2" s="8" t="n">
        <f aca="false">DATEDIF(C2,$L$1,"d")</f>
        <v>37</v>
      </c>
      <c r="H2" s="8" t="str">
        <f aca="false">IF(G2&lt;=90,"Active",IF(G2&lt;=180,"At risk","Lost"))</f>
        <v>Active</v>
      </c>
    </row>
    <row r="3" customFormat="false" ht="15" hidden="false" customHeight="false" outlineLevel="0" collapsed="false">
      <c r="A3" s="0" t="n">
        <v>12373</v>
      </c>
      <c r="B3" s="7" t="n">
        <f aca="false">_xlfn.MINIFS(Invoices!$B$2:$B$856,Invoices!$C$2:$C$856,A3,Invoices!$G$2:$G$856,"Sale")</f>
        <v>40213</v>
      </c>
      <c r="C3" s="7" t="n">
        <f aca="false">_xlfn.MAXIFS(Invoices!$B$2:$B$856,Invoices!$C$2:$C$856,A3,Invoices!$G$2:$G$856,"Sale")</f>
        <v>40575</v>
      </c>
      <c r="D3" s="8" t="n">
        <f aca="false">COUNTIFS(Invoices!$C$2:$C$856,A3,Invoices!$G$2:$G$856,"Sale")</f>
        <v>3</v>
      </c>
      <c r="E3" s="9" t="n">
        <f aca="false">SUMIFS(Invoices!$F$2:$F$856,Invoices!$C$2:$C$856,A3,Invoices!$G$2:$G$856,"Sale")</f>
        <v>1127.65</v>
      </c>
      <c r="F3" s="8" t="n">
        <f aca="false">DATEDIF(B3,C3,"m")</f>
        <v>11</v>
      </c>
      <c r="G3" s="8" t="n">
        <f aca="false">DATEDIF(C3,$L$1,"d")</f>
        <v>312</v>
      </c>
      <c r="H3" s="8" t="str">
        <f aca="false">IF(G3&lt;=90,"Active",IF(G3&lt;=180,"At risk","Lost"))</f>
        <v>Lost</v>
      </c>
      <c r="K3" s="2" t="s">
        <v>28</v>
      </c>
    </row>
    <row r="4" customFormat="false" ht="15" hidden="false" customHeight="false" outlineLevel="0" collapsed="false">
      <c r="A4" s="0" t="n">
        <v>12376</v>
      </c>
      <c r="B4" s="7" t="n">
        <f aca="false">_xlfn.MINIFS(Invoices!$B$2:$B$856,Invoices!$C$2:$C$856,A4,Invoices!$G$2:$G$856,"Sale")</f>
        <v>40469</v>
      </c>
      <c r="C4" s="7" t="n">
        <f aca="false">_xlfn.MAXIFS(Invoices!$B$2:$B$856,Invoices!$C$2:$C$856,A4,Invoices!$G$2:$G$856,"Sale")</f>
        <v>40497</v>
      </c>
      <c r="D4" s="8" t="n">
        <f aca="false">COUNTIFS(Invoices!$C$2:$C$856,A4,Invoices!$G$2:$G$856,"Sale")</f>
        <v>2</v>
      </c>
      <c r="E4" s="9" t="n">
        <f aca="false">SUMIFS(Invoices!$F$2:$F$856,Invoices!$C$2:$C$856,A4,Invoices!$G$2:$G$856,"Sale")</f>
        <v>503.15</v>
      </c>
      <c r="F4" s="8" t="n">
        <f aca="false">DATEDIF(B4,C4,"m")</f>
        <v>0</v>
      </c>
      <c r="G4" s="8" t="n">
        <f aca="false">DATEDIF(C4,$L$1,"d")</f>
        <v>390</v>
      </c>
      <c r="H4" s="8" t="str">
        <f aca="false">IF(G4&lt;=90,"Active",IF(G4&lt;=180,"At risk","Lost"))</f>
        <v>Lost</v>
      </c>
      <c r="K4" s="0" t="s">
        <v>29</v>
      </c>
      <c r="L4" s="10" t="s">
        <v>30</v>
      </c>
    </row>
    <row r="5" customFormat="false" ht="15" hidden="false" customHeight="false" outlineLevel="0" collapsed="false">
      <c r="A5" s="0" t="n">
        <v>12393</v>
      </c>
      <c r="B5" s="7" t="n">
        <f aca="false">_xlfn.MINIFS(Invoices!$B$2:$B$856,Invoices!$C$2:$C$856,A5,Invoices!$G$2:$G$856,"Sale")</f>
        <v>40458</v>
      </c>
      <c r="C5" s="7" t="n">
        <f aca="false">_xlfn.MAXIFS(Invoices!$B$2:$B$856,Invoices!$C$2:$C$856,A5,Invoices!$G$2:$G$856,"Sale")</f>
        <v>40814</v>
      </c>
      <c r="D5" s="8" t="n">
        <f aca="false">COUNTIFS(Invoices!$C$2:$C$856,A5,Invoices!$G$2:$G$856,"Sale")</f>
        <v>6</v>
      </c>
      <c r="E5" s="9" t="n">
        <f aca="false">SUMIFS(Invoices!$F$2:$F$856,Invoices!$C$2:$C$856,A5,Invoices!$G$2:$G$856,"Sale")</f>
        <v>2399.45</v>
      </c>
      <c r="F5" s="8" t="n">
        <f aca="false">DATEDIF(B5,C5,"m")</f>
        <v>11</v>
      </c>
      <c r="G5" s="8" t="n">
        <f aca="false">DATEDIF(C5,$L$1,"d")</f>
        <v>73</v>
      </c>
      <c r="H5" s="8" t="str">
        <f aca="false">IF(G5&lt;=90,"Active",IF(G5&lt;=180,"At risk","Lost"))</f>
        <v>Active</v>
      </c>
      <c r="K5" s="0" t="s">
        <v>31</v>
      </c>
      <c r="L5" s="8" t="n">
        <f aca="false">COUNTIF($H$2:$H$121,L4)</f>
        <v>10</v>
      </c>
    </row>
    <row r="6" customFormat="false" ht="15" hidden="false" customHeight="false" outlineLevel="0" collapsed="false">
      <c r="A6" s="0" t="n">
        <v>12397</v>
      </c>
      <c r="B6" s="7" t="n">
        <f aca="false">_xlfn.MINIFS(Invoices!$B$2:$B$856,Invoices!$C$2:$C$856,A6,Invoices!$G$2:$G$856,"Sale")</f>
        <v>40751</v>
      </c>
      <c r="C6" s="7" t="n">
        <f aca="false">_xlfn.MAXIFS(Invoices!$B$2:$B$856,Invoices!$C$2:$C$856,A6,Invoices!$G$2:$G$856,"Sale")</f>
        <v>40851</v>
      </c>
      <c r="D6" s="8" t="n">
        <f aca="false">COUNTIFS(Invoices!$C$2:$C$856,A6,Invoices!$G$2:$G$856,"Sale")</f>
        <v>2</v>
      </c>
      <c r="E6" s="9" t="n">
        <f aca="false">SUMIFS(Invoices!$F$2:$F$856,Invoices!$C$2:$C$856,A6,Invoices!$G$2:$G$856,"Sale")</f>
        <v>2409.9</v>
      </c>
      <c r="F6" s="8" t="n">
        <f aca="false">DATEDIF(B6,C6,"m")</f>
        <v>3</v>
      </c>
      <c r="G6" s="8" t="n">
        <f aca="false">DATEDIF(C6,$L$1,"d")</f>
        <v>36</v>
      </c>
      <c r="H6" s="8" t="str">
        <f aca="false">IF(G6&lt;=90,"Active",IF(G6&lt;=180,"At risk","Lost"))</f>
        <v>Active</v>
      </c>
      <c r="K6" s="0" t="s">
        <v>32</v>
      </c>
      <c r="L6" s="8" t="n">
        <f aca="false">SUMIFS($E$2:$E$121,$H$2:$H$121,L4)</f>
        <v>12604.77</v>
      </c>
    </row>
    <row r="7" customFormat="false" ht="15" hidden="false" customHeight="false" outlineLevel="0" collapsed="false">
      <c r="A7" s="0" t="n">
        <v>12499</v>
      </c>
      <c r="B7" s="7" t="n">
        <f aca="false">_xlfn.MINIFS(Invoices!$B$2:$B$856,Invoices!$C$2:$C$856,A7,Invoices!$G$2:$G$856,"Sale")</f>
        <v>40326</v>
      </c>
      <c r="C7" s="7" t="n">
        <f aca="false">_xlfn.MAXIFS(Invoices!$B$2:$B$856,Invoices!$C$2:$C$856,A7,Invoices!$G$2:$G$856,"Sale")</f>
        <v>40326</v>
      </c>
      <c r="D7" s="8" t="n">
        <f aca="false">COUNTIFS(Invoices!$C$2:$C$856,A7,Invoices!$G$2:$G$856,"Sale")</f>
        <v>1</v>
      </c>
      <c r="E7" s="9" t="n">
        <f aca="false">SUMIFS(Invoices!$F$2:$F$856,Invoices!$C$2:$C$856,A7,Invoices!$G$2:$G$856,"Sale")</f>
        <v>393.72</v>
      </c>
      <c r="F7" s="8" t="n">
        <f aca="false">DATEDIF(B7,C7,"m")</f>
        <v>0</v>
      </c>
      <c r="G7" s="8" t="n">
        <f aca="false">DATEDIF(C7,$L$1,"d")</f>
        <v>561</v>
      </c>
      <c r="H7" s="8" t="str">
        <f aca="false">IF(G7&lt;=90,"Active",IF(G7&lt;=180,"At risk","Lost"))</f>
        <v>Lost</v>
      </c>
      <c r="K7" s="0" t="s">
        <v>33</v>
      </c>
      <c r="L7" s="8" t="n">
        <f aca="false">L6/L5</f>
        <v>1260.477</v>
      </c>
    </row>
    <row r="8" customFormat="false" ht="15" hidden="false" customHeight="false" outlineLevel="0" collapsed="false">
      <c r="A8" s="0" t="n">
        <v>12541</v>
      </c>
      <c r="B8" s="7" t="n">
        <f aca="false">_xlfn.MINIFS(Invoices!$B$2:$B$856,Invoices!$C$2:$C$856,A8,Invoices!$G$2:$G$856,"Sale")</f>
        <v>40606</v>
      </c>
      <c r="C8" s="7" t="n">
        <f aca="false">_xlfn.MAXIFS(Invoices!$B$2:$B$856,Invoices!$C$2:$C$856,A8,Invoices!$G$2:$G$856,"Sale")</f>
        <v>40857</v>
      </c>
      <c r="D8" s="8" t="n">
        <f aca="false">COUNTIFS(Invoices!$C$2:$C$856,A8,Invoices!$G$2:$G$856,"Sale")</f>
        <v>3</v>
      </c>
      <c r="E8" s="9" t="n">
        <f aca="false">SUMIFS(Invoices!$F$2:$F$856,Invoices!$C$2:$C$856,A8,Invoices!$G$2:$G$856,"Sale")</f>
        <v>981.18</v>
      </c>
      <c r="F8" s="8" t="n">
        <f aca="false">DATEDIF(B8,C8,"m")</f>
        <v>8</v>
      </c>
      <c r="G8" s="8" t="n">
        <f aca="false">DATEDIF(C8,$L$1,"d")</f>
        <v>30</v>
      </c>
      <c r="H8" s="8" t="str">
        <f aca="false">IF(G8&lt;=90,"Active",IF(G8&lt;=180,"At risk","Lost"))</f>
        <v>Active</v>
      </c>
    </row>
    <row r="9" customFormat="false" ht="15" hidden="false" customHeight="false" outlineLevel="0" collapsed="false">
      <c r="A9" s="0" t="n">
        <v>12592</v>
      </c>
      <c r="B9" s="7" t="n">
        <f aca="false">_xlfn.MINIFS(Invoices!$B$2:$B$856,Invoices!$C$2:$C$856,A9,Invoices!$G$2:$G$856,"Sale")</f>
        <v>40367</v>
      </c>
      <c r="C9" s="7" t="n">
        <f aca="false">_xlfn.MAXIFS(Invoices!$B$2:$B$856,Invoices!$C$2:$C$856,A9,Invoices!$G$2:$G$856,"Sale")</f>
        <v>40794</v>
      </c>
      <c r="D9" s="8" t="n">
        <f aca="false">COUNTIFS(Invoices!$C$2:$C$856,A9,Invoices!$G$2:$G$856,"Sale")</f>
        <v>5</v>
      </c>
      <c r="E9" s="9" t="n">
        <f aca="false">SUMIFS(Invoices!$F$2:$F$856,Invoices!$C$2:$C$856,A9,Invoices!$G$2:$G$856,"Sale")</f>
        <v>2582.66</v>
      </c>
      <c r="F9" s="8" t="n">
        <f aca="false">DATEDIF(B9,C9,"m")</f>
        <v>14</v>
      </c>
      <c r="G9" s="8" t="n">
        <f aca="false">DATEDIF(C9,$L$1,"d")</f>
        <v>93</v>
      </c>
      <c r="H9" s="8" t="str">
        <f aca="false">IF(G9&lt;=90,"Active",IF(G9&lt;=180,"At risk","Lost"))</f>
        <v>At risk</v>
      </c>
      <c r="K9" s="0" t="s">
        <v>34</v>
      </c>
    </row>
    <row r="10" customFormat="false" ht="15" hidden="false" customHeight="false" outlineLevel="0" collapsed="false">
      <c r="A10" s="0" t="n">
        <v>12765</v>
      </c>
      <c r="B10" s="7" t="n">
        <f aca="false">_xlfn.MINIFS(Invoices!$B$2:$B$856,Invoices!$C$2:$C$856,A10,Invoices!$G$2:$G$856,"Sale")</f>
        <v>40245</v>
      </c>
      <c r="C10" s="7" t="n">
        <f aca="false">_xlfn.MAXIFS(Invoices!$B$2:$B$856,Invoices!$C$2:$C$856,A10,Invoices!$G$2:$G$856,"Sale")</f>
        <v>40414</v>
      </c>
      <c r="D10" s="8" t="n">
        <f aca="false">COUNTIFS(Invoices!$C$2:$C$856,A10,Invoices!$G$2:$G$856,"Sale")</f>
        <v>6</v>
      </c>
      <c r="E10" s="9" t="n">
        <f aca="false">SUMIFS(Invoices!$F$2:$F$856,Invoices!$C$2:$C$856,A10,Invoices!$G$2:$G$856,"Sale")</f>
        <v>1404.58</v>
      </c>
      <c r="F10" s="8" t="n">
        <f aca="false">DATEDIF(B10,C10,"m")</f>
        <v>5</v>
      </c>
      <c r="G10" s="8" t="n">
        <f aca="false">DATEDIF(C10,$L$1,"d")</f>
        <v>473</v>
      </c>
      <c r="H10" s="8" t="str">
        <f aca="false">IF(G10&lt;=90,"Active",IF(G10&lt;=180,"At risk","Lost"))</f>
        <v>Lost</v>
      </c>
    </row>
    <row r="11" customFormat="false" ht="15" hidden="false" customHeight="false" outlineLevel="0" collapsed="false">
      <c r="A11" s="0" t="n">
        <v>12813</v>
      </c>
      <c r="B11" s="7" t="n">
        <f aca="false">_xlfn.MINIFS(Invoices!$B$2:$B$856,Invoices!$C$2:$C$856,A11,Invoices!$G$2:$G$856,"Sale")</f>
        <v>40193</v>
      </c>
      <c r="C11" s="7" t="n">
        <f aca="false">_xlfn.MAXIFS(Invoices!$B$2:$B$856,Invoices!$C$2:$C$856,A11,Invoices!$G$2:$G$856,"Sale")</f>
        <v>40385</v>
      </c>
      <c r="D11" s="8" t="n">
        <f aca="false">COUNTIFS(Invoices!$C$2:$C$856,A11,Invoices!$G$2:$G$856,"Sale")</f>
        <v>3</v>
      </c>
      <c r="E11" s="9" t="n">
        <f aca="false">SUMIFS(Invoices!$F$2:$F$856,Invoices!$C$2:$C$856,A11,Invoices!$G$2:$G$856,"Sale")</f>
        <v>1687.8</v>
      </c>
      <c r="F11" s="8" t="n">
        <f aca="false">DATEDIF(B11,C11,"m")</f>
        <v>6</v>
      </c>
      <c r="G11" s="8" t="n">
        <f aca="false">DATEDIF(C11,$L$1,"d")</f>
        <v>502</v>
      </c>
      <c r="H11" s="8" t="str">
        <f aca="false">IF(G11&lt;=90,"Active",IF(G11&lt;=180,"At risk","Lost"))</f>
        <v>Lost</v>
      </c>
    </row>
    <row r="12" customFormat="false" ht="15" hidden="false" customHeight="false" outlineLevel="0" collapsed="false">
      <c r="A12" s="0" t="n">
        <v>12875</v>
      </c>
      <c r="B12" s="7" t="n">
        <f aca="false">_xlfn.MINIFS(Invoices!$B$2:$B$856,Invoices!$C$2:$C$856,A12,Invoices!$G$2:$G$856,"Sale")</f>
        <v>40189</v>
      </c>
      <c r="C12" s="7" t="n">
        <f aca="false">_xlfn.MAXIFS(Invoices!$B$2:$B$856,Invoices!$C$2:$C$856,A12,Invoices!$G$2:$G$856,"Sale")</f>
        <v>40743</v>
      </c>
      <c r="D12" s="8" t="n">
        <f aca="false">COUNTIFS(Invoices!$C$2:$C$856,A12,Invoices!$G$2:$G$856,"Sale")</f>
        <v>5</v>
      </c>
      <c r="E12" s="9" t="n">
        <f aca="false">SUMIFS(Invoices!$F$2:$F$856,Invoices!$C$2:$C$856,A12,Invoices!$G$2:$G$856,"Sale")</f>
        <v>1356.99</v>
      </c>
      <c r="F12" s="8" t="n">
        <f aca="false">DATEDIF(B12,C12,"m")</f>
        <v>18</v>
      </c>
      <c r="G12" s="8" t="n">
        <f aca="false">DATEDIF(C12,$L$1,"d")</f>
        <v>144</v>
      </c>
      <c r="H12" s="8" t="str">
        <f aca="false">IF(G12&lt;=90,"Active",IF(G12&lt;=180,"At risk","Lost"))</f>
        <v>At risk</v>
      </c>
    </row>
    <row r="13" customFormat="false" ht="15" hidden="false" customHeight="false" outlineLevel="0" collapsed="false">
      <c r="A13" s="0" t="n">
        <v>12997</v>
      </c>
      <c r="B13" s="7" t="n">
        <f aca="false">_xlfn.MINIFS(Invoices!$B$2:$B$856,Invoices!$C$2:$C$856,A13,Invoices!$G$2:$G$856,"Sale")</f>
        <v>40274</v>
      </c>
      <c r="C13" s="7" t="n">
        <f aca="false">_xlfn.MAXIFS(Invoices!$B$2:$B$856,Invoices!$C$2:$C$856,A13,Invoices!$G$2:$G$856,"Sale")</f>
        <v>40864</v>
      </c>
      <c r="D13" s="8" t="n">
        <f aca="false">COUNTIFS(Invoices!$C$2:$C$856,A13,Invoices!$G$2:$G$856,"Sale")</f>
        <v>8</v>
      </c>
      <c r="E13" s="9" t="n">
        <f aca="false">SUMIFS(Invoices!$F$2:$F$856,Invoices!$C$2:$C$856,A13,Invoices!$G$2:$G$856,"Sale")</f>
        <v>2110.91</v>
      </c>
      <c r="F13" s="8" t="n">
        <f aca="false">DATEDIF(B13,C13,"m")</f>
        <v>19</v>
      </c>
      <c r="G13" s="8" t="n">
        <f aca="false">DATEDIF(C13,$L$1,"d")</f>
        <v>23</v>
      </c>
      <c r="H13" s="8" t="str">
        <f aca="false">IF(G13&lt;=90,"Active",IF(G13&lt;=180,"At risk","Lost"))</f>
        <v>Active</v>
      </c>
    </row>
    <row r="14" customFormat="false" ht="15" hidden="false" customHeight="false" outlineLevel="0" collapsed="false">
      <c r="A14" s="0" t="n">
        <v>13085</v>
      </c>
      <c r="B14" s="7" t="n">
        <f aca="false">_xlfn.MINIFS(Invoices!$B$2:$B$856,Invoices!$C$2:$C$856,A14,Invoices!$G$2:$G$856,"Sale")</f>
        <v>40148</v>
      </c>
      <c r="C14" s="7" t="n">
        <f aca="false">_xlfn.MAXIFS(Invoices!$B$2:$B$856,Invoices!$C$2:$C$856,A14,Invoices!$G$2:$G$856,"Sale")</f>
        <v>40729</v>
      </c>
      <c r="D14" s="8" t="n">
        <f aca="false">COUNTIFS(Invoices!$C$2:$C$856,A14,Invoices!$G$2:$G$856,"Sale")</f>
        <v>8</v>
      </c>
      <c r="E14" s="9" t="n">
        <f aca="false">SUMIFS(Invoices!$F$2:$F$856,Invoices!$C$2:$C$856,A14,Invoices!$G$2:$G$856,"Sale")</f>
        <v>2433.28</v>
      </c>
      <c r="F14" s="8" t="n">
        <f aca="false">DATEDIF(B14,C14,"m")</f>
        <v>19</v>
      </c>
      <c r="G14" s="8" t="n">
        <f aca="false">DATEDIF(C14,$L$1,"d")</f>
        <v>158</v>
      </c>
      <c r="H14" s="8" t="str">
        <f aca="false">IF(G14&lt;=90,"Active",IF(G14&lt;=180,"At risk","Lost"))</f>
        <v>At risk</v>
      </c>
    </row>
    <row r="15" customFormat="false" ht="15" hidden="false" customHeight="false" outlineLevel="0" collapsed="false">
      <c r="A15" s="0" t="n">
        <v>13215</v>
      </c>
      <c r="B15" s="7" t="n">
        <f aca="false">_xlfn.MINIFS(Invoices!$B$2:$B$856,Invoices!$C$2:$C$856,A15,Invoices!$G$2:$G$856,"Sale")</f>
        <v>40484</v>
      </c>
      <c r="C15" s="7" t="n">
        <f aca="false">_xlfn.MAXIFS(Invoices!$B$2:$B$856,Invoices!$C$2:$C$856,A15,Invoices!$G$2:$G$856,"Sale")</f>
        <v>40484</v>
      </c>
      <c r="D15" s="8" t="n">
        <f aca="false">COUNTIFS(Invoices!$C$2:$C$856,A15,Invoices!$G$2:$G$856,"Sale")</f>
        <v>1</v>
      </c>
      <c r="E15" s="9" t="n">
        <f aca="false">SUMIFS(Invoices!$F$2:$F$856,Invoices!$C$2:$C$856,A15,Invoices!$G$2:$G$856,"Sale")</f>
        <v>81.6</v>
      </c>
      <c r="F15" s="8" t="n">
        <f aca="false">DATEDIF(B15,C15,"m")</f>
        <v>0</v>
      </c>
      <c r="G15" s="8" t="n">
        <f aca="false">DATEDIF(C15,$L$1,"d")</f>
        <v>403</v>
      </c>
      <c r="H15" s="8" t="str">
        <f aca="false">IF(G15&lt;=90,"Active",IF(G15&lt;=180,"At risk","Lost"))</f>
        <v>Lost</v>
      </c>
    </row>
    <row r="16" customFormat="false" ht="15" hidden="false" customHeight="false" outlineLevel="0" collapsed="false">
      <c r="A16" s="0" t="n">
        <v>13233</v>
      </c>
      <c r="B16" s="7" t="n">
        <f aca="false">_xlfn.MINIFS(Invoices!$B$2:$B$856,Invoices!$C$2:$C$856,A16,Invoices!$G$2:$G$856,"Sale")</f>
        <v>40192</v>
      </c>
      <c r="C16" s="7" t="n">
        <f aca="false">_xlfn.MAXIFS(Invoices!$B$2:$B$856,Invoices!$C$2:$C$856,A16,Invoices!$G$2:$G$856,"Sale")</f>
        <v>40812</v>
      </c>
      <c r="D16" s="8" t="n">
        <f aca="false">COUNTIFS(Invoices!$C$2:$C$856,A16,Invoices!$G$2:$G$856,"Sale")</f>
        <v>4</v>
      </c>
      <c r="E16" s="9" t="n">
        <f aca="false">SUMIFS(Invoices!$F$2:$F$856,Invoices!$C$2:$C$856,A16,Invoices!$G$2:$G$856,"Sale")</f>
        <v>1176.46</v>
      </c>
      <c r="F16" s="8" t="n">
        <f aca="false">DATEDIF(B16,C16,"m")</f>
        <v>20</v>
      </c>
      <c r="G16" s="8" t="n">
        <f aca="false">DATEDIF(C16,$L$1,"d")</f>
        <v>75</v>
      </c>
      <c r="H16" s="8" t="str">
        <f aca="false">IF(G16&lt;=90,"Active",IF(G16&lt;=180,"At risk","Lost"))</f>
        <v>Active</v>
      </c>
    </row>
    <row r="17" customFormat="false" ht="15" hidden="false" customHeight="false" outlineLevel="0" collapsed="false">
      <c r="A17" s="0" t="n">
        <v>13285</v>
      </c>
      <c r="B17" s="7" t="n">
        <f aca="false">_xlfn.MINIFS(Invoices!$B$2:$B$856,Invoices!$C$2:$C$856,A17,Invoices!$G$2:$G$856,"Sale")</f>
        <v>40262</v>
      </c>
      <c r="C17" s="7" t="n">
        <f aca="false">_xlfn.MAXIFS(Invoices!$B$2:$B$856,Invoices!$C$2:$C$856,A17,Invoices!$G$2:$G$856,"Sale")</f>
        <v>40863</v>
      </c>
      <c r="D17" s="8" t="n">
        <f aca="false">COUNTIFS(Invoices!$C$2:$C$856,A17,Invoices!$G$2:$G$856,"Sale")</f>
        <v>6</v>
      </c>
      <c r="E17" s="9" t="n">
        <f aca="false">SUMIFS(Invoices!$F$2:$F$856,Invoices!$C$2:$C$856,A17,Invoices!$G$2:$G$856,"Sale")</f>
        <v>3364.59</v>
      </c>
      <c r="F17" s="8" t="n">
        <f aca="false">DATEDIF(B17,C17,"m")</f>
        <v>19</v>
      </c>
      <c r="G17" s="8" t="n">
        <f aca="false">DATEDIF(C17,$L$1,"d")</f>
        <v>24</v>
      </c>
      <c r="H17" s="8" t="str">
        <f aca="false">IF(G17&lt;=90,"Active",IF(G17&lt;=180,"At risk","Lost"))</f>
        <v>Active</v>
      </c>
    </row>
    <row r="18" customFormat="false" ht="15" hidden="false" customHeight="false" outlineLevel="0" collapsed="false">
      <c r="A18" s="0" t="n">
        <v>13315</v>
      </c>
      <c r="B18" s="7" t="n">
        <f aca="false">_xlfn.MINIFS(Invoices!$B$2:$B$856,Invoices!$C$2:$C$856,A18,Invoices!$G$2:$G$856,"Sale")</f>
        <v>40197</v>
      </c>
      <c r="C18" s="7" t="n">
        <f aca="false">_xlfn.MAXIFS(Invoices!$B$2:$B$856,Invoices!$C$2:$C$856,A18,Invoices!$G$2:$G$856,"Sale")</f>
        <v>40197</v>
      </c>
      <c r="D18" s="8" t="n">
        <f aca="false">COUNTIFS(Invoices!$C$2:$C$856,A18,Invoices!$G$2:$G$856,"Sale")</f>
        <v>1</v>
      </c>
      <c r="E18" s="9" t="n">
        <f aca="false">SUMIFS(Invoices!$F$2:$F$856,Invoices!$C$2:$C$856,A18,Invoices!$G$2:$G$856,"Sale")</f>
        <v>310.26</v>
      </c>
      <c r="F18" s="8" t="n">
        <f aca="false">DATEDIF(B18,C18,"m")</f>
        <v>0</v>
      </c>
      <c r="G18" s="8" t="n">
        <f aca="false">DATEDIF(C18,$L$1,"d")</f>
        <v>690</v>
      </c>
      <c r="H18" s="8" t="str">
        <f aca="false">IF(G18&lt;=90,"Active",IF(G18&lt;=180,"At risk","Lost"))</f>
        <v>Lost</v>
      </c>
    </row>
    <row r="19" customFormat="false" ht="15" hidden="false" customHeight="false" outlineLevel="0" collapsed="false">
      <c r="A19" s="0" t="n">
        <v>13382</v>
      </c>
      <c r="B19" s="7" t="n">
        <f aca="false">_xlfn.MINIFS(Invoices!$B$2:$B$856,Invoices!$C$2:$C$856,A19,Invoices!$G$2:$G$856,"Sale")</f>
        <v>40155</v>
      </c>
      <c r="C19" s="7" t="n">
        <f aca="false">_xlfn.MAXIFS(Invoices!$B$2:$B$856,Invoices!$C$2:$C$856,A19,Invoices!$G$2:$G$856,"Sale")</f>
        <v>40606</v>
      </c>
      <c r="D19" s="8" t="n">
        <f aca="false">COUNTIFS(Invoices!$C$2:$C$856,A19,Invoices!$G$2:$G$856,"Sale")</f>
        <v>5</v>
      </c>
      <c r="E19" s="9" t="n">
        <f aca="false">SUMIFS(Invoices!$F$2:$F$856,Invoices!$C$2:$C$856,A19,Invoices!$G$2:$G$856,"Sale")</f>
        <v>1387.58</v>
      </c>
      <c r="F19" s="8" t="n">
        <f aca="false">DATEDIF(B19,C19,"m")</f>
        <v>14</v>
      </c>
      <c r="G19" s="8" t="n">
        <f aca="false">DATEDIF(C19,$L$1,"d")</f>
        <v>281</v>
      </c>
      <c r="H19" s="8" t="str">
        <f aca="false">IF(G19&lt;=90,"Active",IF(G19&lt;=180,"At risk","Lost"))</f>
        <v>Lost</v>
      </c>
    </row>
    <row r="20" customFormat="false" ht="15" hidden="false" customHeight="false" outlineLevel="0" collapsed="false">
      <c r="A20" s="0" t="n">
        <v>13498</v>
      </c>
      <c r="B20" s="7" t="n">
        <f aca="false">_xlfn.MINIFS(Invoices!$B$2:$B$856,Invoices!$C$2:$C$856,A20,Invoices!$G$2:$G$856,"Sale")</f>
        <v>40156</v>
      </c>
      <c r="C20" s="7" t="n">
        <f aca="false">_xlfn.MAXIFS(Invoices!$B$2:$B$856,Invoices!$C$2:$C$856,A20,Invoices!$G$2:$G$856,"Sale")</f>
        <v>40156</v>
      </c>
      <c r="D20" s="8" t="n">
        <f aca="false">COUNTIFS(Invoices!$C$2:$C$856,A20,Invoices!$G$2:$G$856,"Sale")</f>
        <v>1</v>
      </c>
      <c r="E20" s="9" t="n">
        <f aca="false">SUMIFS(Invoices!$F$2:$F$856,Invoices!$C$2:$C$856,A20,Invoices!$G$2:$G$856,"Sale")</f>
        <v>327.38</v>
      </c>
      <c r="F20" s="8" t="n">
        <f aca="false">DATEDIF(B20,C20,"m")</f>
        <v>0</v>
      </c>
      <c r="G20" s="8" t="n">
        <f aca="false">DATEDIF(C20,$L$1,"d")</f>
        <v>731</v>
      </c>
      <c r="H20" s="8" t="str">
        <f aca="false">IF(G20&lt;=90,"Active",IF(G20&lt;=180,"At risk","Lost"))</f>
        <v>Lost</v>
      </c>
    </row>
    <row r="21" customFormat="false" ht="15" hidden="false" customHeight="false" outlineLevel="0" collapsed="false">
      <c r="A21" s="0" t="n">
        <v>13575</v>
      </c>
      <c r="B21" s="7" t="n">
        <f aca="false">_xlfn.MINIFS(Invoices!$B$2:$B$856,Invoices!$C$2:$C$856,A21,Invoices!$G$2:$G$856,"Sale")</f>
        <v>40710</v>
      </c>
      <c r="C21" s="7" t="n">
        <f aca="false">_xlfn.MAXIFS(Invoices!$B$2:$B$856,Invoices!$C$2:$C$856,A21,Invoices!$G$2:$G$856,"Sale")</f>
        <v>40863</v>
      </c>
      <c r="D21" s="8" t="n">
        <f aca="false">COUNTIFS(Invoices!$C$2:$C$856,A21,Invoices!$G$2:$G$856,"Sale")</f>
        <v>5</v>
      </c>
      <c r="E21" s="9" t="n">
        <f aca="false">SUMIFS(Invoices!$F$2:$F$856,Invoices!$C$2:$C$856,A21,Invoices!$G$2:$G$856,"Sale")</f>
        <v>732.07</v>
      </c>
      <c r="F21" s="8" t="n">
        <f aca="false">DATEDIF(B21,C21,"m")</f>
        <v>5</v>
      </c>
      <c r="G21" s="8" t="n">
        <f aca="false">DATEDIF(C21,$L$1,"d")</f>
        <v>24</v>
      </c>
      <c r="H21" s="8" t="str">
        <f aca="false">IF(G21&lt;=90,"Active",IF(G21&lt;=180,"At risk","Lost"))</f>
        <v>Active</v>
      </c>
    </row>
    <row r="22" customFormat="false" ht="15" hidden="false" customHeight="false" outlineLevel="0" collapsed="false">
      <c r="A22" s="0" t="n">
        <v>13733</v>
      </c>
      <c r="B22" s="7" t="n">
        <f aca="false">_xlfn.MINIFS(Invoices!$B$2:$B$856,Invoices!$C$2:$C$856,A22,Invoices!$G$2:$G$856,"Sale")</f>
        <v>40151</v>
      </c>
      <c r="C22" s="7" t="n">
        <f aca="false">_xlfn.MAXIFS(Invoices!$B$2:$B$856,Invoices!$C$2:$C$856,A22,Invoices!$G$2:$G$856,"Sale")</f>
        <v>40476</v>
      </c>
      <c r="D22" s="8" t="n">
        <f aca="false">COUNTIFS(Invoices!$C$2:$C$856,A22,Invoices!$G$2:$G$856,"Sale")</f>
        <v>2</v>
      </c>
      <c r="E22" s="9" t="n">
        <f aca="false">SUMIFS(Invoices!$F$2:$F$856,Invoices!$C$2:$C$856,A22,Invoices!$G$2:$G$856,"Sale")</f>
        <v>487.03</v>
      </c>
      <c r="F22" s="8" t="n">
        <f aca="false">DATEDIF(B22,C22,"m")</f>
        <v>10</v>
      </c>
      <c r="G22" s="8" t="n">
        <f aca="false">DATEDIF(C22,$L$1,"d")</f>
        <v>411</v>
      </c>
      <c r="H22" s="8" t="str">
        <f aca="false">IF(G22&lt;=90,"Active",IF(G22&lt;=180,"At risk","Lost"))</f>
        <v>Lost</v>
      </c>
    </row>
    <row r="23" customFormat="false" ht="15" hidden="false" customHeight="false" outlineLevel="0" collapsed="false">
      <c r="A23" s="0" t="n">
        <v>13843</v>
      </c>
      <c r="B23" s="7" t="n">
        <f aca="false">_xlfn.MINIFS(Invoices!$B$2:$B$856,Invoices!$C$2:$C$856,A23,Invoices!$G$2:$G$856,"Sale")</f>
        <v>40505</v>
      </c>
      <c r="C23" s="7" t="n">
        <f aca="false">_xlfn.MAXIFS(Invoices!$B$2:$B$856,Invoices!$C$2:$C$856,A23,Invoices!$G$2:$G$856,"Sale")</f>
        <v>40505</v>
      </c>
      <c r="D23" s="8" t="n">
        <f aca="false">COUNTIFS(Invoices!$C$2:$C$856,A23,Invoices!$G$2:$G$856,"Sale")</f>
        <v>1</v>
      </c>
      <c r="E23" s="9" t="n">
        <f aca="false">SUMIFS(Invoices!$F$2:$F$856,Invoices!$C$2:$C$856,A23,Invoices!$G$2:$G$856,"Sale")</f>
        <v>319.75</v>
      </c>
      <c r="F23" s="8" t="n">
        <f aca="false">DATEDIF(B23,C23,"m")</f>
        <v>0</v>
      </c>
      <c r="G23" s="8" t="n">
        <f aca="false">DATEDIF(C23,$L$1,"d")</f>
        <v>382</v>
      </c>
      <c r="H23" s="8" t="str">
        <f aca="false">IF(G23&lt;=90,"Active",IF(G23&lt;=180,"At risk","Lost"))</f>
        <v>Lost</v>
      </c>
    </row>
    <row r="24" customFormat="false" ht="15" hidden="false" customHeight="false" outlineLevel="0" collapsed="false">
      <c r="A24" s="0" t="n">
        <v>13945</v>
      </c>
      <c r="B24" s="7" t="n">
        <f aca="false">_xlfn.MINIFS(Invoices!$B$2:$B$856,Invoices!$C$2:$C$856,A24,Invoices!$G$2:$G$856,"Sale")</f>
        <v>40407</v>
      </c>
      <c r="C24" s="7" t="n">
        <f aca="false">_xlfn.MAXIFS(Invoices!$B$2:$B$856,Invoices!$C$2:$C$856,A24,Invoices!$G$2:$G$856,"Sale")</f>
        <v>40492</v>
      </c>
      <c r="D24" s="8" t="n">
        <f aca="false">COUNTIFS(Invoices!$C$2:$C$856,A24,Invoices!$G$2:$G$856,"Sale")</f>
        <v>2</v>
      </c>
      <c r="E24" s="9" t="n">
        <f aca="false">SUMIFS(Invoices!$F$2:$F$856,Invoices!$C$2:$C$856,A24,Invoices!$G$2:$G$856,"Sale")</f>
        <v>854.15</v>
      </c>
      <c r="F24" s="8" t="n">
        <f aca="false">DATEDIF(B24,C24,"m")</f>
        <v>2</v>
      </c>
      <c r="G24" s="8" t="n">
        <f aca="false">DATEDIF(C24,$L$1,"d")</f>
        <v>395</v>
      </c>
      <c r="H24" s="8" t="str">
        <f aca="false">IF(G24&lt;=90,"Active",IF(G24&lt;=180,"At risk","Lost"))</f>
        <v>Lost</v>
      </c>
    </row>
    <row r="25" customFormat="false" ht="15" hidden="false" customHeight="false" outlineLevel="0" collapsed="false">
      <c r="A25" s="0" t="n">
        <v>14059</v>
      </c>
      <c r="B25" s="7" t="n">
        <f aca="false">_xlfn.MINIFS(Invoices!$B$2:$B$856,Invoices!$C$2:$C$856,A25,Invoices!$G$2:$G$856,"Sale")</f>
        <v>40620</v>
      </c>
      <c r="C25" s="7" t="n">
        <f aca="false">_xlfn.MAXIFS(Invoices!$B$2:$B$856,Invoices!$C$2:$C$856,A25,Invoices!$G$2:$G$856,"Sale")</f>
        <v>40620</v>
      </c>
      <c r="D25" s="8" t="n">
        <f aca="false">COUNTIFS(Invoices!$C$2:$C$856,A25,Invoices!$G$2:$G$856,"Sale")</f>
        <v>1</v>
      </c>
      <c r="E25" s="9" t="n">
        <f aca="false">SUMIFS(Invoices!$F$2:$F$856,Invoices!$C$2:$C$856,A25,Invoices!$G$2:$G$856,"Sale")</f>
        <v>183.6</v>
      </c>
      <c r="F25" s="8" t="n">
        <f aca="false">DATEDIF(B25,C25,"m")</f>
        <v>0</v>
      </c>
      <c r="G25" s="8" t="n">
        <f aca="false">DATEDIF(C25,$L$1,"d")</f>
        <v>267</v>
      </c>
      <c r="H25" s="8" t="str">
        <f aca="false">IF(G25&lt;=90,"Active",IF(G25&lt;=180,"At risk","Lost"))</f>
        <v>Lost</v>
      </c>
    </row>
    <row r="26" customFormat="false" ht="15" hidden="false" customHeight="false" outlineLevel="0" collapsed="false">
      <c r="A26" s="0" t="n">
        <v>14149</v>
      </c>
      <c r="B26" s="7" t="n">
        <f aca="false">_xlfn.MINIFS(Invoices!$B$2:$B$856,Invoices!$C$2:$C$856,A26,Invoices!$G$2:$G$856,"Sale")</f>
        <v>40666</v>
      </c>
      <c r="C26" s="7" t="n">
        <f aca="false">_xlfn.MAXIFS(Invoices!$B$2:$B$856,Invoices!$C$2:$C$856,A26,Invoices!$G$2:$G$856,"Sale")</f>
        <v>40666</v>
      </c>
      <c r="D26" s="8" t="n">
        <f aca="false">COUNTIFS(Invoices!$C$2:$C$856,A26,Invoices!$G$2:$G$856,"Sale")</f>
        <v>1</v>
      </c>
      <c r="E26" s="9" t="n">
        <f aca="false">SUMIFS(Invoices!$F$2:$F$856,Invoices!$C$2:$C$856,A26,Invoices!$G$2:$G$856,"Sale")</f>
        <v>446.62</v>
      </c>
      <c r="F26" s="8" t="n">
        <f aca="false">DATEDIF(B26,C26,"m")</f>
        <v>0</v>
      </c>
      <c r="G26" s="8" t="n">
        <f aca="false">DATEDIF(C26,$L$1,"d")</f>
        <v>221</v>
      </c>
      <c r="H26" s="8" t="str">
        <f aca="false">IF(G26&lt;=90,"Active",IF(G26&lt;=180,"At risk","Lost"))</f>
        <v>Lost</v>
      </c>
    </row>
    <row r="27" customFormat="false" ht="15" hidden="false" customHeight="false" outlineLevel="0" collapsed="false">
      <c r="A27" s="0" t="n">
        <v>14153</v>
      </c>
      <c r="B27" s="7" t="n">
        <f aca="false">_xlfn.MINIFS(Invoices!$B$2:$B$856,Invoices!$C$2:$C$856,A27,Invoices!$G$2:$G$856,"Sale")</f>
        <v>40403</v>
      </c>
      <c r="C27" s="7" t="n">
        <f aca="false">_xlfn.MAXIFS(Invoices!$B$2:$B$856,Invoices!$C$2:$C$856,A27,Invoices!$G$2:$G$856,"Sale")</f>
        <v>40403</v>
      </c>
      <c r="D27" s="8" t="n">
        <f aca="false">COUNTIFS(Invoices!$C$2:$C$856,A27,Invoices!$G$2:$G$856,"Sale")</f>
        <v>1</v>
      </c>
      <c r="E27" s="9" t="n">
        <f aca="false">SUMIFS(Invoices!$F$2:$F$856,Invoices!$C$2:$C$856,A27,Invoices!$G$2:$G$856,"Sale")</f>
        <v>233.4</v>
      </c>
      <c r="F27" s="8" t="n">
        <f aca="false">DATEDIF(B27,C27,"m")</f>
        <v>0</v>
      </c>
      <c r="G27" s="8" t="n">
        <f aca="false">DATEDIF(C27,$L$1,"d")</f>
        <v>484</v>
      </c>
      <c r="H27" s="8" t="str">
        <f aca="false">IF(G27&lt;=90,"Active",IF(G27&lt;=180,"At risk","Lost"))</f>
        <v>Lost</v>
      </c>
    </row>
    <row r="28" customFormat="false" ht="15" hidden="false" customHeight="false" outlineLevel="0" collapsed="false">
      <c r="A28" s="0" t="n">
        <v>14201</v>
      </c>
      <c r="B28" s="7" t="n">
        <f aca="false">_xlfn.MINIFS(Invoices!$B$2:$B$856,Invoices!$C$2:$C$856,A28,Invoices!$G$2:$G$856,"Sale")</f>
        <v>40298</v>
      </c>
      <c r="C28" s="7" t="n">
        <f aca="false">_xlfn.MAXIFS(Invoices!$B$2:$B$856,Invoices!$C$2:$C$856,A28,Invoices!$G$2:$G$856,"Sale")</f>
        <v>40826</v>
      </c>
      <c r="D28" s="8" t="n">
        <f aca="false">COUNTIFS(Invoices!$C$2:$C$856,A28,Invoices!$G$2:$G$856,"Sale")</f>
        <v>10</v>
      </c>
      <c r="E28" s="9" t="n">
        <f aca="false">SUMIFS(Invoices!$F$2:$F$856,Invoices!$C$2:$C$856,A28,Invoices!$G$2:$G$856,"Sale")</f>
        <v>1193.54</v>
      </c>
      <c r="F28" s="8" t="n">
        <f aca="false">DATEDIF(B28,C28,"m")</f>
        <v>17</v>
      </c>
      <c r="G28" s="8" t="n">
        <f aca="false">DATEDIF(C28,$L$1,"d")</f>
        <v>61</v>
      </c>
      <c r="H28" s="8" t="str">
        <f aca="false">IF(G28&lt;=90,"Active",IF(G28&lt;=180,"At risk","Lost"))</f>
        <v>Active</v>
      </c>
    </row>
    <row r="29" customFormat="false" ht="15" hidden="false" customHeight="false" outlineLevel="0" collapsed="false">
      <c r="A29" s="0" t="n">
        <v>14227</v>
      </c>
      <c r="B29" s="7" t="n">
        <f aca="false">_xlfn.MINIFS(Invoices!$B$2:$B$856,Invoices!$C$2:$C$856,A29,Invoices!$G$2:$G$856,"Sale")</f>
        <v>40217</v>
      </c>
      <c r="C29" s="7" t="n">
        <f aca="false">_xlfn.MAXIFS(Invoices!$B$2:$B$856,Invoices!$C$2:$C$856,A29,Invoices!$G$2:$G$856,"Sale")</f>
        <v>40860</v>
      </c>
      <c r="D29" s="8" t="n">
        <f aca="false">COUNTIFS(Invoices!$C$2:$C$856,A29,Invoices!$G$2:$G$856,"Sale")</f>
        <v>15</v>
      </c>
      <c r="E29" s="9" t="n">
        <f aca="false">SUMIFS(Invoices!$F$2:$F$856,Invoices!$C$2:$C$856,A29,Invoices!$G$2:$G$856,"Sale")</f>
        <v>6368.71</v>
      </c>
      <c r="F29" s="8" t="n">
        <f aca="false">DATEDIF(B29,C29,"m")</f>
        <v>21</v>
      </c>
      <c r="G29" s="8" t="n">
        <f aca="false">DATEDIF(C29,$L$1,"d")</f>
        <v>27</v>
      </c>
      <c r="H29" s="8" t="str">
        <f aca="false">IF(G29&lt;=90,"Active",IF(G29&lt;=180,"At risk","Lost"))</f>
        <v>Active</v>
      </c>
    </row>
    <row r="30" customFormat="false" ht="15" hidden="false" customHeight="false" outlineLevel="0" collapsed="false">
      <c r="A30" s="0" t="n">
        <v>14243</v>
      </c>
      <c r="B30" s="7" t="n">
        <f aca="false">_xlfn.MINIFS(Invoices!$B$2:$B$856,Invoices!$C$2:$C$856,A30,Invoices!$G$2:$G$856,"Sale")</f>
        <v>40410</v>
      </c>
      <c r="C30" s="7" t="n">
        <f aca="false">_xlfn.MAXIFS(Invoices!$B$2:$B$856,Invoices!$C$2:$C$856,A30,Invoices!$G$2:$G$856,"Sale")</f>
        <v>40878</v>
      </c>
      <c r="D30" s="8" t="n">
        <f aca="false">COUNTIFS(Invoices!$C$2:$C$856,A30,Invoices!$G$2:$G$856,"Sale")</f>
        <v>17</v>
      </c>
      <c r="E30" s="9" t="n">
        <f aca="false">SUMIFS(Invoices!$F$2:$F$856,Invoices!$C$2:$C$856,A30,Invoices!$G$2:$G$856,"Sale")</f>
        <v>7217.75</v>
      </c>
      <c r="F30" s="8" t="n">
        <f aca="false">DATEDIF(B30,C30,"m")</f>
        <v>15</v>
      </c>
      <c r="G30" s="8" t="n">
        <f aca="false">DATEDIF(C30,$L$1,"d")</f>
        <v>9</v>
      </c>
      <c r="H30" s="8" t="str">
        <f aca="false">IF(G30&lt;=90,"Active",IF(G30&lt;=180,"At risk","Lost"))</f>
        <v>Active</v>
      </c>
    </row>
    <row r="31" customFormat="false" ht="15" hidden="false" customHeight="false" outlineLevel="0" collapsed="false">
      <c r="A31" s="0" t="n">
        <v>14393</v>
      </c>
      <c r="B31" s="7" t="n">
        <f aca="false">_xlfn.MINIFS(Invoices!$B$2:$B$856,Invoices!$C$2:$C$856,A31,Invoices!$G$2:$G$856,"Sale")</f>
        <v>40668</v>
      </c>
      <c r="C31" s="7" t="n">
        <f aca="false">_xlfn.MAXIFS(Invoices!$B$2:$B$856,Invoices!$C$2:$C$856,A31,Invoices!$G$2:$G$856,"Sale")</f>
        <v>40668</v>
      </c>
      <c r="D31" s="8" t="n">
        <f aca="false">COUNTIFS(Invoices!$C$2:$C$856,A31,Invoices!$G$2:$G$856,"Sale")</f>
        <v>1</v>
      </c>
      <c r="E31" s="9" t="n">
        <f aca="false">SUMIFS(Invoices!$F$2:$F$856,Invoices!$C$2:$C$856,A31,Invoices!$G$2:$G$856,"Sale")</f>
        <v>67.95</v>
      </c>
      <c r="F31" s="8" t="n">
        <f aca="false">DATEDIF(B31,C31,"m")</f>
        <v>0</v>
      </c>
      <c r="G31" s="8" t="n">
        <f aca="false">DATEDIF(C31,$L$1,"d")</f>
        <v>219</v>
      </c>
      <c r="H31" s="8" t="str">
        <f aca="false">IF(G31&lt;=90,"Active",IF(G31&lt;=180,"At risk","Lost"))</f>
        <v>Lost</v>
      </c>
    </row>
    <row r="32" customFormat="false" ht="15" hidden="false" customHeight="false" outlineLevel="0" collapsed="false">
      <c r="A32" s="0" t="n">
        <v>14413</v>
      </c>
      <c r="B32" s="7" t="n">
        <f aca="false">_xlfn.MINIFS(Invoices!$B$2:$B$856,Invoices!$C$2:$C$856,A32,Invoices!$G$2:$G$856,"Sale")</f>
        <v>40197</v>
      </c>
      <c r="C32" s="7" t="n">
        <f aca="false">_xlfn.MAXIFS(Invoices!$B$2:$B$856,Invoices!$C$2:$C$856,A32,Invoices!$G$2:$G$856,"Sale")</f>
        <v>40524</v>
      </c>
      <c r="D32" s="8" t="n">
        <f aca="false">COUNTIFS(Invoices!$C$2:$C$856,A32,Invoices!$G$2:$G$856,"Sale")</f>
        <v>4</v>
      </c>
      <c r="E32" s="9" t="n">
        <f aca="false">SUMIFS(Invoices!$F$2:$F$856,Invoices!$C$2:$C$856,A32,Invoices!$G$2:$G$856,"Sale")</f>
        <v>770.37</v>
      </c>
      <c r="F32" s="8" t="n">
        <f aca="false">DATEDIF(B32,C32,"m")</f>
        <v>10</v>
      </c>
      <c r="G32" s="8" t="n">
        <f aca="false">DATEDIF(C32,$L$1,"d")</f>
        <v>363</v>
      </c>
      <c r="H32" s="8" t="str">
        <f aca="false">IF(G32&lt;=90,"Active",IF(G32&lt;=180,"At risk","Lost"))</f>
        <v>Lost</v>
      </c>
    </row>
    <row r="33" customFormat="false" ht="15" hidden="false" customHeight="false" outlineLevel="0" collapsed="false">
      <c r="A33" s="0" t="n">
        <v>14543</v>
      </c>
      <c r="B33" s="7" t="n">
        <f aca="false">_xlfn.MINIFS(Invoices!$B$2:$B$856,Invoices!$C$2:$C$856,A33,Invoices!$G$2:$G$856,"Sale")</f>
        <v>40148</v>
      </c>
      <c r="C33" s="7" t="n">
        <f aca="false">_xlfn.MAXIFS(Invoices!$B$2:$B$856,Invoices!$C$2:$C$856,A33,Invoices!$G$2:$G$856,"Sale")</f>
        <v>40858</v>
      </c>
      <c r="D33" s="8" t="n">
        <f aca="false">COUNTIFS(Invoices!$C$2:$C$856,A33,Invoices!$G$2:$G$856,"Sale")</f>
        <v>39</v>
      </c>
      <c r="E33" s="9" t="n">
        <f aca="false">SUMIFS(Invoices!$F$2:$F$856,Invoices!$C$2:$C$856,A33,Invoices!$G$2:$G$856,"Sale")</f>
        <v>14906.77</v>
      </c>
      <c r="F33" s="8" t="n">
        <f aca="false">DATEDIF(B33,C33,"m")</f>
        <v>23</v>
      </c>
      <c r="G33" s="8" t="n">
        <f aca="false">DATEDIF(C33,$L$1,"d")</f>
        <v>29</v>
      </c>
      <c r="H33" s="8" t="str">
        <f aca="false">IF(G33&lt;=90,"Active",IF(G33&lt;=180,"At risk","Lost"))</f>
        <v>Active</v>
      </c>
    </row>
    <row r="34" customFormat="false" ht="15" hidden="false" customHeight="false" outlineLevel="0" collapsed="false">
      <c r="A34" s="0" t="n">
        <v>14573</v>
      </c>
      <c r="B34" s="7" t="n">
        <f aca="false">_xlfn.MINIFS(Invoices!$B$2:$B$856,Invoices!$C$2:$C$856,A34,Invoices!$G$2:$G$856,"Sale")</f>
        <v>40186</v>
      </c>
      <c r="C34" s="7" t="n">
        <f aca="false">_xlfn.MAXIFS(Invoices!$B$2:$B$856,Invoices!$C$2:$C$856,A34,Invoices!$G$2:$G$856,"Sale")</f>
        <v>40707</v>
      </c>
      <c r="D34" s="8" t="n">
        <f aca="false">COUNTIFS(Invoices!$C$2:$C$856,A34,Invoices!$G$2:$G$856,"Sale")</f>
        <v>13</v>
      </c>
      <c r="E34" s="9" t="n">
        <f aca="false">SUMIFS(Invoices!$F$2:$F$856,Invoices!$C$2:$C$856,A34,Invoices!$G$2:$G$856,"Sale")</f>
        <v>2208.32</v>
      </c>
      <c r="F34" s="8" t="n">
        <f aca="false">DATEDIF(B34,C34,"m")</f>
        <v>17</v>
      </c>
      <c r="G34" s="8" t="n">
        <f aca="false">DATEDIF(C34,$L$1,"d")</f>
        <v>180</v>
      </c>
      <c r="H34" s="8" t="str">
        <f aca="false">IF(G34&lt;=90,"Active",IF(G34&lt;=180,"At risk","Lost"))</f>
        <v>At risk</v>
      </c>
    </row>
    <row r="35" customFormat="false" ht="15" hidden="false" customHeight="false" outlineLevel="0" collapsed="false">
      <c r="A35" s="0" t="n">
        <v>14594</v>
      </c>
      <c r="B35" s="7" t="n">
        <f aca="false">_xlfn.MINIFS(Invoices!$B$2:$B$856,Invoices!$C$2:$C$856,A35,Invoices!$G$2:$G$856,"Sale")</f>
        <v>40513</v>
      </c>
      <c r="C35" s="7" t="n">
        <f aca="false">_xlfn.MAXIFS(Invoices!$B$2:$B$856,Invoices!$C$2:$C$856,A35,Invoices!$G$2:$G$856,"Sale")</f>
        <v>40879</v>
      </c>
      <c r="D35" s="8" t="n">
        <f aca="false">COUNTIFS(Invoices!$C$2:$C$856,A35,Invoices!$G$2:$G$856,"Sale")</f>
        <v>2</v>
      </c>
      <c r="E35" s="9" t="n">
        <f aca="false">SUMIFS(Invoices!$F$2:$F$856,Invoices!$C$2:$C$856,A35,Invoices!$G$2:$G$856,"Sale")</f>
        <v>379.83</v>
      </c>
      <c r="F35" s="8" t="n">
        <f aca="false">DATEDIF(B35,C35,"m")</f>
        <v>12</v>
      </c>
      <c r="G35" s="8" t="n">
        <f aca="false">DATEDIF(C35,$L$1,"d")</f>
        <v>8</v>
      </c>
      <c r="H35" s="8" t="str">
        <f aca="false">IF(G35&lt;=90,"Active",IF(G35&lt;=180,"At risk","Lost"))</f>
        <v>Active</v>
      </c>
    </row>
    <row r="36" customFormat="false" ht="15" hidden="false" customHeight="false" outlineLevel="0" collapsed="false">
      <c r="A36" s="0" t="n">
        <v>14645</v>
      </c>
      <c r="B36" s="7" t="n">
        <f aca="false">_xlfn.MINIFS(Invoices!$B$2:$B$856,Invoices!$C$2:$C$856,A36,Invoices!$G$2:$G$856,"Sale")</f>
        <v>40252</v>
      </c>
      <c r="C36" s="7" t="n">
        <f aca="false">_xlfn.MAXIFS(Invoices!$B$2:$B$856,Invoices!$C$2:$C$856,A36,Invoices!$G$2:$G$856,"Sale")</f>
        <v>40730</v>
      </c>
      <c r="D36" s="8" t="n">
        <f aca="false">COUNTIFS(Invoices!$C$2:$C$856,A36,Invoices!$G$2:$G$856,"Sale")</f>
        <v>3</v>
      </c>
      <c r="E36" s="9" t="n">
        <f aca="false">SUMIFS(Invoices!$F$2:$F$856,Invoices!$C$2:$C$856,A36,Invoices!$G$2:$G$856,"Sale")</f>
        <v>876.89</v>
      </c>
      <c r="F36" s="8" t="n">
        <f aca="false">DATEDIF(B36,C36,"m")</f>
        <v>15</v>
      </c>
      <c r="G36" s="8" t="n">
        <f aca="false">DATEDIF(C36,$L$1,"d")</f>
        <v>157</v>
      </c>
      <c r="H36" s="8" t="str">
        <f aca="false">IF(G36&lt;=90,"Active",IF(G36&lt;=180,"At risk","Lost"))</f>
        <v>At risk</v>
      </c>
    </row>
    <row r="37" customFormat="false" ht="15" hidden="false" customHeight="false" outlineLevel="0" collapsed="false">
      <c r="A37" s="0" t="n">
        <v>14779</v>
      </c>
      <c r="B37" s="7" t="n">
        <f aca="false">_xlfn.MINIFS(Invoices!$B$2:$B$856,Invoices!$C$2:$C$856,A37,Invoices!$G$2:$G$856,"Sale")</f>
        <v>40563</v>
      </c>
      <c r="C37" s="7" t="n">
        <f aca="false">_xlfn.MAXIFS(Invoices!$B$2:$B$856,Invoices!$C$2:$C$856,A37,Invoices!$G$2:$G$856,"Sale")</f>
        <v>40606</v>
      </c>
      <c r="D37" s="8" t="n">
        <f aca="false">COUNTIFS(Invoices!$C$2:$C$856,A37,Invoices!$G$2:$G$856,"Sale")</f>
        <v>3</v>
      </c>
      <c r="E37" s="9" t="n">
        <f aca="false">SUMIFS(Invoices!$F$2:$F$856,Invoices!$C$2:$C$856,A37,Invoices!$G$2:$G$856,"Sale")</f>
        <v>386.15</v>
      </c>
      <c r="F37" s="8" t="n">
        <f aca="false">DATEDIF(B37,C37,"m")</f>
        <v>1</v>
      </c>
      <c r="G37" s="8" t="n">
        <f aca="false">DATEDIF(C37,$L$1,"d")</f>
        <v>281</v>
      </c>
      <c r="H37" s="8" t="str">
        <f aca="false">IF(G37&lt;=90,"Active",IF(G37&lt;=180,"At risk","Lost"))</f>
        <v>Lost</v>
      </c>
    </row>
    <row r="38" customFormat="false" ht="15" hidden="false" customHeight="false" outlineLevel="0" collapsed="false">
      <c r="A38" s="0" t="n">
        <v>14846</v>
      </c>
      <c r="B38" s="7" t="n">
        <f aca="false">_xlfn.MINIFS(Invoices!$B$2:$B$856,Invoices!$C$2:$C$856,A38,Invoices!$G$2:$G$856,"Sale")</f>
        <v>40459</v>
      </c>
      <c r="C38" s="7" t="n">
        <f aca="false">_xlfn.MAXIFS(Invoices!$B$2:$B$856,Invoices!$C$2:$C$856,A38,Invoices!$G$2:$G$856,"Sale")</f>
        <v>40459</v>
      </c>
      <c r="D38" s="8" t="n">
        <f aca="false">COUNTIFS(Invoices!$C$2:$C$856,A38,Invoices!$G$2:$G$856,"Sale")</f>
        <v>1</v>
      </c>
      <c r="E38" s="9" t="n">
        <f aca="false">SUMIFS(Invoices!$F$2:$F$856,Invoices!$C$2:$C$856,A38,Invoices!$G$2:$G$856,"Sale")</f>
        <v>437.4</v>
      </c>
      <c r="F38" s="8" t="n">
        <f aca="false">DATEDIF(B38,C38,"m")</f>
        <v>0</v>
      </c>
      <c r="G38" s="8" t="n">
        <f aca="false">DATEDIF(C38,$L$1,"d")</f>
        <v>428</v>
      </c>
      <c r="H38" s="8" t="str">
        <f aca="false">IF(G38&lt;=90,"Active",IF(G38&lt;=180,"At risk","Lost"))</f>
        <v>Lost</v>
      </c>
    </row>
    <row r="39" customFormat="false" ht="15" hidden="false" customHeight="false" outlineLevel="0" collapsed="false">
      <c r="A39" s="0" t="n">
        <v>14894</v>
      </c>
      <c r="B39" s="7" t="n">
        <f aca="false">_xlfn.MINIFS(Invoices!$B$2:$B$856,Invoices!$C$2:$C$856,A39,Invoices!$G$2:$G$856,"Sale")</f>
        <v>40149</v>
      </c>
      <c r="C39" s="7" t="n">
        <f aca="false">_xlfn.MAXIFS(Invoices!$B$2:$B$856,Invoices!$C$2:$C$856,A39,Invoices!$G$2:$G$856,"Sale")</f>
        <v>40801</v>
      </c>
      <c r="D39" s="8" t="n">
        <f aca="false">COUNTIFS(Invoices!$C$2:$C$856,A39,Invoices!$G$2:$G$856,"Sale")</f>
        <v>3</v>
      </c>
      <c r="E39" s="9" t="n">
        <f aca="false">SUMIFS(Invoices!$F$2:$F$856,Invoices!$C$2:$C$856,A39,Invoices!$G$2:$G$856,"Sale")</f>
        <v>1492.81</v>
      </c>
      <c r="F39" s="8" t="n">
        <f aca="false">DATEDIF(B39,C39,"m")</f>
        <v>21</v>
      </c>
      <c r="G39" s="8" t="n">
        <f aca="false">DATEDIF(C39,$L$1,"d")</f>
        <v>86</v>
      </c>
      <c r="H39" s="8" t="str">
        <f aca="false">IF(G39&lt;=90,"Active",IF(G39&lt;=180,"At risk","Lost"))</f>
        <v>Active</v>
      </c>
    </row>
    <row r="40" customFormat="false" ht="15" hidden="false" customHeight="false" outlineLevel="0" collapsed="false">
      <c r="A40" s="0" t="n">
        <v>14908</v>
      </c>
      <c r="B40" s="7" t="n">
        <f aca="false">_xlfn.MINIFS(Invoices!$B$2:$B$856,Invoices!$C$2:$C$856,A40,Invoices!$G$2:$G$856,"Sale")</f>
        <v>40423</v>
      </c>
      <c r="C40" s="7" t="n">
        <f aca="false">_xlfn.MAXIFS(Invoices!$B$2:$B$856,Invoices!$C$2:$C$856,A40,Invoices!$G$2:$G$856,"Sale")</f>
        <v>40812</v>
      </c>
      <c r="D40" s="8" t="n">
        <f aca="false">COUNTIFS(Invoices!$C$2:$C$856,A40,Invoices!$G$2:$G$856,"Sale")</f>
        <v>2</v>
      </c>
      <c r="E40" s="9" t="n">
        <f aca="false">SUMIFS(Invoices!$F$2:$F$856,Invoices!$C$2:$C$856,A40,Invoices!$G$2:$G$856,"Sale")</f>
        <v>381.9</v>
      </c>
      <c r="F40" s="8" t="n">
        <f aca="false">DATEDIF(B40,C40,"m")</f>
        <v>12</v>
      </c>
      <c r="G40" s="8" t="n">
        <f aca="false">DATEDIF(C40,$L$1,"d")</f>
        <v>75</v>
      </c>
      <c r="H40" s="8" t="str">
        <f aca="false">IF(G40&lt;=90,"Active",IF(G40&lt;=180,"At risk","Lost"))</f>
        <v>Active</v>
      </c>
    </row>
    <row r="41" customFormat="false" ht="15" hidden="false" customHeight="false" outlineLevel="0" collapsed="false">
      <c r="A41" s="0" t="n">
        <v>14931</v>
      </c>
      <c r="B41" s="7" t="n">
        <f aca="false">_xlfn.MINIFS(Invoices!$B$2:$B$856,Invoices!$C$2:$C$856,A41,Invoices!$G$2:$G$856,"Sale")</f>
        <v>40646</v>
      </c>
      <c r="C41" s="7" t="n">
        <f aca="false">_xlfn.MAXIFS(Invoices!$B$2:$B$856,Invoices!$C$2:$C$856,A41,Invoices!$G$2:$G$856,"Sale")</f>
        <v>40882</v>
      </c>
      <c r="D41" s="8" t="n">
        <f aca="false">COUNTIFS(Invoices!$C$2:$C$856,A41,Invoices!$G$2:$G$856,"Sale")</f>
        <v>5</v>
      </c>
      <c r="E41" s="9" t="n">
        <f aca="false">SUMIFS(Invoices!$F$2:$F$856,Invoices!$C$2:$C$856,A41,Invoices!$G$2:$G$856,"Sale")</f>
        <v>1257.68</v>
      </c>
      <c r="F41" s="8" t="n">
        <f aca="false">DATEDIF(B41,C41,"m")</f>
        <v>7</v>
      </c>
      <c r="G41" s="8" t="n">
        <f aca="false">DATEDIF(C41,$L$1,"d")</f>
        <v>5</v>
      </c>
      <c r="H41" s="8" t="str">
        <f aca="false">IF(G41&lt;=90,"Active",IF(G41&lt;=180,"At risk","Lost"))</f>
        <v>Active</v>
      </c>
    </row>
    <row r="42" customFormat="false" ht="15" hidden="false" customHeight="false" outlineLevel="0" collapsed="false">
      <c r="A42" s="0" t="n">
        <v>14977</v>
      </c>
      <c r="B42" s="7" t="n">
        <f aca="false">_xlfn.MINIFS(Invoices!$B$2:$B$856,Invoices!$C$2:$C$856,A42,Invoices!$G$2:$G$856,"Sale")</f>
        <v>40161</v>
      </c>
      <c r="C42" s="7" t="n">
        <f aca="false">_xlfn.MAXIFS(Invoices!$B$2:$B$856,Invoices!$C$2:$C$856,A42,Invoices!$G$2:$G$856,"Sale")</f>
        <v>40161</v>
      </c>
      <c r="D42" s="8" t="n">
        <f aca="false">COUNTIFS(Invoices!$C$2:$C$856,A42,Invoices!$G$2:$G$856,"Sale")</f>
        <v>1</v>
      </c>
      <c r="E42" s="9" t="n">
        <f aca="false">SUMIFS(Invoices!$F$2:$F$856,Invoices!$C$2:$C$856,A42,Invoices!$G$2:$G$856,"Sale")</f>
        <v>31.93</v>
      </c>
      <c r="F42" s="8" t="n">
        <f aca="false">DATEDIF(B42,C42,"m")</f>
        <v>0</v>
      </c>
      <c r="G42" s="8" t="n">
        <f aca="false">DATEDIF(C42,$L$1,"d")</f>
        <v>726</v>
      </c>
      <c r="H42" s="8" t="str">
        <f aca="false">IF(G42&lt;=90,"Active",IF(G42&lt;=180,"At risk","Lost"))</f>
        <v>Lost</v>
      </c>
    </row>
    <row r="43" customFormat="false" ht="15" hidden="false" customHeight="false" outlineLevel="0" collapsed="false">
      <c r="A43" s="0" t="n">
        <v>15017</v>
      </c>
      <c r="B43" s="7" t="n">
        <f aca="false">_xlfn.MINIFS(Invoices!$B$2:$B$856,Invoices!$C$2:$C$856,A43,Invoices!$G$2:$G$856,"Sale")</f>
        <v>40853</v>
      </c>
      <c r="C43" s="7" t="n">
        <f aca="false">_xlfn.MAXIFS(Invoices!$B$2:$B$856,Invoices!$C$2:$C$856,A43,Invoices!$G$2:$G$856,"Sale")</f>
        <v>40853</v>
      </c>
      <c r="D43" s="8" t="n">
        <f aca="false">COUNTIFS(Invoices!$C$2:$C$856,A43,Invoices!$G$2:$G$856,"Sale")</f>
        <v>1</v>
      </c>
      <c r="E43" s="9" t="n">
        <f aca="false">SUMIFS(Invoices!$F$2:$F$856,Invoices!$C$2:$C$856,A43,Invoices!$G$2:$G$856,"Sale")</f>
        <v>125.58</v>
      </c>
      <c r="F43" s="8" t="n">
        <f aca="false">DATEDIF(B43,C43,"m")</f>
        <v>0</v>
      </c>
      <c r="G43" s="8" t="n">
        <f aca="false">DATEDIF(C43,$L$1,"d")</f>
        <v>34</v>
      </c>
      <c r="H43" s="8" t="str">
        <f aca="false">IF(G43&lt;=90,"Active",IF(G43&lt;=180,"At risk","Lost"))</f>
        <v>Active</v>
      </c>
    </row>
    <row r="44" customFormat="false" ht="15" hidden="false" customHeight="false" outlineLevel="0" collapsed="false">
      <c r="A44" s="0" t="n">
        <v>15032</v>
      </c>
      <c r="B44" s="7" t="n">
        <f aca="false">_xlfn.MINIFS(Invoices!$B$2:$B$856,Invoices!$C$2:$C$856,A44,Invoices!$G$2:$G$856,"Sale")</f>
        <v>40157</v>
      </c>
      <c r="C44" s="7" t="n">
        <f aca="false">_xlfn.MAXIFS(Invoices!$B$2:$B$856,Invoices!$C$2:$C$856,A44,Invoices!$G$2:$G$856,"Sale")</f>
        <v>40630</v>
      </c>
      <c r="D44" s="8" t="n">
        <f aca="false">COUNTIFS(Invoices!$C$2:$C$856,A44,Invoices!$G$2:$G$856,"Sale")</f>
        <v>8</v>
      </c>
      <c r="E44" s="9" t="n">
        <f aca="false">SUMIFS(Invoices!$F$2:$F$856,Invoices!$C$2:$C$856,A44,Invoices!$G$2:$G$856,"Sale")</f>
        <v>11010.05</v>
      </c>
      <c r="F44" s="8" t="n">
        <f aca="false">DATEDIF(B44,C44,"m")</f>
        <v>15</v>
      </c>
      <c r="G44" s="8" t="n">
        <f aca="false">DATEDIF(C44,$L$1,"d")</f>
        <v>257</v>
      </c>
      <c r="H44" s="8" t="str">
        <f aca="false">IF(G44&lt;=90,"Active",IF(G44&lt;=180,"At risk","Lost"))</f>
        <v>Lost</v>
      </c>
    </row>
    <row r="45" customFormat="false" ht="15" hidden="false" customHeight="false" outlineLevel="0" collapsed="false">
      <c r="A45" s="0" t="n">
        <v>15124</v>
      </c>
      <c r="B45" s="7" t="n">
        <f aca="false">_xlfn.MINIFS(Invoices!$B$2:$B$856,Invoices!$C$2:$C$856,A45,Invoices!$G$2:$G$856,"Sale")</f>
        <v>40235</v>
      </c>
      <c r="C45" s="7" t="n">
        <f aca="false">_xlfn.MAXIFS(Invoices!$B$2:$B$856,Invoices!$C$2:$C$856,A45,Invoices!$G$2:$G$856,"Sale")</f>
        <v>40864</v>
      </c>
      <c r="D45" s="8" t="n">
        <f aca="false">COUNTIFS(Invoices!$C$2:$C$856,A45,Invoices!$G$2:$G$856,"Sale")</f>
        <v>4</v>
      </c>
      <c r="E45" s="9" t="n">
        <f aca="false">SUMIFS(Invoices!$F$2:$F$856,Invoices!$C$2:$C$856,A45,Invoices!$G$2:$G$856,"Sale")</f>
        <v>450.82</v>
      </c>
      <c r="F45" s="8" t="n">
        <f aca="false">DATEDIF(B45,C45,"m")</f>
        <v>20</v>
      </c>
      <c r="G45" s="8" t="n">
        <f aca="false">DATEDIF(C45,$L$1,"d")</f>
        <v>23</v>
      </c>
      <c r="H45" s="8" t="str">
        <f aca="false">IF(G45&lt;=90,"Active",IF(G45&lt;=180,"At risk","Lost"))</f>
        <v>Active</v>
      </c>
    </row>
    <row r="46" customFormat="false" ht="15" hidden="false" customHeight="false" outlineLevel="0" collapsed="false">
      <c r="A46" s="0" t="n">
        <v>15191</v>
      </c>
      <c r="B46" s="7" t="n">
        <f aca="false">_xlfn.MINIFS(Invoices!$B$2:$B$856,Invoices!$C$2:$C$856,A46,Invoices!$G$2:$G$856,"Sale")</f>
        <v>40198</v>
      </c>
      <c r="C46" s="7" t="n">
        <f aca="false">_xlfn.MAXIFS(Invoices!$B$2:$B$856,Invoices!$C$2:$C$856,A46,Invoices!$G$2:$G$856,"Sale")</f>
        <v>40423</v>
      </c>
      <c r="D46" s="8" t="n">
        <f aca="false">COUNTIFS(Invoices!$C$2:$C$856,A46,Invoices!$G$2:$G$856,"Sale")</f>
        <v>3</v>
      </c>
      <c r="E46" s="9" t="n">
        <f aca="false">SUMIFS(Invoices!$F$2:$F$856,Invoices!$C$2:$C$856,A46,Invoices!$G$2:$G$856,"Sale")</f>
        <v>588.05</v>
      </c>
      <c r="F46" s="8" t="n">
        <f aca="false">DATEDIF(B46,C46,"m")</f>
        <v>7</v>
      </c>
      <c r="G46" s="8" t="n">
        <f aca="false">DATEDIF(C46,$L$1,"d")</f>
        <v>464</v>
      </c>
      <c r="H46" s="8" t="str">
        <f aca="false">IF(G46&lt;=90,"Active",IF(G46&lt;=180,"At risk","Lost"))</f>
        <v>Lost</v>
      </c>
    </row>
    <row r="47" customFormat="false" ht="15" hidden="false" customHeight="false" outlineLevel="0" collapsed="false">
      <c r="A47" s="0" t="n">
        <v>15203</v>
      </c>
      <c r="B47" s="7" t="n">
        <f aca="false">_xlfn.MINIFS(Invoices!$B$2:$B$856,Invoices!$C$2:$C$856,A47,Invoices!$G$2:$G$856,"Sale")</f>
        <v>40155</v>
      </c>
      <c r="C47" s="7" t="n">
        <f aca="false">_xlfn.MAXIFS(Invoices!$B$2:$B$856,Invoices!$C$2:$C$856,A47,Invoices!$G$2:$G$856,"Sale")</f>
        <v>40861</v>
      </c>
      <c r="D47" s="8" t="n">
        <f aca="false">COUNTIFS(Invoices!$C$2:$C$856,A47,Invoices!$G$2:$G$856,"Sale")</f>
        <v>15</v>
      </c>
      <c r="E47" s="9" t="n">
        <f aca="false">SUMIFS(Invoices!$F$2:$F$856,Invoices!$C$2:$C$856,A47,Invoices!$G$2:$G$856,"Sale")</f>
        <v>4400.18</v>
      </c>
      <c r="F47" s="8" t="n">
        <f aca="false">DATEDIF(B47,C47,"m")</f>
        <v>23</v>
      </c>
      <c r="G47" s="8" t="n">
        <f aca="false">DATEDIF(C47,$L$1,"d")</f>
        <v>26</v>
      </c>
      <c r="H47" s="8" t="str">
        <f aca="false">IF(G47&lt;=90,"Active",IF(G47&lt;=180,"At risk","Lost"))</f>
        <v>Active</v>
      </c>
    </row>
    <row r="48" customFormat="false" ht="15" hidden="false" customHeight="false" outlineLevel="0" collapsed="false">
      <c r="A48" s="0" t="n">
        <v>15241</v>
      </c>
      <c r="B48" s="7" t="n">
        <f aca="false">_xlfn.MINIFS(Invoices!$B$2:$B$856,Invoices!$C$2:$C$856,A48,Invoices!$G$2:$G$856,"Sale")</f>
        <v>40232</v>
      </c>
      <c r="C48" s="7" t="n">
        <f aca="false">_xlfn.MAXIFS(Invoices!$B$2:$B$856,Invoices!$C$2:$C$856,A48,Invoices!$G$2:$G$856,"Sale")</f>
        <v>40820</v>
      </c>
      <c r="D48" s="8" t="n">
        <f aca="false">COUNTIFS(Invoices!$C$2:$C$856,A48,Invoices!$G$2:$G$856,"Sale")</f>
        <v>11</v>
      </c>
      <c r="E48" s="9" t="n">
        <f aca="false">SUMIFS(Invoices!$F$2:$F$856,Invoices!$C$2:$C$856,A48,Invoices!$G$2:$G$856,"Sale")</f>
        <v>3050.16</v>
      </c>
      <c r="F48" s="8" t="n">
        <f aca="false">DATEDIF(B48,C48,"m")</f>
        <v>19</v>
      </c>
      <c r="G48" s="8" t="n">
        <f aca="false">DATEDIF(C48,$L$1,"d")</f>
        <v>67</v>
      </c>
      <c r="H48" s="8" t="str">
        <f aca="false">IF(G48&lt;=90,"Active",IF(G48&lt;=180,"At risk","Lost"))</f>
        <v>Active</v>
      </c>
    </row>
    <row r="49" customFormat="false" ht="15" hidden="false" customHeight="false" outlineLevel="0" collapsed="false">
      <c r="A49" s="0" t="n">
        <v>15370</v>
      </c>
      <c r="B49" s="7" t="n">
        <f aca="false">_xlfn.MINIFS(Invoices!$B$2:$B$856,Invoices!$C$2:$C$856,A49,Invoices!$G$2:$G$856,"Sale")</f>
        <v>40476</v>
      </c>
      <c r="C49" s="7" t="n">
        <f aca="false">_xlfn.MAXIFS(Invoices!$B$2:$B$856,Invoices!$C$2:$C$856,A49,Invoices!$G$2:$G$856,"Sale")</f>
        <v>40846</v>
      </c>
      <c r="D49" s="8" t="n">
        <f aca="false">COUNTIFS(Invoices!$C$2:$C$856,A49,Invoices!$G$2:$G$856,"Sale")</f>
        <v>8</v>
      </c>
      <c r="E49" s="9" t="n">
        <f aca="false">SUMIFS(Invoices!$F$2:$F$856,Invoices!$C$2:$C$856,A49,Invoices!$G$2:$G$856,"Sale")</f>
        <v>3739.01</v>
      </c>
      <c r="F49" s="8" t="n">
        <f aca="false">DATEDIF(B49,C49,"m")</f>
        <v>12</v>
      </c>
      <c r="G49" s="8" t="n">
        <f aca="false">DATEDIF(C49,$L$1,"d")</f>
        <v>41</v>
      </c>
      <c r="H49" s="8" t="str">
        <f aca="false">IF(G49&lt;=90,"Active",IF(G49&lt;=180,"At risk","Lost"))</f>
        <v>Active</v>
      </c>
    </row>
    <row r="50" customFormat="false" ht="15" hidden="false" customHeight="false" outlineLevel="0" collapsed="false">
      <c r="A50" s="0" t="n">
        <v>15430</v>
      </c>
      <c r="B50" s="7" t="n">
        <f aca="false">_xlfn.MINIFS(Invoices!$B$2:$B$856,Invoices!$C$2:$C$856,A50,Invoices!$G$2:$G$856,"Sale")</f>
        <v>40358</v>
      </c>
      <c r="C50" s="7" t="n">
        <f aca="false">_xlfn.MAXIFS(Invoices!$B$2:$B$856,Invoices!$C$2:$C$856,A50,Invoices!$G$2:$G$856,"Sale")</f>
        <v>40419</v>
      </c>
      <c r="D50" s="8" t="n">
        <f aca="false">COUNTIFS(Invoices!$C$2:$C$856,A50,Invoices!$G$2:$G$856,"Sale")</f>
        <v>2</v>
      </c>
      <c r="E50" s="9" t="n">
        <f aca="false">SUMIFS(Invoices!$F$2:$F$856,Invoices!$C$2:$C$856,A50,Invoices!$G$2:$G$856,"Sale")</f>
        <v>954.75</v>
      </c>
      <c r="F50" s="8" t="n">
        <f aca="false">DATEDIF(B50,C50,"m")</f>
        <v>2</v>
      </c>
      <c r="G50" s="8" t="n">
        <f aca="false">DATEDIF(C50,$L$1,"d")</f>
        <v>468</v>
      </c>
      <c r="H50" s="8" t="str">
        <f aca="false">IF(G50&lt;=90,"Active",IF(G50&lt;=180,"At risk","Lost"))</f>
        <v>Lost</v>
      </c>
    </row>
    <row r="51" customFormat="false" ht="15" hidden="false" customHeight="false" outlineLevel="0" collapsed="false">
      <c r="A51" s="0" t="n">
        <v>15472</v>
      </c>
      <c r="B51" s="7" t="n">
        <f aca="false">_xlfn.MINIFS(Invoices!$B$2:$B$856,Invoices!$C$2:$C$856,A51,Invoices!$G$2:$G$856,"Sale")</f>
        <v>40773</v>
      </c>
      <c r="C51" s="7" t="n">
        <f aca="false">_xlfn.MAXIFS(Invoices!$B$2:$B$856,Invoices!$C$2:$C$856,A51,Invoices!$G$2:$G$856,"Sale")</f>
        <v>40773</v>
      </c>
      <c r="D51" s="8" t="n">
        <f aca="false">COUNTIFS(Invoices!$C$2:$C$856,A51,Invoices!$G$2:$G$856,"Sale")</f>
        <v>1</v>
      </c>
      <c r="E51" s="9" t="n">
        <f aca="false">SUMIFS(Invoices!$F$2:$F$856,Invoices!$C$2:$C$856,A51,Invoices!$G$2:$G$856,"Sale")</f>
        <v>371.56</v>
      </c>
      <c r="F51" s="8" t="n">
        <f aca="false">DATEDIF(B51,C51,"m")</f>
        <v>0</v>
      </c>
      <c r="G51" s="8" t="n">
        <f aca="false">DATEDIF(C51,$L$1,"d")</f>
        <v>114</v>
      </c>
      <c r="H51" s="8" t="str">
        <f aca="false">IF(G51&lt;=90,"Active",IF(G51&lt;=180,"At risk","Lost"))</f>
        <v>At risk</v>
      </c>
    </row>
    <row r="52" customFormat="false" ht="15" hidden="false" customHeight="false" outlineLevel="0" collapsed="false">
      <c r="A52" s="0" t="n">
        <v>15482</v>
      </c>
      <c r="B52" s="7" t="n">
        <f aca="false">_xlfn.MINIFS(Invoices!$B$2:$B$856,Invoices!$C$2:$C$856,A52,Invoices!$G$2:$G$856,"Sale")</f>
        <v>40149</v>
      </c>
      <c r="C52" s="7" t="n">
        <f aca="false">_xlfn.MAXIFS(Invoices!$B$2:$B$856,Invoices!$C$2:$C$856,A52,Invoices!$G$2:$G$856,"Sale")</f>
        <v>40871</v>
      </c>
      <c r="D52" s="8" t="n">
        <f aca="false">COUNTIFS(Invoices!$C$2:$C$856,A52,Invoices!$G$2:$G$856,"Sale")</f>
        <v>19</v>
      </c>
      <c r="E52" s="9" t="n">
        <f aca="false">SUMIFS(Invoices!$F$2:$F$856,Invoices!$C$2:$C$856,A52,Invoices!$G$2:$G$856,"Sale")</f>
        <v>14592.56</v>
      </c>
      <c r="F52" s="8" t="n">
        <f aca="false">DATEDIF(B52,C52,"m")</f>
        <v>23</v>
      </c>
      <c r="G52" s="8" t="n">
        <f aca="false">DATEDIF(C52,$L$1,"d")</f>
        <v>16</v>
      </c>
      <c r="H52" s="8" t="str">
        <f aca="false">IF(G52&lt;=90,"Active",IF(G52&lt;=180,"At risk","Lost"))</f>
        <v>Active</v>
      </c>
    </row>
    <row r="53" customFormat="false" ht="15" hidden="false" customHeight="false" outlineLevel="0" collapsed="false">
      <c r="A53" s="0" t="n">
        <v>15514</v>
      </c>
      <c r="B53" s="7" t="n">
        <f aca="false">_xlfn.MINIFS(Invoices!$B$2:$B$856,Invoices!$C$2:$C$856,A53,Invoices!$G$2:$G$856,"Sale")</f>
        <v>40151</v>
      </c>
      <c r="C53" s="7" t="n">
        <f aca="false">_xlfn.MAXIFS(Invoices!$B$2:$B$856,Invoices!$C$2:$C$856,A53,Invoices!$G$2:$G$856,"Sale")</f>
        <v>40874</v>
      </c>
      <c r="D53" s="8" t="n">
        <f aca="false">COUNTIFS(Invoices!$C$2:$C$856,A53,Invoices!$G$2:$G$856,"Sale")</f>
        <v>18</v>
      </c>
      <c r="E53" s="9" t="n">
        <f aca="false">SUMIFS(Invoices!$F$2:$F$856,Invoices!$C$2:$C$856,A53,Invoices!$G$2:$G$856,"Sale")</f>
        <v>6598.55</v>
      </c>
      <c r="F53" s="8" t="n">
        <f aca="false">DATEDIF(B53,C53,"m")</f>
        <v>23</v>
      </c>
      <c r="G53" s="8" t="n">
        <f aca="false">DATEDIF(C53,$L$1,"d")</f>
        <v>13</v>
      </c>
      <c r="H53" s="8" t="str">
        <f aca="false">IF(G53&lt;=90,"Active",IF(G53&lt;=180,"At risk","Lost"))</f>
        <v>Active</v>
      </c>
    </row>
    <row r="54" customFormat="false" ht="15" hidden="false" customHeight="false" outlineLevel="0" collapsed="false">
      <c r="A54" s="0" t="n">
        <v>15613</v>
      </c>
      <c r="B54" s="7" t="n">
        <f aca="false">_xlfn.MINIFS(Invoices!$B$2:$B$856,Invoices!$C$2:$C$856,A54,Invoices!$G$2:$G$856,"Sale")</f>
        <v>40276</v>
      </c>
      <c r="C54" s="7" t="n">
        <f aca="false">_xlfn.MAXIFS(Invoices!$B$2:$B$856,Invoices!$C$2:$C$856,A54,Invoices!$G$2:$G$856,"Sale")</f>
        <v>40276</v>
      </c>
      <c r="D54" s="8" t="n">
        <f aca="false">COUNTIFS(Invoices!$C$2:$C$856,A54,Invoices!$G$2:$G$856,"Sale")</f>
        <v>1</v>
      </c>
      <c r="E54" s="9" t="n">
        <f aca="false">SUMIFS(Invoices!$F$2:$F$856,Invoices!$C$2:$C$856,A54,Invoices!$G$2:$G$856,"Sale")</f>
        <v>433.72</v>
      </c>
      <c r="F54" s="8" t="n">
        <f aca="false">DATEDIF(B54,C54,"m")</f>
        <v>0</v>
      </c>
      <c r="G54" s="8" t="n">
        <f aca="false">DATEDIF(C54,$L$1,"d")</f>
        <v>611</v>
      </c>
      <c r="H54" s="8" t="str">
        <f aca="false">IF(G54&lt;=90,"Active",IF(G54&lt;=180,"At risk","Lost"))</f>
        <v>Lost</v>
      </c>
    </row>
    <row r="55" customFormat="false" ht="15" hidden="false" customHeight="false" outlineLevel="0" collapsed="false">
      <c r="A55" s="0" t="n">
        <v>15739</v>
      </c>
      <c r="B55" s="7" t="n">
        <f aca="false">_xlfn.MINIFS(Invoices!$B$2:$B$856,Invoices!$C$2:$C$856,A55,Invoices!$G$2:$G$856,"Sale")</f>
        <v>40820</v>
      </c>
      <c r="C55" s="7" t="n">
        <f aca="false">_xlfn.MAXIFS(Invoices!$B$2:$B$856,Invoices!$C$2:$C$856,A55,Invoices!$G$2:$G$856,"Sale")</f>
        <v>40820</v>
      </c>
      <c r="D55" s="8" t="n">
        <f aca="false">COUNTIFS(Invoices!$C$2:$C$856,A55,Invoices!$G$2:$G$856,"Sale")</f>
        <v>1</v>
      </c>
      <c r="E55" s="9" t="n">
        <f aca="false">SUMIFS(Invoices!$F$2:$F$856,Invoices!$C$2:$C$856,A55,Invoices!$G$2:$G$856,"Sale")</f>
        <v>449.12</v>
      </c>
      <c r="F55" s="8" t="n">
        <f aca="false">DATEDIF(B55,C55,"m")</f>
        <v>0</v>
      </c>
      <c r="G55" s="8" t="n">
        <f aca="false">DATEDIF(C55,$L$1,"d")</f>
        <v>67</v>
      </c>
      <c r="H55" s="8" t="str">
        <f aca="false">IF(G55&lt;=90,"Active",IF(G55&lt;=180,"At risk","Lost"))</f>
        <v>Active</v>
      </c>
    </row>
    <row r="56" customFormat="false" ht="15" hidden="false" customHeight="false" outlineLevel="0" collapsed="false">
      <c r="A56" s="0" t="n">
        <v>15815</v>
      </c>
      <c r="B56" s="7" t="n">
        <f aca="false">_xlfn.MINIFS(Invoices!$B$2:$B$856,Invoices!$C$2:$C$856,A56,Invoices!$G$2:$G$856,"Sale")</f>
        <v>40627</v>
      </c>
      <c r="C56" s="7" t="n">
        <f aca="false">_xlfn.MAXIFS(Invoices!$B$2:$B$856,Invoices!$C$2:$C$856,A56,Invoices!$G$2:$G$856,"Sale")</f>
        <v>40823</v>
      </c>
      <c r="D56" s="8" t="n">
        <f aca="false">COUNTIFS(Invoices!$C$2:$C$856,A56,Invoices!$G$2:$G$856,"Sale")</f>
        <v>5</v>
      </c>
      <c r="E56" s="9" t="n">
        <f aca="false">SUMIFS(Invoices!$F$2:$F$856,Invoices!$C$2:$C$856,A56,Invoices!$G$2:$G$856,"Sale")</f>
        <v>2100.6</v>
      </c>
      <c r="F56" s="8" t="n">
        <f aca="false">DATEDIF(B56,C56,"m")</f>
        <v>6</v>
      </c>
      <c r="G56" s="8" t="n">
        <f aca="false">DATEDIF(C56,$L$1,"d")</f>
        <v>64</v>
      </c>
      <c r="H56" s="8" t="str">
        <f aca="false">IF(G56&lt;=90,"Active",IF(G56&lt;=180,"At risk","Lost"))</f>
        <v>Active</v>
      </c>
    </row>
    <row r="57" customFormat="false" ht="15" hidden="false" customHeight="false" outlineLevel="0" collapsed="false">
      <c r="A57" s="0" t="n">
        <v>15848</v>
      </c>
      <c r="B57" s="7" t="n">
        <f aca="false">_xlfn.MINIFS(Invoices!$B$2:$B$856,Invoices!$C$2:$C$856,A57,Invoices!$G$2:$G$856,"Sale")</f>
        <v>40265</v>
      </c>
      <c r="C57" s="7" t="n">
        <f aca="false">_xlfn.MAXIFS(Invoices!$B$2:$B$856,Invoices!$C$2:$C$856,A57,Invoices!$G$2:$G$856,"Sale")</f>
        <v>40265</v>
      </c>
      <c r="D57" s="8" t="n">
        <f aca="false">COUNTIFS(Invoices!$C$2:$C$856,A57,Invoices!$G$2:$G$856,"Sale")</f>
        <v>1</v>
      </c>
      <c r="E57" s="9" t="n">
        <f aca="false">SUMIFS(Invoices!$F$2:$F$856,Invoices!$C$2:$C$856,A57,Invoices!$G$2:$G$856,"Sale")</f>
        <v>139.94</v>
      </c>
      <c r="F57" s="8" t="n">
        <f aca="false">DATEDIF(B57,C57,"m")</f>
        <v>0</v>
      </c>
      <c r="G57" s="8" t="n">
        <f aca="false">DATEDIF(C57,$L$1,"d")</f>
        <v>622</v>
      </c>
      <c r="H57" s="8" t="str">
        <f aca="false">IF(G57&lt;=90,"Active",IF(G57&lt;=180,"At risk","Lost"))</f>
        <v>Lost</v>
      </c>
    </row>
    <row r="58" customFormat="false" ht="15" hidden="false" customHeight="false" outlineLevel="0" collapsed="false">
      <c r="A58" s="0" t="n">
        <v>15895</v>
      </c>
      <c r="B58" s="7" t="n">
        <f aca="false">_xlfn.MINIFS(Invoices!$B$2:$B$856,Invoices!$C$2:$C$856,A58,Invoices!$G$2:$G$856,"Sale")</f>
        <v>40737</v>
      </c>
      <c r="C58" s="7" t="n">
        <f aca="false">_xlfn.MAXIFS(Invoices!$B$2:$B$856,Invoices!$C$2:$C$856,A58,Invoices!$G$2:$G$856,"Sale")</f>
        <v>40737</v>
      </c>
      <c r="D58" s="8" t="n">
        <f aca="false">COUNTIFS(Invoices!$C$2:$C$856,A58,Invoices!$G$2:$G$856,"Sale")</f>
        <v>1</v>
      </c>
      <c r="E58" s="9" t="n">
        <f aca="false">SUMIFS(Invoices!$F$2:$F$856,Invoices!$C$2:$C$856,A58,Invoices!$G$2:$G$856,"Sale")</f>
        <v>179.17</v>
      </c>
      <c r="F58" s="8" t="n">
        <f aca="false">DATEDIF(B58,C58,"m")</f>
        <v>0</v>
      </c>
      <c r="G58" s="8" t="n">
        <f aca="false">DATEDIF(C58,$L$1,"d")</f>
        <v>150</v>
      </c>
      <c r="H58" s="8" t="str">
        <f aca="false">IF(G58&lt;=90,"Active",IF(G58&lt;=180,"At risk","Lost"))</f>
        <v>At risk</v>
      </c>
    </row>
    <row r="59" customFormat="false" ht="15" hidden="false" customHeight="false" outlineLevel="0" collapsed="false">
      <c r="A59" s="0" t="n">
        <v>15927</v>
      </c>
      <c r="B59" s="7" t="n">
        <f aca="false">_xlfn.MINIFS(Invoices!$B$2:$B$856,Invoices!$C$2:$C$856,A59,Invoices!$G$2:$G$856,"Sale")</f>
        <v>40239</v>
      </c>
      <c r="C59" s="7" t="n">
        <f aca="false">_xlfn.MAXIFS(Invoices!$B$2:$B$856,Invoices!$C$2:$C$856,A59,Invoices!$G$2:$G$856,"Sale")</f>
        <v>40239</v>
      </c>
      <c r="D59" s="8" t="n">
        <f aca="false">COUNTIFS(Invoices!$C$2:$C$856,A59,Invoices!$G$2:$G$856,"Sale")</f>
        <v>1</v>
      </c>
      <c r="E59" s="9" t="n">
        <f aca="false">SUMIFS(Invoices!$F$2:$F$856,Invoices!$C$2:$C$856,A59,Invoices!$G$2:$G$856,"Sale")</f>
        <v>123.39</v>
      </c>
      <c r="F59" s="8" t="n">
        <f aca="false">DATEDIF(B59,C59,"m")</f>
        <v>0</v>
      </c>
      <c r="G59" s="8" t="n">
        <f aca="false">DATEDIF(C59,$L$1,"d")</f>
        <v>648</v>
      </c>
      <c r="H59" s="8" t="str">
        <f aca="false">IF(G59&lt;=90,"Active",IF(G59&lt;=180,"At risk","Lost"))</f>
        <v>Lost</v>
      </c>
    </row>
    <row r="60" customFormat="false" ht="15" hidden="false" customHeight="false" outlineLevel="0" collapsed="false">
      <c r="A60" s="0" t="n">
        <v>15942</v>
      </c>
      <c r="B60" s="7" t="n">
        <f aca="false">_xlfn.MINIFS(Invoices!$B$2:$B$856,Invoices!$C$2:$C$856,A60,Invoices!$G$2:$G$856,"Sale")</f>
        <v>40753</v>
      </c>
      <c r="C60" s="7" t="n">
        <f aca="false">_xlfn.MAXIFS(Invoices!$B$2:$B$856,Invoices!$C$2:$C$856,A60,Invoices!$G$2:$G$856,"Sale")</f>
        <v>40753</v>
      </c>
      <c r="D60" s="8" t="n">
        <f aca="false">COUNTIFS(Invoices!$C$2:$C$856,A60,Invoices!$G$2:$G$856,"Sale")</f>
        <v>1</v>
      </c>
      <c r="E60" s="9" t="n">
        <f aca="false">SUMIFS(Invoices!$F$2:$F$856,Invoices!$C$2:$C$856,A60,Invoices!$G$2:$G$856,"Sale")</f>
        <v>337.44</v>
      </c>
      <c r="F60" s="8" t="n">
        <f aca="false">DATEDIF(B60,C60,"m")</f>
        <v>0</v>
      </c>
      <c r="G60" s="8" t="n">
        <f aca="false">DATEDIF(C60,$L$1,"d")</f>
        <v>134</v>
      </c>
      <c r="H60" s="8" t="str">
        <f aca="false">IF(G60&lt;=90,"Active",IF(G60&lt;=180,"At risk","Lost"))</f>
        <v>At risk</v>
      </c>
    </row>
    <row r="61" customFormat="false" ht="15" hidden="false" customHeight="false" outlineLevel="0" collapsed="false">
      <c r="A61" s="0" t="n">
        <v>15991</v>
      </c>
      <c r="B61" s="7" t="n">
        <f aca="false">_xlfn.MINIFS(Invoices!$B$2:$B$856,Invoices!$C$2:$C$856,A61,Invoices!$G$2:$G$856,"Sale")</f>
        <v>40352</v>
      </c>
      <c r="C61" s="7" t="n">
        <f aca="false">_xlfn.MAXIFS(Invoices!$B$2:$B$856,Invoices!$C$2:$C$856,A61,Invoices!$G$2:$G$856,"Sale")</f>
        <v>40352</v>
      </c>
      <c r="D61" s="8" t="n">
        <f aca="false">COUNTIFS(Invoices!$C$2:$C$856,A61,Invoices!$G$2:$G$856,"Sale")</f>
        <v>1</v>
      </c>
      <c r="E61" s="9" t="n">
        <f aca="false">SUMIFS(Invoices!$F$2:$F$856,Invoices!$C$2:$C$856,A61,Invoices!$G$2:$G$856,"Sale")</f>
        <v>150.55</v>
      </c>
      <c r="F61" s="8" t="n">
        <f aca="false">DATEDIF(B61,C61,"m")</f>
        <v>0</v>
      </c>
      <c r="G61" s="8" t="n">
        <f aca="false">DATEDIF(C61,$L$1,"d")</f>
        <v>535</v>
      </c>
      <c r="H61" s="8" t="str">
        <f aca="false">IF(G61&lt;=90,"Active",IF(G61&lt;=180,"At risk","Lost"))</f>
        <v>Lost</v>
      </c>
    </row>
    <row r="62" customFormat="false" ht="15" hidden="false" customHeight="false" outlineLevel="0" collapsed="false">
      <c r="A62" s="0" t="n">
        <v>16021</v>
      </c>
      <c r="B62" s="7" t="n">
        <f aca="false">_xlfn.MINIFS(Invoices!$B$2:$B$856,Invoices!$C$2:$C$856,A62,Invoices!$G$2:$G$856,"Sale")</f>
        <v>40342</v>
      </c>
      <c r="C62" s="7" t="n">
        <f aca="false">_xlfn.MAXIFS(Invoices!$B$2:$B$856,Invoices!$C$2:$C$856,A62,Invoices!$G$2:$G$856,"Sale")</f>
        <v>40491</v>
      </c>
      <c r="D62" s="8" t="n">
        <f aca="false">COUNTIFS(Invoices!$C$2:$C$856,A62,Invoices!$G$2:$G$856,"Sale")</f>
        <v>2</v>
      </c>
      <c r="E62" s="9" t="n">
        <f aca="false">SUMIFS(Invoices!$F$2:$F$856,Invoices!$C$2:$C$856,A62,Invoices!$G$2:$G$856,"Sale")</f>
        <v>532.25</v>
      </c>
      <c r="F62" s="8" t="n">
        <f aca="false">DATEDIF(B62,C62,"m")</f>
        <v>4</v>
      </c>
      <c r="G62" s="8" t="n">
        <f aca="false">DATEDIF(C62,$L$1,"d")</f>
        <v>396</v>
      </c>
      <c r="H62" s="8" t="str">
        <f aca="false">IF(G62&lt;=90,"Active",IF(G62&lt;=180,"At risk","Lost"))</f>
        <v>Lost</v>
      </c>
    </row>
    <row r="63" customFormat="false" ht="15" hidden="false" customHeight="false" outlineLevel="0" collapsed="false">
      <c r="A63" s="0" t="n">
        <v>16059</v>
      </c>
      <c r="B63" s="7" t="n">
        <f aca="false">_xlfn.MINIFS(Invoices!$B$2:$B$856,Invoices!$C$2:$C$856,A63,Invoices!$G$2:$G$856,"Sale")</f>
        <v>40317</v>
      </c>
      <c r="C63" s="7" t="n">
        <f aca="false">_xlfn.MAXIFS(Invoices!$B$2:$B$856,Invoices!$C$2:$C$856,A63,Invoices!$G$2:$G$856,"Sale")</f>
        <v>40821</v>
      </c>
      <c r="D63" s="8" t="n">
        <f aca="false">COUNTIFS(Invoices!$C$2:$C$856,A63,Invoices!$G$2:$G$856,"Sale")</f>
        <v>12</v>
      </c>
      <c r="E63" s="9" t="n">
        <f aca="false">SUMIFS(Invoices!$F$2:$F$856,Invoices!$C$2:$C$856,A63,Invoices!$G$2:$G$856,"Sale")</f>
        <v>3099.52</v>
      </c>
      <c r="F63" s="8" t="n">
        <f aca="false">DATEDIF(B63,C63,"m")</f>
        <v>16</v>
      </c>
      <c r="G63" s="8" t="n">
        <f aca="false">DATEDIF(C63,$L$1,"d")</f>
        <v>66</v>
      </c>
      <c r="H63" s="8" t="str">
        <f aca="false">IF(G63&lt;=90,"Active",IF(G63&lt;=180,"At risk","Lost"))</f>
        <v>Active</v>
      </c>
    </row>
    <row r="64" customFormat="false" ht="15" hidden="false" customHeight="false" outlineLevel="0" collapsed="false">
      <c r="A64" s="0" t="n">
        <v>16090</v>
      </c>
      <c r="B64" s="7" t="n">
        <f aca="false">_xlfn.MINIFS(Invoices!$B$2:$B$856,Invoices!$C$2:$C$856,A64,Invoices!$G$2:$G$856,"Sale")</f>
        <v>40262</v>
      </c>
      <c r="C64" s="7" t="n">
        <f aca="false">_xlfn.MAXIFS(Invoices!$B$2:$B$856,Invoices!$C$2:$C$856,A64,Invoices!$G$2:$G$856,"Sale")</f>
        <v>40262</v>
      </c>
      <c r="D64" s="8" t="n">
        <f aca="false">COUNTIFS(Invoices!$C$2:$C$856,A64,Invoices!$G$2:$G$856,"Sale")</f>
        <v>1</v>
      </c>
      <c r="E64" s="9" t="n">
        <f aca="false">SUMIFS(Invoices!$F$2:$F$856,Invoices!$C$2:$C$856,A64,Invoices!$G$2:$G$856,"Sale")</f>
        <v>205.91</v>
      </c>
      <c r="F64" s="8" t="n">
        <f aca="false">DATEDIF(B64,C64,"m")</f>
        <v>0</v>
      </c>
      <c r="G64" s="8" t="n">
        <f aca="false">DATEDIF(C64,$L$1,"d")</f>
        <v>625</v>
      </c>
      <c r="H64" s="8" t="str">
        <f aca="false">IF(G64&lt;=90,"Active",IF(G64&lt;=180,"At risk","Lost"))</f>
        <v>Lost</v>
      </c>
    </row>
    <row r="65" customFormat="false" ht="15" hidden="false" customHeight="false" outlineLevel="0" collapsed="false">
      <c r="A65" s="0" t="n">
        <v>16139</v>
      </c>
      <c r="B65" s="7" t="n">
        <f aca="false">_xlfn.MINIFS(Invoices!$B$2:$B$856,Invoices!$C$2:$C$856,A65,Invoices!$G$2:$G$856,"Sale")</f>
        <v>40150</v>
      </c>
      <c r="C65" s="7" t="n">
        <f aca="false">_xlfn.MAXIFS(Invoices!$B$2:$B$856,Invoices!$C$2:$C$856,A65,Invoices!$G$2:$G$856,"Sale")</f>
        <v>40868</v>
      </c>
      <c r="D65" s="8" t="n">
        <f aca="false">COUNTIFS(Invoices!$C$2:$C$856,A65,Invoices!$G$2:$G$856,"Sale")</f>
        <v>5</v>
      </c>
      <c r="E65" s="9" t="n">
        <f aca="false">SUMIFS(Invoices!$F$2:$F$856,Invoices!$C$2:$C$856,A65,Invoices!$G$2:$G$856,"Sale")</f>
        <v>1111.15</v>
      </c>
      <c r="F65" s="8" t="n">
        <f aca="false">DATEDIF(B65,C65,"m")</f>
        <v>23</v>
      </c>
      <c r="G65" s="8" t="n">
        <f aca="false">DATEDIF(C65,$L$1,"d")</f>
        <v>19</v>
      </c>
      <c r="H65" s="8" t="str">
        <f aca="false">IF(G65&lt;=90,"Active",IF(G65&lt;=180,"At risk","Lost"))</f>
        <v>Active</v>
      </c>
    </row>
    <row r="66" customFormat="false" ht="15" hidden="false" customHeight="false" outlineLevel="0" collapsed="false">
      <c r="A66" s="0" t="n">
        <v>16181</v>
      </c>
      <c r="B66" s="7" t="n">
        <f aca="false">_xlfn.MINIFS(Invoices!$B$2:$B$856,Invoices!$C$2:$C$856,A66,Invoices!$G$2:$G$856,"Sale")</f>
        <v>40813</v>
      </c>
      <c r="C66" s="7" t="n">
        <f aca="false">_xlfn.MAXIFS(Invoices!$B$2:$B$856,Invoices!$C$2:$C$856,A66,Invoices!$G$2:$G$856,"Sale")</f>
        <v>40813</v>
      </c>
      <c r="D66" s="8" t="n">
        <f aca="false">COUNTIFS(Invoices!$C$2:$C$856,A66,Invoices!$G$2:$G$856,"Sale")</f>
        <v>1</v>
      </c>
      <c r="E66" s="9" t="n">
        <f aca="false">SUMIFS(Invoices!$F$2:$F$856,Invoices!$C$2:$C$856,A66,Invoices!$G$2:$G$856,"Sale")</f>
        <v>305.54</v>
      </c>
      <c r="F66" s="8" t="n">
        <f aca="false">DATEDIF(B66,C66,"m")</f>
        <v>0</v>
      </c>
      <c r="G66" s="8" t="n">
        <f aca="false">DATEDIF(C66,$L$1,"d")</f>
        <v>74</v>
      </c>
      <c r="H66" s="8" t="str">
        <f aca="false">IF(G66&lt;=90,"Active",IF(G66&lt;=180,"At risk","Lost"))</f>
        <v>Active</v>
      </c>
    </row>
    <row r="67" customFormat="false" ht="15" hidden="false" customHeight="false" outlineLevel="0" collapsed="false">
      <c r="A67" s="0" t="n">
        <v>16234</v>
      </c>
      <c r="B67" s="7" t="n">
        <f aca="false">_xlfn.MINIFS(Invoices!$B$2:$B$856,Invoices!$C$2:$C$856,A67,Invoices!$G$2:$G$856,"Sale")</f>
        <v>40325</v>
      </c>
      <c r="C67" s="7" t="n">
        <f aca="false">_xlfn.MAXIFS(Invoices!$B$2:$B$856,Invoices!$C$2:$C$856,A67,Invoices!$G$2:$G$856,"Sale")</f>
        <v>40410</v>
      </c>
      <c r="D67" s="8" t="n">
        <f aca="false">COUNTIFS(Invoices!$C$2:$C$856,A67,Invoices!$G$2:$G$856,"Sale")</f>
        <v>3</v>
      </c>
      <c r="E67" s="9" t="n">
        <f aca="false">SUMIFS(Invoices!$F$2:$F$856,Invoices!$C$2:$C$856,A67,Invoices!$G$2:$G$856,"Sale")</f>
        <v>333.18</v>
      </c>
      <c r="F67" s="8" t="n">
        <f aca="false">DATEDIF(B67,C67,"m")</f>
        <v>2</v>
      </c>
      <c r="G67" s="8" t="n">
        <f aca="false">DATEDIF(C67,$L$1,"d")</f>
        <v>477</v>
      </c>
      <c r="H67" s="8" t="str">
        <f aca="false">IF(G67&lt;=90,"Active",IF(G67&lt;=180,"At risk","Lost"))</f>
        <v>Lost</v>
      </c>
    </row>
    <row r="68" customFormat="false" ht="15" hidden="false" customHeight="false" outlineLevel="0" collapsed="false">
      <c r="A68" s="0" t="n">
        <v>16251</v>
      </c>
      <c r="B68" s="7" t="n">
        <f aca="false">_xlfn.MINIFS(Invoices!$B$2:$B$856,Invoices!$C$2:$C$856,A68,Invoices!$G$2:$G$856,"Sale")</f>
        <v>40374</v>
      </c>
      <c r="C68" s="7" t="n">
        <f aca="false">_xlfn.MAXIFS(Invoices!$B$2:$B$856,Invoices!$C$2:$C$856,A68,Invoices!$G$2:$G$856,"Sale")</f>
        <v>40374</v>
      </c>
      <c r="D68" s="8" t="n">
        <f aca="false">COUNTIFS(Invoices!$C$2:$C$856,A68,Invoices!$G$2:$G$856,"Sale")</f>
        <v>1</v>
      </c>
      <c r="E68" s="9" t="n">
        <f aca="false">SUMIFS(Invoices!$F$2:$F$856,Invoices!$C$2:$C$856,A68,Invoices!$G$2:$G$856,"Sale")</f>
        <v>128.31</v>
      </c>
      <c r="F68" s="8" t="n">
        <f aca="false">DATEDIF(B68,C68,"m")</f>
        <v>0</v>
      </c>
      <c r="G68" s="8" t="n">
        <f aca="false">DATEDIF(C68,$L$1,"d")</f>
        <v>513</v>
      </c>
      <c r="H68" s="8" t="str">
        <f aca="false">IF(G68&lt;=90,"Active",IF(G68&lt;=180,"At risk","Lost"))</f>
        <v>Lost</v>
      </c>
    </row>
    <row r="69" customFormat="false" ht="15" hidden="false" customHeight="false" outlineLevel="0" collapsed="false">
      <c r="A69" s="0" t="n">
        <v>16260</v>
      </c>
      <c r="B69" s="7" t="n">
        <f aca="false">_xlfn.MINIFS(Invoices!$B$2:$B$856,Invoices!$C$2:$C$856,A69,Invoices!$G$2:$G$856,"Sale")</f>
        <v>40836</v>
      </c>
      <c r="C69" s="7" t="n">
        <f aca="false">_xlfn.MAXIFS(Invoices!$B$2:$B$856,Invoices!$C$2:$C$856,A69,Invoices!$G$2:$G$856,"Sale")</f>
        <v>40836</v>
      </c>
      <c r="D69" s="8" t="n">
        <f aca="false">COUNTIFS(Invoices!$C$2:$C$856,A69,Invoices!$G$2:$G$856,"Sale")</f>
        <v>1</v>
      </c>
      <c r="E69" s="9" t="n">
        <f aca="false">SUMIFS(Invoices!$F$2:$F$856,Invoices!$C$2:$C$856,A69,Invoices!$G$2:$G$856,"Sale")</f>
        <v>1035.45</v>
      </c>
      <c r="F69" s="8" t="n">
        <f aca="false">DATEDIF(B69,C69,"m")</f>
        <v>0</v>
      </c>
      <c r="G69" s="8" t="n">
        <f aca="false">DATEDIF(C69,$L$1,"d")</f>
        <v>51</v>
      </c>
      <c r="H69" s="8" t="str">
        <f aca="false">IF(G69&lt;=90,"Active",IF(G69&lt;=180,"At risk","Lost"))</f>
        <v>Active</v>
      </c>
    </row>
    <row r="70" customFormat="false" ht="15" hidden="false" customHeight="false" outlineLevel="0" collapsed="false">
      <c r="A70" s="0" t="n">
        <v>16282</v>
      </c>
      <c r="B70" s="7" t="n">
        <f aca="false">_xlfn.MINIFS(Invoices!$B$2:$B$856,Invoices!$C$2:$C$856,A70,Invoices!$G$2:$G$856,"Sale")</f>
        <v>40168</v>
      </c>
      <c r="C70" s="7" t="n">
        <f aca="false">_xlfn.MAXIFS(Invoices!$B$2:$B$856,Invoices!$C$2:$C$856,A70,Invoices!$G$2:$G$856,"Sale")</f>
        <v>40547</v>
      </c>
      <c r="D70" s="8" t="n">
        <f aca="false">COUNTIFS(Invoices!$C$2:$C$856,A70,Invoices!$G$2:$G$856,"Sale")</f>
        <v>3</v>
      </c>
      <c r="E70" s="9" t="n">
        <f aca="false">SUMIFS(Invoices!$F$2:$F$856,Invoices!$C$2:$C$856,A70,Invoices!$G$2:$G$856,"Sale")</f>
        <v>1307.58</v>
      </c>
      <c r="F70" s="8" t="n">
        <f aca="false">DATEDIF(B70,C70,"m")</f>
        <v>12</v>
      </c>
      <c r="G70" s="8" t="n">
        <f aca="false">DATEDIF(C70,$L$1,"d")</f>
        <v>340</v>
      </c>
      <c r="H70" s="8" t="str">
        <f aca="false">IF(G70&lt;=90,"Active",IF(G70&lt;=180,"At risk","Lost"))</f>
        <v>Lost</v>
      </c>
    </row>
    <row r="71" customFormat="false" ht="15" hidden="false" customHeight="false" outlineLevel="0" collapsed="false">
      <c r="A71" s="0" t="n">
        <v>16445</v>
      </c>
      <c r="B71" s="7" t="n">
        <f aca="false">_xlfn.MINIFS(Invoices!$B$2:$B$856,Invoices!$C$2:$C$856,A71,Invoices!$G$2:$G$856,"Sale")</f>
        <v>40475</v>
      </c>
      <c r="C71" s="7" t="n">
        <f aca="false">_xlfn.MAXIFS(Invoices!$B$2:$B$856,Invoices!$C$2:$C$856,A71,Invoices!$G$2:$G$856,"Sale")</f>
        <v>40853</v>
      </c>
      <c r="D71" s="8" t="n">
        <f aca="false">COUNTIFS(Invoices!$C$2:$C$856,A71,Invoices!$G$2:$G$856,"Sale")</f>
        <v>4</v>
      </c>
      <c r="E71" s="9" t="n">
        <f aca="false">SUMIFS(Invoices!$F$2:$F$856,Invoices!$C$2:$C$856,A71,Invoices!$G$2:$G$856,"Sale")</f>
        <v>602.73</v>
      </c>
      <c r="F71" s="8" t="n">
        <f aca="false">DATEDIF(B71,C71,"m")</f>
        <v>12</v>
      </c>
      <c r="G71" s="8" t="n">
        <f aca="false">DATEDIF(C71,$L$1,"d")</f>
        <v>34</v>
      </c>
      <c r="H71" s="8" t="str">
        <f aca="false">IF(G71&lt;=90,"Active",IF(G71&lt;=180,"At risk","Lost"))</f>
        <v>Active</v>
      </c>
    </row>
    <row r="72" customFormat="false" ht="15" hidden="false" customHeight="false" outlineLevel="0" collapsed="false">
      <c r="A72" s="0" t="n">
        <v>16562</v>
      </c>
      <c r="B72" s="7" t="n">
        <f aca="false">_xlfn.MINIFS(Invoices!$B$2:$B$856,Invoices!$C$2:$C$856,A72,Invoices!$G$2:$G$856,"Sale")</f>
        <v>40410</v>
      </c>
      <c r="C72" s="7" t="n">
        <f aca="false">_xlfn.MAXIFS(Invoices!$B$2:$B$856,Invoices!$C$2:$C$856,A72,Invoices!$G$2:$G$856,"Sale")</f>
        <v>40410</v>
      </c>
      <c r="D72" s="8" t="n">
        <f aca="false">COUNTIFS(Invoices!$C$2:$C$856,A72,Invoices!$G$2:$G$856,"Sale")</f>
        <v>1</v>
      </c>
      <c r="E72" s="9" t="n">
        <f aca="false">SUMIFS(Invoices!$F$2:$F$856,Invoices!$C$2:$C$856,A72,Invoices!$G$2:$G$856,"Sale")</f>
        <v>223.86</v>
      </c>
      <c r="F72" s="8" t="n">
        <f aca="false">DATEDIF(B72,C72,"m")</f>
        <v>0</v>
      </c>
      <c r="G72" s="8" t="n">
        <f aca="false">DATEDIF(C72,$L$1,"d")</f>
        <v>477</v>
      </c>
      <c r="H72" s="8" t="str">
        <f aca="false">IF(G72&lt;=90,"Active",IF(G72&lt;=180,"At risk","Lost"))</f>
        <v>Lost</v>
      </c>
    </row>
    <row r="73" customFormat="false" ht="15" hidden="false" customHeight="false" outlineLevel="0" collapsed="false">
      <c r="A73" s="0" t="n">
        <v>16564</v>
      </c>
      <c r="B73" s="7" t="n">
        <f aca="false">_xlfn.MINIFS(Invoices!$B$2:$B$856,Invoices!$C$2:$C$856,A73,Invoices!$G$2:$G$856,"Sale")</f>
        <v>40317</v>
      </c>
      <c r="C73" s="7" t="n">
        <f aca="false">_xlfn.MAXIFS(Invoices!$B$2:$B$856,Invoices!$C$2:$C$856,A73,Invoices!$G$2:$G$856,"Sale")</f>
        <v>40317</v>
      </c>
      <c r="D73" s="8" t="n">
        <f aca="false">COUNTIFS(Invoices!$C$2:$C$856,A73,Invoices!$G$2:$G$856,"Sale")</f>
        <v>1</v>
      </c>
      <c r="E73" s="9" t="n">
        <f aca="false">SUMIFS(Invoices!$F$2:$F$856,Invoices!$C$2:$C$856,A73,Invoices!$G$2:$G$856,"Sale")</f>
        <v>87.8</v>
      </c>
      <c r="F73" s="8" t="n">
        <f aca="false">DATEDIF(B73,C73,"m")</f>
        <v>0</v>
      </c>
      <c r="G73" s="8" t="n">
        <f aca="false">DATEDIF(C73,$L$1,"d")</f>
        <v>570</v>
      </c>
      <c r="H73" s="8" t="str">
        <f aca="false">IF(G73&lt;=90,"Active",IF(G73&lt;=180,"At risk","Lost"))</f>
        <v>Lost</v>
      </c>
    </row>
    <row r="74" customFormat="false" ht="15" hidden="false" customHeight="false" outlineLevel="0" collapsed="false">
      <c r="A74" s="0" t="n">
        <v>16589</v>
      </c>
      <c r="B74" s="7" t="n">
        <f aca="false">_xlfn.MINIFS(Invoices!$B$2:$B$856,Invoices!$C$2:$C$856,A74,Invoices!$G$2:$G$856,"Sale")</f>
        <v>40436</v>
      </c>
      <c r="C74" s="7" t="n">
        <f aca="false">_xlfn.MAXIFS(Invoices!$B$2:$B$856,Invoices!$C$2:$C$856,A74,Invoices!$G$2:$G$856,"Sale")</f>
        <v>40815</v>
      </c>
      <c r="D74" s="8" t="n">
        <f aca="false">COUNTIFS(Invoices!$C$2:$C$856,A74,Invoices!$G$2:$G$856,"Sale")</f>
        <v>4</v>
      </c>
      <c r="E74" s="9" t="n">
        <f aca="false">SUMIFS(Invoices!$F$2:$F$856,Invoices!$C$2:$C$856,A74,Invoices!$G$2:$G$856,"Sale")</f>
        <v>612.36</v>
      </c>
      <c r="F74" s="8" t="n">
        <f aca="false">DATEDIF(B74,C74,"m")</f>
        <v>12</v>
      </c>
      <c r="G74" s="8" t="n">
        <f aca="false">DATEDIF(C74,$L$1,"d")</f>
        <v>72</v>
      </c>
      <c r="H74" s="8" t="str">
        <f aca="false">IF(G74&lt;=90,"Active",IF(G74&lt;=180,"At risk","Lost"))</f>
        <v>Active</v>
      </c>
    </row>
    <row r="75" customFormat="false" ht="15" hidden="false" customHeight="false" outlineLevel="0" collapsed="false">
      <c r="A75" s="0" t="n">
        <v>16618</v>
      </c>
      <c r="B75" s="7" t="n">
        <f aca="false">_xlfn.MINIFS(Invoices!$B$2:$B$856,Invoices!$C$2:$C$856,A75,Invoices!$G$2:$G$856,"Sale")</f>
        <v>40564</v>
      </c>
      <c r="C75" s="7" t="n">
        <f aca="false">_xlfn.MAXIFS(Invoices!$B$2:$B$856,Invoices!$C$2:$C$856,A75,Invoices!$G$2:$G$856,"Sale")</f>
        <v>40855</v>
      </c>
      <c r="D75" s="8" t="n">
        <f aca="false">COUNTIFS(Invoices!$C$2:$C$856,A75,Invoices!$G$2:$G$856,"Sale")</f>
        <v>5</v>
      </c>
      <c r="E75" s="9" t="n">
        <f aca="false">SUMIFS(Invoices!$F$2:$F$856,Invoices!$C$2:$C$856,A75,Invoices!$G$2:$G$856,"Sale")</f>
        <v>2647.59</v>
      </c>
      <c r="F75" s="8" t="n">
        <f aca="false">DATEDIF(B75,C75,"m")</f>
        <v>9</v>
      </c>
      <c r="G75" s="8" t="n">
        <f aca="false">DATEDIF(C75,$L$1,"d")</f>
        <v>32</v>
      </c>
      <c r="H75" s="8" t="str">
        <f aca="false">IF(G75&lt;=90,"Active",IF(G75&lt;=180,"At risk","Lost"))</f>
        <v>Active</v>
      </c>
    </row>
    <row r="76" customFormat="false" ht="15" hidden="false" customHeight="false" outlineLevel="0" collapsed="false">
      <c r="A76" s="0" t="n">
        <v>16628</v>
      </c>
      <c r="B76" s="7" t="n">
        <f aca="false">_xlfn.MINIFS(Invoices!$B$2:$B$856,Invoices!$C$2:$C$856,A76,Invoices!$G$2:$G$856,"Sale")</f>
        <v>40245</v>
      </c>
      <c r="C76" s="7" t="n">
        <f aca="false">_xlfn.MAXIFS(Invoices!$B$2:$B$856,Invoices!$C$2:$C$856,A76,Invoices!$G$2:$G$856,"Sale")</f>
        <v>40857</v>
      </c>
      <c r="D76" s="8" t="n">
        <f aca="false">COUNTIFS(Invoices!$C$2:$C$856,A76,Invoices!$G$2:$G$856,"Sale")</f>
        <v>7</v>
      </c>
      <c r="E76" s="9" t="n">
        <f aca="false">SUMIFS(Invoices!$F$2:$F$856,Invoices!$C$2:$C$856,A76,Invoices!$G$2:$G$856,"Sale")</f>
        <v>2318.1</v>
      </c>
      <c r="F76" s="8" t="n">
        <f aca="false">DATEDIF(B76,C76,"m")</f>
        <v>20</v>
      </c>
      <c r="G76" s="8" t="n">
        <f aca="false">DATEDIF(C76,$L$1,"d")</f>
        <v>30</v>
      </c>
      <c r="H76" s="8" t="str">
        <f aca="false">IF(G76&lt;=90,"Active",IF(G76&lt;=180,"At risk","Lost"))</f>
        <v>Active</v>
      </c>
    </row>
    <row r="77" customFormat="false" ht="15" hidden="false" customHeight="false" outlineLevel="0" collapsed="false">
      <c r="A77" s="0" t="n">
        <v>16634</v>
      </c>
      <c r="B77" s="7" t="n">
        <f aca="false">_xlfn.MINIFS(Invoices!$B$2:$B$856,Invoices!$C$2:$C$856,A77,Invoices!$G$2:$G$856,"Sale")</f>
        <v>40199</v>
      </c>
      <c r="C77" s="7" t="n">
        <f aca="false">_xlfn.MAXIFS(Invoices!$B$2:$B$856,Invoices!$C$2:$C$856,A77,Invoices!$G$2:$G$856,"Sale")</f>
        <v>40664</v>
      </c>
      <c r="D77" s="8" t="n">
        <f aca="false">COUNTIFS(Invoices!$C$2:$C$856,A77,Invoices!$G$2:$G$856,"Sale")</f>
        <v>6</v>
      </c>
      <c r="E77" s="9" t="n">
        <f aca="false">SUMIFS(Invoices!$F$2:$F$856,Invoices!$C$2:$C$856,A77,Invoices!$G$2:$G$856,"Sale")</f>
        <v>1649.81</v>
      </c>
      <c r="F77" s="8" t="n">
        <f aca="false">DATEDIF(B77,C77,"m")</f>
        <v>15</v>
      </c>
      <c r="G77" s="8" t="n">
        <f aca="false">DATEDIF(C77,$L$1,"d")</f>
        <v>223</v>
      </c>
      <c r="H77" s="8" t="str">
        <f aca="false">IF(G77&lt;=90,"Active",IF(G77&lt;=180,"At risk","Lost"))</f>
        <v>Lost</v>
      </c>
    </row>
    <row r="78" customFormat="false" ht="15" hidden="false" customHeight="false" outlineLevel="0" collapsed="false">
      <c r="A78" s="0" t="n">
        <v>16692</v>
      </c>
      <c r="B78" s="7" t="n">
        <f aca="false">_xlfn.MINIFS(Invoices!$B$2:$B$856,Invoices!$C$2:$C$856,A78,Invoices!$G$2:$G$856,"Sale")</f>
        <v>40445</v>
      </c>
      <c r="C78" s="7" t="n">
        <f aca="false">_xlfn.MAXIFS(Invoices!$B$2:$B$856,Invoices!$C$2:$C$856,A78,Invoices!$G$2:$G$856,"Sale")</f>
        <v>40630</v>
      </c>
      <c r="D78" s="8" t="n">
        <f aca="false">COUNTIFS(Invoices!$C$2:$C$856,A78,Invoices!$G$2:$G$856,"Sale")</f>
        <v>4</v>
      </c>
      <c r="E78" s="9" t="n">
        <f aca="false">SUMIFS(Invoices!$F$2:$F$856,Invoices!$C$2:$C$856,A78,Invoices!$G$2:$G$856,"Sale")</f>
        <v>1914.7</v>
      </c>
      <c r="F78" s="8" t="n">
        <f aca="false">DATEDIF(B78,C78,"m")</f>
        <v>6</v>
      </c>
      <c r="G78" s="8" t="n">
        <f aca="false">DATEDIF(C78,$L$1,"d")</f>
        <v>257</v>
      </c>
      <c r="H78" s="8" t="str">
        <f aca="false">IF(G78&lt;=90,"Active",IF(G78&lt;=180,"At risk","Lost"))</f>
        <v>Lost</v>
      </c>
    </row>
    <row r="79" customFormat="false" ht="15" hidden="false" customHeight="false" outlineLevel="0" collapsed="false">
      <c r="A79" s="0" t="n">
        <v>16740</v>
      </c>
      <c r="B79" s="7" t="n">
        <f aca="false">_xlfn.MINIFS(Invoices!$B$2:$B$856,Invoices!$C$2:$C$856,A79,Invoices!$G$2:$G$856,"Sale")</f>
        <v>40491</v>
      </c>
      <c r="C79" s="7" t="n">
        <f aca="false">_xlfn.MAXIFS(Invoices!$B$2:$B$856,Invoices!$C$2:$C$856,A79,Invoices!$G$2:$G$856,"Sale")</f>
        <v>40491</v>
      </c>
      <c r="D79" s="8" t="n">
        <f aca="false">COUNTIFS(Invoices!$C$2:$C$856,A79,Invoices!$G$2:$G$856,"Sale")</f>
        <v>1</v>
      </c>
      <c r="E79" s="9" t="n">
        <f aca="false">SUMIFS(Invoices!$F$2:$F$856,Invoices!$C$2:$C$856,A79,Invoices!$G$2:$G$856,"Sale")</f>
        <v>236.81</v>
      </c>
      <c r="F79" s="8" t="n">
        <f aca="false">DATEDIF(B79,C79,"m")</f>
        <v>0</v>
      </c>
      <c r="G79" s="8" t="n">
        <f aca="false">DATEDIF(C79,$L$1,"d")</f>
        <v>396</v>
      </c>
      <c r="H79" s="8" t="str">
        <f aca="false">IF(G79&lt;=90,"Active",IF(G79&lt;=180,"At risk","Lost"))</f>
        <v>Lost</v>
      </c>
    </row>
    <row r="80" customFormat="false" ht="15" hidden="false" customHeight="false" outlineLevel="0" collapsed="false">
      <c r="A80" s="0" t="n">
        <v>16883</v>
      </c>
      <c r="B80" s="7" t="n">
        <f aca="false">_xlfn.MINIFS(Invoices!$B$2:$B$856,Invoices!$C$2:$C$856,A80,Invoices!$G$2:$G$856,"Sale")</f>
        <v>40151</v>
      </c>
      <c r="C80" s="7" t="n">
        <f aca="false">_xlfn.MAXIFS(Invoices!$B$2:$B$856,Invoices!$C$2:$C$856,A80,Invoices!$G$2:$G$856,"Sale")</f>
        <v>40699</v>
      </c>
      <c r="D80" s="8" t="n">
        <f aca="false">COUNTIFS(Invoices!$C$2:$C$856,A80,Invoices!$G$2:$G$856,"Sale")</f>
        <v>19</v>
      </c>
      <c r="E80" s="9" t="n">
        <f aca="false">SUMIFS(Invoices!$F$2:$F$856,Invoices!$C$2:$C$856,A80,Invoices!$G$2:$G$856,"Sale")</f>
        <v>2268.56</v>
      </c>
      <c r="F80" s="8" t="n">
        <f aca="false">DATEDIF(B80,C80,"m")</f>
        <v>18</v>
      </c>
      <c r="G80" s="8" t="n">
        <f aca="false">DATEDIF(C80,$L$1,"d")</f>
        <v>188</v>
      </c>
      <c r="H80" s="8" t="str">
        <f aca="false">IF(G80&lt;=90,"Active",IF(G80&lt;=180,"At risk","Lost"))</f>
        <v>Lost</v>
      </c>
    </row>
    <row r="81" customFormat="false" ht="15" hidden="false" customHeight="false" outlineLevel="0" collapsed="false">
      <c r="A81" s="0" t="n">
        <v>16907</v>
      </c>
      <c r="B81" s="7" t="n">
        <f aca="false">_xlfn.MINIFS(Invoices!$B$2:$B$856,Invoices!$C$2:$C$856,A81,Invoices!$G$2:$G$856,"Sale")</f>
        <v>40360</v>
      </c>
      <c r="C81" s="7" t="n">
        <f aca="false">_xlfn.MAXIFS(Invoices!$B$2:$B$856,Invoices!$C$2:$C$856,A81,Invoices!$G$2:$G$856,"Sale")</f>
        <v>40857</v>
      </c>
      <c r="D81" s="8" t="n">
        <f aca="false">COUNTIFS(Invoices!$C$2:$C$856,A81,Invoices!$G$2:$G$856,"Sale")</f>
        <v>9</v>
      </c>
      <c r="E81" s="9" t="n">
        <f aca="false">SUMIFS(Invoices!$F$2:$F$856,Invoices!$C$2:$C$856,A81,Invoices!$G$2:$G$856,"Sale")</f>
        <v>1525.88</v>
      </c>
      <c r="F81" s="8" t="n">
        <f aca="false">DATEDIF(B81,C81,"m")</f>
        <v>16</v>
      </c>
      <c r="G81" s="8" t="n">
        <f aca="false">DATEDIF(C81,$L$1,"d")</f>
        <v>30</v>
      </c>
      <c r="H81" s="8" t="str">
        <f aca="false">IF(G81&lt;=90,"Active",IF(G81&lt;=180,"At risk","Lost"))</f>
        <v>Active</v>
      </c>
    </row>
    <row r="82" customFormat="false" ht="15" hidden="false" customHeight="false" outlineLevel="0" collapsed="false">
      <c r="A82" s="0" t="n">
        <v>16929</v>
      </c>
      <c r="B82" s="7" t="n">
        <f aca="false">_xlfn.MINIFS(Invoices!$B$2:$B$856,Invoices!$C$2:$C$856,A82,Invoices!$G$2:$G$856,"Sale")</f>
        <v>40731</v>
      </c>
      <c r="C82" s="7" t="n">
        <f aca="false">_xlfn.MAXIFS(Invoices!$B$2:$B$856,Invoices!$C$2:$C$856,A82,Invoices!$G$2:$G$856,"Sale")</f>
        <v>40883</v>
      </c>
      <c r="D82" s="8" t="n">
        <f aca="false">COUNTIFS(Invoices!$C$2:$C$856,A82,Invoices!$G$2:$G$856,"Sale")</f>
        <v>7</v>
      </c>
      <c r="E82" s="9" t="n">
        <f aca="false">SUMIFS(Invoices!$F$2:$F$856,Invoices!$C$2:$C$856,A82,Invoices!$G$2:$G$856,"Sale")</f>
        <v>1295.39</v>
      </c>
      <c r="F82" s="8" t="n">
        <f aca="false">DATEDIF(B82,C82,"m")</f>
        <v>4</v>
      </c>
      <c r="G82" s="8" t="n">
        <f aca="false">DATEDIF(C82,$L$1,"d")</f>
        <v>4</v>
      </c>
      <c r="H82" s="8" t="str">
        <f aca="false">IF(G82&lt;=90,"Active",IF(G82&lt;=180,"At risk","Lost"))</f>
        <v>Active</v>
      </c>
    </row>
    <row r="83" customFormat="false" ht="15" hidden="false" customHeight="false" outlineLevel="0" collapsed="false">
      <c r="A83" s="0" t="n">
        <v>16950</v>
      </c>
      <c r="B83" s="7" t="n">
        <f aca="false">_xlfn.MINIFS(Invoices!$B$2:$B$856,Invoices!$C$2:$C$856,A83,Invoices!$G$2:$G$856,"Sale")</f>
        <v>40202</v>
      </c>
      <c r="C83" s="7" t="n">
        <f aca="false">_xlfn.MAXIFS(Invoices!$B$2:$B$856,Invoices!$C$2:$C$856,A83,Invoices!$G$2:$G$856,"Sale")</f>
        <v>40830</v>
      </c>
      <c r="D83" s="8" t="n">
        <f aca="false">COUNTIFS(Invoices!$C$2:$C$856,A83,Invoices!$G$2:$G$856,"Sale")</f>
        <v>10</v>
      </c>
      <c r="E83" s="9" t="n">
        <f aca="false">SUMIFS(Invoices!$F$2:$F$856,Invoices!$C$2:$C$856,A83,Invoices!$G$2:$G$856,"Sale")</f>
        <v>3612.37</v>
      </c>
      <c r="F83" s="8" t="n">
        <f aca="false">DATEDIF(B83,C83,"m")</f>
        <v>20</v>
      </c>
      <c r="G83" s="8" t="n">
        <f aca="false">DATEDIF(C83,$L$1,"d")</f>
        <v>57</v>
      </c>
      <c r="H83" s="8" t="str">
        <f aca="false">IF(G83&lt;=90,"Active",IF(G83&lt;=180,"At risk","Lost"))</f>
        <v>Active</v>
      </c>
    </row>
    <row r="84" customFormat="false" ht="15" hidden="false" customHeight="false" outlineLevel="0" collapsed="false">
      <c r="A84" s="0" t="n">
        <v>16978</v>
      </c>
      <c r="B84" s="7" t="n">
        <f aca="false">_xlfn.MINIFS(Invoices!$B$2:$B$856,Invoices!$C$2:$C$856,A84,Invoices!$G$2:$G$856,"Sale")</f>
        <v>40220</v>
      </c>
      <c r="C84" s="7" t="n">
        <f aca="false">_xlfn.MAXIFS(Invoices!$B$2:$B$856,Invoices!$C$2:$C$856,A84,Invoices!$G$2:$G$856,"Sale")</f>
        <v>40809</v>
      </c>
      <c r="D84" s="8" t="n">
        <f aca="false">COUNTIFS(Invoices!$C$2:$C$856,A84,Invoices!$G$2:$G$856,"Sale")</f>
        <v>3</v>
      </c>
      <c r="E84" s="9" t="n">
        <f aca="false">SUMIFS(Invoices!$F$2:$F$856,Invoices!$C$2:$C$856,A84,Invoices!$G$2:$G$856,"Sale")</f>
        <v>768.88</v>
      </c>
      <c r="F84" s="8" t="n">
        <f aca="false">DATEDIF(B84,C84,"m")</f>
        <v>19</v>
      </c>
      <c r="G84" s="8" t="n">
        <f aca="false">DATEDIF(C84,$L$1,"d")</f>
        <v>78</v>
      </c>
      <c r="H84" s="8" t="str">
        <f aca="false">IF(G84&lt;=90,"Active",IF(G84&lt;=180,"At risk","Lost"))</f>
        <v>Active</v>
      </c>
    </row>
    <row r="85" customFormat="false" ht="15" hidden="false" customHeight="false" outlineLevel="0" collapsed="false">
      <c r="A85" s="0" t="n">
        <v>17002</v>
      </c>
      <c r="B85" s="7" t="n">
        <f aca="false">_xlfn.MINIFS(Invoices!$B$2:$B$856,Invoices!$C$2:$C$856,A85,Invoices!$G$2:$G$856,"Sale")</f>
        <v>40245</v>
      </c>
      <c r="C85" s="7" t="n">
        <f aca="false">_xlfn.MAXIFS(Invoices!$B$2:$B$856,Invoices!$C$2:$C$856,A85,Invoices!$G$2:$G$856,"Sale")</f>
        <v>40801</v>
      </c>
      <c r="D85" s="8" t="n">
        <f aca="false">COUNTIFS(Invoices!$C$2:$C$856,A85,Invoices!$G$2:$G$856,"Sale")</f>
        <v>7</v>
      </c>
      <c r="E85" s="9" t="n">
        <f aca="false">SUMIFS(Invoices!$F$2:$F$856,Invoices!$C$2:$C$856,A85,Invoices!$G$2:$G$856,"Sale")</f>
        <v>2571.55</v>
      </c>
      <c r="F85" s="8" t="n">
        <f aca="false">DATEDIF(B85,C85,"m")</f>
        <v>18</v>
      </c>
      <c r="G85" s="8" t="n">
        <f aca="false">DATEDIF(C85,$L$1,"d")</f>
        <v>86</v>
      </c>
      <c r="H85" s="8" t="str">
        <f aca="false">IF(G85&lt;=90,"Active",IF(G85&lt;=180,"At risk","Lost"))</f>
        <v>Active</v>
      </c>
    </row>
    <row r="86" customFormat="false" ht="15" hidden="false" customHeight="false" outlineLevel="0" collapsed="false">
      <c r="A86" s="0" t="n">
        <v>17030</v>
      </c>
      <c r="B86" s="7" t="n">
        <f aca="false">_xlfn.MINIFS(Invoices!$B$2:$B$856,Invoices!$C$2:$C$856,A86,Invoices!$G$2:$G$856,"Sale")</f>
        <v>40823</v>
      </c>
      <c r="C86" s="7" t="n">
        <f aca="false">_xlfn.MAXIFS(Invoices!$B$2:$B$856,Invoices!$C$2:$C$856,A86,Invoices!$G$2:$G$856,"Sale")</f>
        <v>40823</v>
      </c>
      <c r="D86" s="8" t="n">
        <f aca="false">COUNTIFS(Invoices!$C$2:$C$856,A86,Invoices!$G$2:$G$856,"Sale")</f>
        <v>1</v>
      </c>
      <c r="E86" s="9" t="n">
        <f aca="false">SUMIFS(Invoices!$F$2:$F$856,Invoices!$C$2:$C$856,A86,Invoices!$G$2:$G$856,"Sale")</f>
        <v>146.87</v>
      </c>
      <c r="F86" s="8" t="n">
        <f aca="false">DATEDIF(B86,C86,"m")</f>
        <v>0</v>
      </c>
      <c r="G86" s="8" t="n">
        <f aca="false">DATEDIF(C86,$L$1,"d")</f>
        <v>64</v>
      </c>
      <c r="H86" s="8" t="str">
        <f aca="false">IF(G86&lt;=90,"Active",IF(G86&lt;=180,"At risk","Lost"))</f>
        <v>Active</v>
      </c>
    </row>
    <row r="87" customFormat="false" ht="15" hidden="false" customHeight="false" outlineLevel="0" collapsed="false">
      <c r="A87" s="0" t="n">
        <v>17041</v>
      </c>
      <c r="B87" s="7" t="n">
        <f aca="false">_xlfn.MINIFS(Invoices!$B$2:$B$856,Invoices!$C$2:$C$856,A87,Invoices!$G$2:$G$856,"Sale")</f>
        <v>40286</v>
      </c>
      <c r="C87" s="7" t="n">
        <f aca="false">_xlfn.MAXIFS(Invoices!$B$2:$B$856,Invoices!$C$2:$C$856,A87,Invoices!$G$2:$G$856,"Sale")</f>
        <v>40860</v>
      </c>
      <c r="D87" s="8" t="n">
        <f aca="false">COUNTIFS(Invoices!$C$2:$C$856,A87,Invoices!$G$2:$G$856,"Sale")</f>
        <v>6</v>
      </c>
      <c r="E87" s="9" t="n">
        <f aca="false">SUMIFS(Invoices!$F$2:$F$856,Invoices!$C$2:$C$856,A87,Invoices!$G$2:$G$856,"Sale")</f>
        <v>1686.28</v>
      </c>
      <c r="F87" s="8" t="n">
        <f aca="false">DATEDIF(B87,C87,"m")</f>
        <v>18</v>
      </c>
      <c r="G87" s="8" t="n">
        <f aca="false">DATEDIF(C87,$L$1,"d")</f>
        <v>27</v>
      </c>
      <c r="H87" s="8" t="str">
        <f aca="false">IF(G87&lt;=90,"Active",IF(G87&lt;=180,"At risk","Lost"))</f>
        <v>Active</v>
      </c>
    </row>
    <row r="88" customFormat="false" ht="15" hidden="false" customHeight="false" outlineLevel="0" collapsed="false">
      <c r="A88" s="0" t="n">
        <v>17126</v>
      </c>
      <c r="B88" s="7" t="n">
        <f aca="false">_xlfn.MINIFS(Invoices!$B$2:$B$856,Invoices!$C$2:$C$856,A88,Invoices!$G$2:$G$856,"Sale")</f>
        <v>40421</v>
      </c>
      <c r="C88" s="7" t="n">
        <f aca="false">_xlfn.MAXIFS(Invoices!$B$2:$B$856,Invoices!$C$2:$C$856,A88,Invoices!$G$2:$G$856,"Sale")</f>
        <v>40734</v>
      </c>
      <c r="D88" s="8" t="n">
        <f aca="false">COUNTIFS(Invoices!$C$2:$C$856,A88,Invoices!$G$2:$G$856,"Sale")</f>
        <v>9</v>
      </c>
      <c r="E88" s="9" t="n">
        <f aca="false">SUMIFS(Invoices!$F$2:$F$856,Invoices!$C$2:$C$856,A88,Invoices!$G$2:$G$856,"Sale")</f>
        <v>2070.44</v>
      </c>
      <c r="F88" s="8" t="n">
        <f aca="false">DATEDIF(B88,C88,"m")</f>
        <v>10</v>
      </c>
      <c r="G88" s="8" t="n">
        <f aca="false">DATEDIF(C88,$L$1,"d")</f>
        <v>153</v>
      </c>
      <c r="H88" s="8" t="str">
        <f aca="false">IF(G88&lt;=90,"Active",IF(G88&lt;=180,"At risk","Lost"))</f>
        <v>At risk</v>
      </c>
    </row>
    <row r="89" customFormat="false" ht="15" hidden="false" customHeight="false" outlineLevel="0" collapsed="false">
      <c r="A89" s="0" t="n">
        <v>17182</v>
      </c>
      <c r="B89" s="7" t="n">
        <f aca="false">_xlfn.MINIFS(Invoices!$B$2:$B$856,Invoices!$C$2:$C$856,A89,Invoices!$G$2:$G$856,"Sale")</f>
        <v>40168</v>
      </c>
      <c r="C89" s="7" t="n">
        <f aca="false">_xlfn.MAXIFS(Invoices!$B$2:$B$856,Invoices!$C$2:$C$856,A89,Invoices!$G$2:$G$856,"Sale")</f>
        <v>40464</v>
      </c>
      <c r="D89" s="8" t="n">
        <f aca="false">COUNTIFS(Invoices!$C$2:$C$856,A89,Invoices!$G$2:$G$856,"Sale")</f>
        <v>2</v>
      </c>
      <c r="E89" s="9" t="n">
        <f aca="false">SUMIFS(Invoices!$F$2:$F$856,Invoices!$C$2:$C$856,A89,Invoices!$G$2:$G$856,"Sale")</f>
        <v>321.3</v>
      </c>
      <c r="F89" s="8" t="n">
        <f aca="false">DATEDIF(B89,C89,"m")</f>
        <v>9</v>
      </c>
      <c r="G89" s="8" t="n">
        <f aca="false">DATEDIF(C89,$L$1,"d")</f>
        <v>423</v>
      </c>
      <c r="H89" s="8" t="str">
        <f aca="false">IF(G89&lt;=90,"Active",IF(G89&lt;=180,"At risk","Lost"))</f>
        <v>Lost</v>
      </c>
    </row>
    <row r="90" customFormat="false" ht="15" hidden="false" customHeight="false" outlineLevel="0" collapsed="false">
      <c r="A90" s="0" t="n">
        <v>17198</v>
      </c>
      <c r="B90" s="7" t="n">
        <f aca="false">_xlfn.MINIFS(Invoices!$B$2:$B$856,Invoices!$C$2:$C$856,A90,Invoices!$G$2:$G$856,"Sale")</f>
        <v>40515</v>
      </c>
      <c r="C90" s="7" t="n">
        <f aca="false">_xlfn.MAXIFS(Invoices!$B$2:$B$856,Invoices!$C$2:$C$856,A90,Invoices!$G$2:$G$856,"Sale")</f>
        <v>40863</v>
      </c>
      <c r="D90" s="8" t="n">
        <f aca="false">COUNTIFS(Invoices!$C$2:$C$856,A90,Invoices!$G$2:$G$856,"Sale")</f>
        <v>3</v>
      </c>
      <c r="E90" s="9" t="n">
        <f aca="false">SUMIFS(Invoices!$F$2:$F$856,Invoices!$C$2:$C$856,A90,Invoices!$G$2:$G$856,"Sale")</f>
        <v>692.22</v>
      </c>
      <c r="F90" s="8" t="n">
        <f aca="false">DATEDIF(B90,C90,"m")</f>
        <v>11</v>
      </c>
      <c r="G90" s="8" t="n">
        <f aca="false">DATEDIF(C90,$L$1,"d")</f>
        <v>24</v>
      </c>
      <c r="H90" s="8" t="str">
        <f aca="false">IF(G90&lt;=90,"Active",IF(G90&lt;=180,"At risk","Lost"))</f>
        <v>Active</v>
      </c>
    </row>
    <row r="91" customFormat="false" ht="15" hidden="false" customHeight="false" outlineLevel="0" collapsed="false">
      <c r="A91" s="0" t="n">
        <v>17299</v>
      </c>
      <c r="B91" s="7" t="n">
        <f aca="false">_xlfn.MINIFS(Invoices!$B$2:$B$856,Invoices!$C$2:$C$856,A91,Invoices!$G$2:$G$856,"Sale")</f>
        <v>40405</v>
      </c>
      <c r="C91" s="7" t="n">
        <f aca="false">_xlfn.MAXIFS(Invoices!$B$2:$B$856,Invoices!$C$2:$C$856,A91,Invoices!$G$2:$G$856,"Sale")</f>
        <v>40875</v>
      </c>
      <c r="D91" s="8" t="n">
        <f aca="false">COUNTIFS(Invoices!$C$2:$C$856,A91,Invoices!$G$2:$G$856,"Sale")</f>
        <v>6</v>
      </c>
      <c r="E91" s="9" t="n">
        <f aca="false">SUMIFS(Invoices!$F$2:$F$856,Invoices!$C$2:$C$856,A91,Invoices!$G$2:$G$856,"Sale")</f>
        <v>1016.08</v>
      </c>
      <c r="F91" s="8" t="n">
        <f aca="false">DATEDIF(B91,C91,"m")</f>
        <v>15</v>
      </c>
      <c r="G91" s="8" t="n">
        <f aca="false">DATEDIF(C91,$L$1,"d")</f>
        <v>12</v>
      </c>
      <c r="H91" s="8" t="str">
        <f aca="false">IF(G91&lt;=90,"Active",IF(G91&lt;=180,"At risk","Lost"))</f>
        <v>Active</v>
      </c>
    </row>
    <row r="92" customFormat="false" ht="15" hidden="false" customHeight="false" outlineLevel="0" collapsed="false">
      <c r="A92" s="0" t="n">
        <v>17322</v>
      </c>
      <c r="B92" s="7" t="n">
        <f aca="false">_xlfn.MINIFS(Invoices!$B$2:$B$856,Invoices!$C$2:$C$856,A92,Invoices!$G$2:$G$856,"Sale")</f>
        <v>40150</v>
      </c>
      <c r="C92" s="7" t="n">
        <f aca="false">_xlfn.MAXIFS(Invoices!$B$2:$B$856,Invoices!$C$2:$C$856,A92,Invoices!$G$2:$G$856,"Sale")</f>
        <v>40510</v>
      </c>
      <c r="D92" s="8" t="n">
        <f aca="false">COUNTIFS(Invoices!$C$2:$C$856,A92,Invoices!$G$2:$G$856,"Sale")</f>
        <v>5</v>
      </c>
      <c r="E92" s="9" t="n">
        <f aca="false">SUMIFS(Invoices!$F$2:$F$856,Invoices!$C$2:$C$856,A92,Invoices!$G$2:$G$856,"Sale")</f>
        <v>922.59</v>
      </c>
      <c r="F92" s="8" t="n">
        <f aca="false">DATEDIF(B92,C92,"m")</f>
        <v>11</v>
      </c>
      <c r="G92" s="8" t="n">
        <f aca="false">DATEDIF(C92,$L$1,"d")</f>
        <v>377</v>
      </c>
      <c r="H92" s="8" t="str">
        <f aca="false">IF(G92&lt;=90,"Active",IF(G92&lt;=180,"At risk","Lost"))</f>
        <v>Lost</v>
      </c>
    </row>
    <row r="93" customFormat="false" ht="15" hidden="false" customHeight="false" outlineLevel="0" collapsed="false">
      <c r="A93" s="0" t="n">
        <v>17333</v>
      </c>
      <c r="B93" s="7" t="n">
        <f aca="false">_xlfn.MINIFS(Invoices!$B$2:$B$856,Invoices!$C$2:$C$856,A93,Invoices!$G$2:$G$856,"Sale")</f>
        <v>40801</v>
      </c>
      <c r="C93" s="7" t="n">
        <f aca="false">_xlfn.MAXIFS(Invoices!$B$2:$B$856,Invoices!$C$2:$C$856,A93,Invoices!$G$2:$G$856,"Sale")</f>
        <v>40801</v>
      </c>
      <c r="D93" s="8" t="n">
        <f aca="false">COUNTIFS(Invoices!$C$2:$C$856,A93,Invoices!$G$2:$G$856,"Sale")</f>
        <v>1</v>
      </c>
      <c r="E93" s="9" t="n">
        <f aca="false">SUMIFS(Invoices!$F$2:$F$856,Invoices!$C$2:$C$856,A93,Invoices!$G$2:$G$856,"Sale")</f>
        <v>494.25</v>
      </c>
      <c r="F93" s="8" t="n">
        <f aca="false">DATEDIF(B93,C93,"m")</f>
        <v>0</v>
      </c>
      <c r="G93" s="8" t="n">
        <f aca="false">DATEDIF(C93,$L$1,"d")</f>
        <v>86</v>
      </c>
      <c r="H93" s="8" t="str">
        <f aca="false">IF(G93&lt;=90,"Active",IF(G93&lt;=180,"At risk","Lost"))</f>
        <v>Active</v>
      </c>
    </row>
    <row r="94" customFormat="false" ht="15" hidden="false" customHeight="false" outlineLevel="0" collapsed="false">
      <c r="A94" s="0" t="n">
        <v>17350</v>
      </c>
      <c r="B94" s="7" t="n">
        <f aca="false">_xlfn.MINIFS(Invoices!$B$2:$B$856,Invoices!$C$2:$C$856,A94,Invoices!$G$2:$G$856,"Sale")</f>
        <v>40210</v>
      </c>
      <c r="C94" s="7" t="n">
        <f aca="false">_xlfn.MAXIFS(Invoices!$B$2:$B$856,Invoices!$C$2:$C$856,A94,Invoices!$G$2:$G$856,"Sale")</f>
        <v>40878</v>
      </c>
      <c r="D94" s="8" t="n">
        <f aca="false">COUNTIFS(Invoices!$C$2:$C$856,A94,Invoices!$G$2:$G$856,"Sale")</f>
        <v>7</v>
      </c>
      <c r="E94" s="9" t="n">
        <f aca="false">SUMIFS(Invoices!$F$2:$F$856,Invoices!$C$2:$C$856,A94,Invoices!$G$2:$G$856,"Sale")</f>
        <v>1906.04</v>
      </c>
      <c r="F94" s="8" t="n">
        <f aca="false">DATEDIF(B94,C94,"m")</f>
        <v>22</v>
      </c>
      <c r="G94" s="8" t="n">
        <f aca="false">DATEDIF(C94,$L$1,"d")</f>
        <v>9</v>
      </c>
      <c r="H94" s="8" t="str">
        <f aca="false">IF(G94&lt;=90,"Active",IF(G94&lt;=180,"At risk","Lost"))</f>
        <v>Active</v>
      </c>
    </row>
    <row r="95" customFormat="false" ht="15" hidden="false" customHeight="false" outlineLevel="0" collapsed="false">
      <c r="A95" s="0" t="n">
        <v>17393</v>
      </c>
      <c r="B95" s="7" t="n">
        <f aca="false">_xlfn.MINIFS(Invoices!$B$2:$B$856,Invoices!$C$2:$C$856,A95,Invoices!$G$2:$G$856,"Sale")</f>
        <v>40398</v>
      </c>
      <c r="C95" s="7" t="n">
        <f aca="false">_xlfn.MAXIFS(Invoices!$B$2:$B$856,Invoices!$C$2:$C$856,A95,Invoices!$G$2:$G$856,"Sale")</f>
        <v>40476</v>
      </c>
      <c r="D95" s="8" t="n">
        <f aca="false">COUNTIFS(Invoices!$C$2:$C$856,A95,Invoices!$G$2:$G$856,"Sale")</f>
        <v>2</v>
      </c>
      <c r="E95" s="9" t="n">
        <f aca="false">SUMIFS(Invoices!$F$2:$F$856,Invoices!$C$2:$C$856,A95,Invoices!$G$2:$G$856,"Sale")</f>
        <v>381.15</v>
      </c>
      <c r="F95" s="8" t="n">
        <f aca="false">DATEDIF(B95,C95,"m")</f>
        <v>2</v>
      </c>
      <c r="G95" s="8" t="n">
        <f aca="false">DATEDIF(C95,$L$1,"d")</f>
        <v>411</v>
      </c>
      <c r="H95" s="8" t="str">
        <f aca="false">IF(G95&lt;=90,"Active",IF(G95&lt;=180,"At risk","Lost"))</f>
        <v>Lost</v>
      </c>
    </row>
    <row r="96" customFormat="false" ht="15" hidden="false" customHeight="false" outlineLevel="0" collapsed="false">
      <c r="A96" s="0" t="n">
        <v>17431</v>
      </c>
      <c r="B96" s="7" t="n">
        <f aca="false">_xlfn.MINIFS(Invoices!$B$2:$B$856,Invoices!$C$2:$C$856,A96,Invoices!$G$2:$G$856,"Sale")</f>
        <v>40573</v>
      </c>
      <c r="C96" s="7" t="n">
        <f aca="false">_xlfn.MAXIFS(Invoices!$B$2:$B$856,Invoices!$C$2:$C$856,A96,Invoices!$G$2:$G$856,"Sale")</f>
        <v>40573</v>
      </c>
      <c r="D96" s="8" t="n">
        <f aca="false">COUNTIFS(Invoices!$C$2:$C$856,A96,Invoices!$G$2:$G$856,"Sale")</f>
        <v>1</v>
      </c>
      <c r="E96" s="9" t="n">
        <f aca="false">SUMIFS(Invoices!$F$2:$F$856,Invoices!$C$2:$C$856,A96,Invoices!$G$2:$G$856,"Sale")</f>
        <v>403.3</v>
      </c>
      <c r="F96" s="8" t="n">
        <f aca="false">DATEDIF(B96,C96,"m")</f>
        <v>0</v>
      </c>
      <c r="G96" s="8" t="n">
        <f aca="false">DATEDIF(C96,$L$1,"d")</f>
        <v>314</v>
      </c>
      <c r="H96" s="8" t="str">
        <f aca="false">IF(G96&lt;=90,"Active",IF(G96&lt;=180,"At risk","Lost"))</f>
        <v>Lost</v>
      </c>
    </row>
    <row r="97" customFormat="false" ht="15" hidden="false" customHeight="false" outlineLevel="0" collapsed="false">
      <c r="A97" s="0" t="n">
        <v>17439</v>
      </c>
      <c r="B97" s="7" t="n">
        <f aca="false">_xlfn.MINIFS(Invoices!$B$2:$B$856,Invoices!$C$2:$C$856,A97,Invoices!$G$2:$G$856,"Sale")</f>
        <v>40231</v>
      </c>
      <c r="C97" s="7" t="n">
        <f aca="false">_xlfn.MAXIFS(Invoices!$B$2:$B$856,Invoices!$C$2:$C$856,A97,Invoices!$G$2:$G$856,"Sale")</f>
        <v>40231</v>
      </c>
      <c r="D97" s="8" t="n">
        <f aca="false">COUNTIFS(Invoices!$C$2:$C$856,A97,Invoices!$G$2:$G$856,"Sale")</f>
        <v>1</v>
      </c>
      <c r="E97" s="9" t="n">
        <f aca="false">SUMIFS(Invoices!$F$2:$F$856,Invoices!$C$2:$C$856,A97,Invoices!$G$2:$G$856,"Sale")</f>
        <v>325.74</v>
      </c>
      <c r="F97" s="8" t="n">
        <f aca="false">DATEDIF(B97,C97,"m")</f>
        <v>0</v>
      </c>
      <c r="G97" s="8" t="n">
        <f aca="false">DATEDIF(C97,$L$1,"d")</f>
        <v>656</v>
      </c>
      <c r="H97" s="8" t="str">
        <f aca="false">IF(G97&lt;=90,"Active",IF(G97&lt;=180,"At risk","Lost"))</f>
        <v>Lost</v>
      </c>
    </row>
    <row r="98" customFormat="false" ht="15" hidden="false" customHeight="false" outlineLevel="0" collapsed="false">
      <c r="A98" s="0" t="n">
        <v>17453</v>
      </c>
      <c r="B98" s="7" t="n">
        <f aca="false">_xlfn.MINIFS(Invoices!$B$2:$B$856,Invoices!$C$2:$C$856,A98,Invoices!$G$2:$G$856,"Sale")</f>
        <v>40822</v>
      </c>
      <c r="C98" s="7" t="n">
        <f aca="false">_xlfn.MAXIFS(Invoices!$B$2:$B$856,Invoices!$C$2:$C$856,A98,Invoices!$G$2:$G$856,"Sale")</f>
        <v>40869</v>
      </c>
      <c r="D98" s="8" t="n">
        <f aca="false">COUNTIFS(Invoices!$C$2:$C$856,A98,Invoices!$G$2:$G$856,"Sale")</f>
        <v>2</v>
      </c>
      <c r="E98" s="9" t="n">
        <f aca="false">SUMIFS(Invoices!$F$2:$F$856,Invoices!$C$2:$C$856,A98,Invoices!$G$2:$G$856,"Sale")</f>
        <v>486.72</v>
      </c>
      <c r="F98" s="8" t="n">
        <f aca="false">DATEDIF(B98,C98,"m")</f>
        <v>1</v>
      </c>
      <c r="G98" s="8" t="n">
        <f aca="false">DATEDIF(C98,$L$1,"d")</f>
        <v>18</v>
      </c>
      <c r="H98" s="8" t="str">
        <f aca="false">IF(G98&lt;=90,"Active",IF(G98&lt;=180,"At risk","Lost"))</f>
        <v>Active</v>
      </c>
    </row>
    <row r="99" customFormat="false" ht="15" hidden="false" customHeight="false" outlineLevel="0" collapsed="false">
      <c r="A99" s="0" t="n">
        <v>17478</v>
      </c>
      <c r="B99" s="7" t="n">
        <f aca="false">_xlfn.MINIFS(Invoices!$B$2:$B$856,Invoices!$C$2:$C$856,A99,Invoices!$G$2:$G$856,"Sale")</f>
        <v>40253</v>
      </c>
      <c r="C99" s="7" t="n">
        <f aca="false">_xlfn.MAXIFS(Invoices!$B$2:$B$856,Invoices!$C$2:$C$856,A99,Invoices!$G$2:$G$856,"Sale")</f>
        <v>40478</v>
      </c>
      <c r="D99" s="8" t="n">
        <f aca="false">COUNTIFS(Invoices!$C$2:$C$856,A99,Invoices!$G$2:$G$856,"Sale")</f>
        <v>2</v>
      </c>
      <c r="E99" s="9" t="n">
        <f aca="false">SUMIFS(Invoices!$F$2:$F$856,Invoices!$C$2:$C$856,A99,Invoices!$G$2:$G$856,"Sale")</f>
        <v>1272.8</v>
      </c>
      <c r="F99" s="8" t="n">
        <f aca="false">DATEDIF(B99,C99,"m")</f>
        <v>7</v>
      </c>
      <c r="G99" s="8" t="n">
        <f aca="false">DATEDIF(C99,$L$1,"d")</f>
        <v>409</v>
      </c>
      <c r="H99" s="8" t="str">
        <f aca="false">IF(G99&lt;=90,"Active",IF(G99&lt;=180,"At risk","Lost"))</f>
        <v>Lost</v>
      </c>
    </row>
    <row r="100" customFormat="false" ht="15" hidden="false" customHeight="false" outlineLevel="0" collapsed="false">
      <c r="A100" s="0" t="n">
        <v>17508</v>
      </c>
      <c r="B100" s="7" t="n">
        <f aca="false">_xlfn.MINIFS(Invoices!$B$2:$B$856,Invoices!$C$2:$C$856,A100,Invoices!$G$2:$G$856,"Sale")</f>
        <v>40154</v>
      </c>
      <c r="C100" s="7" t="n">
        <f aca="false">_xlfn.MAXIFS(Invoices!$B$2:$B$856,Invoices!$C$2:$C$856,A100,Invoices!$G$2:$G$856,"Sale")</f>
        <v>40606</v>
      </c>
      <c r="D100" s="8" t="n">
        <f aca="false">COUNTIFS(Invoices!$C$2:$C$856,A100,Invoices!$G$2:$G$856,"Sale")</f>
        <v>8</v>
      </c>
      <c r="E100" s="9" t="n">
        <f aca="false">SUMIFS(Invoices!$F$2:$F$856,Invoices!$C$2:$C$856,A100,Invoices!$G$2:$G$856,"Sale")</f>
        <v>4579.23</v>
      </c>
      <c r="F100" s="8" t="n">
        <f aca="false">DATEDIF(B100,C100,"m")</f>
        <v>14</v>
      </c>
      <c r="G100" s="8" t="n">
        <f aca="false">DATEDIF(C100,$L$1,"d")</f>
        <v>281</v>
      </c>
      <c r="H100" s="8" t="str">
        <f aca="false">IF(G100&lt;=90,"Active",IF(G100&lt;=180,"At risk","Lost"))</f>
        <v>Lost</v>
      </c>
    </row>
    <row r="101" customFormat="false" ht="15" hidden="false" customHeight="false" outlineLevel="0" collapsed="false">
      <c r="A101" s="0" t="n">
        <v>17575</v>
      </c>
      <c r="B101" s="7" t="n">
        <f aca="false">_xlfn.MINIFS(Invoices!$B$2:$B$856,Invoices!$C$2:$C$856,A101,Invoices!$G$2:$G$856,"Sale")</f>
        <v>40219</v>
      </c>
      <c r="C101" s="7" t="n">
        <f aca="false">_xlfn.MAXIFS(Invoices!$B$2:$B$856,Invoices!$C$2:$C$856,A101,Invoices!$G$2:$G$856,"Sale")</f>
        <v>40219</v>
      </c>
      <c r="D101" s="8" t="n">
        <f aca="false">COUNTIFS(Invoices!$C$2:$C$856,A101,Invoices!$G$2:$G$856,"Sale")</f>
        <v>1</v>
      </c>
      <c r="E101" s="9" t="n">
        <f aca="false">SUMIFS(Invoices!$F$2:$F$856,Invoices!$C$2:$C$856,A101,Invoices!$G$2:$G$856,"Sale")</f>
        <v>171.7</v>
      </c>
      <c r="F101" s="8" t="n">
        <f aca="false">DATEDIF(B101,C101,"m")</f>
        <v>0</v>
      </c>
      <c r="G101" s="8" t="n">
        <f aca="false">DATEDIF(C101,$L$1,"d")</f>
        <v>668</v>
      </c>
      <c r="H101" s="8" t="str">
        <f aca="false">IF(G101&lt;=90,"Active",IF(G101&lt;=180,"At risk","Lost"))</f>
        <v>Lost</v>
      </c>
    </row>
    <row r="102" customFormat="false" ht="15" hidden="false" customHeight="false" outlineLevel="0" collapsed="false">
      <c r="A102" s="0" t="n">
        <v>17577</v>
      </c>
      <c r="B102" s="7" t="n">
        <f aca="false">_xlfn.MINIFS(Invoices!$B$2:$B$856,Invoices!$C$2:$C$856,A102,Invoices!$G$2:$G$856,"Sale")</f>
        <v>40218</v>
      </c>
      <c r="C102" s="7" t="n">
        <f aca="false">_xlfn.MAXIFS(Invoices!$B$2:$B$856,Invoices!$C$2:$C$856,A102,Invoices!$G$2:$G$856,"Sale")</f>
        <v>40241</v>
      </c>
      <c r="D102" s="8" t="n">
        <f aca="false">COUNTIFS(Invoices!$C$2:$C$856,A102,Invoices!$G$2:$G$856,"Sale")</f>
        <v>2</v>
      </c>
      <c r="E102" s="9" t="n">
        <f aca="false">SUMIFS(Invoices!$F$2:$F$856,Invoices!$C$2:$C$856,A102,Invoices!$G$2:$G$856,"Sale")</f>
        <v>348.75</v>
      </c>
      <c r="F102" s="8" t="n">
        <f aca="false">DATEDIF(B102,C102,"m")</f>
        <v>0</v>
      </c>
      <c r="G102" s="8" t="n">
        <f aca="false">DATEDIF(C102,$L$1,"d")</f>
        <v>646</v>
      </c>
      <c r="H102" s="8" t="str">
        <f aca="false">IF(G102&lt;=90,"Active",IF(G102&lt;=180,"At risk","Lost"))</f>
        <v>Lost</v>
      </c>
    </row>
    <row r="103" customFormat="false" ht="15" hidden="false" customHeight="false" outlineLevel="0" collapsed="false">
      <c r="A103" s="0" t="n">
        <v>17581</v>
      </c>
      <c r="B103" s="7" t="n">
        <f aca="false">_xlfn.MINIFS(Invoices!$B$2:$B$856,Invoices!$C$2:$C$856,A103,Invoices!$G$2:$G$856,"Sale")</f>
        <v>40150</v>
      </c>
      <c r="C103" s="7" t="n">
        <f aca="false">_xlfn.MAXIFS(Invoices!$B$2:$B$856,Invoices!$C$2:$C$856,A103,Invoices!$G$2:$G$856,"Sale")</f>
        <v>40886</v>
      </c>
      <c r="D103" s="8" t="n">
        <f aca="false">COUNTIFS(Invoices!$C$2:$C$856,A103,Invoices!$G$2:$G$856,"Sale")</f>
        <v>43</v>
      </c>
      <c r="E103" s="9" t="n">
        <f aca="false">SUMIFS(Invoices!$F$2:$F$856,Invoices!$C$2:$C$856,A103,Invoices!$G$2:$G$856,"Sale")</f>
        <v>17970.97</v>
      </c>
      <c r="F103" s="8" t="n">
        <f aca="false">DATEDIF(B103,C103,"m")</f>
        <v>24</v>
      </c>
      <c r="G103" s="8" t="n">
        <f aca="false">DATEDIF(C103,$L$1,"d")</f>
        <v>1</v>
      </c>
      <c r="H103" s="8" t="str">
        <f aca="false">IF(G103&lt;=90,"Active",IF(G103&lt;=180,"At risk","Lost"))</f>
        <v>Active</v>
      </c>
    </row>
    <row r="104" customFormat="false" ht="15" hidden="false" customHeight="false" outlineLevel="0" collapsed="false">
      <c r="A104" s="0" t="n">
        <v>17668</v>
      </c>
      <c r="B104" s="7" t="n">
        <f aca="false">_xlfn.MINIFS(Invoices!$B$2:$B$856,Invoices!$C$2:$C$856,A104,Invoices!$G$2:$G$856,"Sale")</f>
        <v>40848</v>
      </c>
      <c r="C104" s="7" t="n">
        <f aca="false">_xlfn.MAXIFS(Invoices!$B$2:$B$856,Invoices!$C$2:$C$856,A104,Invoices!$G$2:$G$856,"Sale")</f>
        <v>40885</v>
      </c>
      <c r="D104" s="8" t="n">
        <f aca="false">COUNTIFS(Invoices!$C$2:$C$856,A104,Invoices!$G$2:$G$856,"Sale")</f>
        <v>2</v>
      </c>
      <c r="E104" s="9" t="n">
        <f aca="false">SUMIFS(Invoices!$F$2:$F$856,Invoices!$C$2:$C$856,A104,Invoices!$G$2:$G$856,"Sale")</f>
        <v>347.75</v>
      </c>
      <c r="F104" s="8" t="n">
        <f aca="false">DATEDIF(B104,C104,"m")</f>
        <v>1</v>
      </c>
      <c r="G104" s="8" t="n">
        <f aca="false">DATEDIF(C104,$L$1,"d")</f>
        <v>2</v>
      </c>
      <c r="H104" s="8" t="str">
        <f aca="false">IF(G104&lt;=90,"Active",IF(G104&lt;=180,"At risk","Lost"))</f>
        <v>Active</v>
      </c>
    </row>
    <row r="105" customFormat="false" ht="15" hidden="false" customHeight="false" outlineLevel="0" collapsed="false">
      <c r="A105" s="0" t="n">
        <v>17781</v>
      </c>
      <c r="B105" s="7" t="n">
        <f aca="false">_xlfn.MINIFS(Invoices!$B$2:$B$856,Invoices!$C$2:$C$856,A105,Invoices!$G$2:$G$856,"Sale")</f>
        <v>40633</v>
      </c>
      <c r="C105" s="7" t="n">
        <f aca="false">_xlfn.MAXIFS(Invoices!$B$2:$B$856,Invoices!$C$2:$C$856,A105,Invoices!$G$2:$G$856,"Sale")</f>
        <v>40727</v>
      </c>
      <c r="D105" s="8" t="n">
        <f aca="false">COUNTIFS(Invoices!$C$2:$C$856,A105,Invoices!$G$2:$G$856,"Sale")</f>
        <v>2</v>
      </c>
      <c r="E105" s="9" t="n">
        <f aca="false">SUMIFS(Invoices!$F$2:$F$856,Invoices!$C$2:$C$856,A105,Invoices!$G$2:$G$856,"Sale")</f>
        <v>188.02</v>
      </c>
      <c r="F105" s="8" t="n">
        <f aca="false">DATEDIF(B105,C105,"m")</f>
        <v>3</v>
      </c>
      <c r="G105" s="8" t="n">
        <f aca="false">DATEDIF(C105,$L$1,"d")</f>
        <v>160</v>
      </c>
      <c r="H105" s="8" t="str">
        <f aca="false">IF(G105&lt;=90,"Active",IF(G105&lt;=180,"At risk","Lost"))</f>
        <v>At risk</v>
      </c>
    </row>
    <row r="106" customFormat="false" ht="15" hidden="false" customHeight="false" outlineLevel="0" collapsed="false">
      <c r="A106" s="0" t="n">
        <v>17791</v>
      </c>
      <c r="B106" s="7" t="n">
        <f aca="false">_xlfn.MINIFS(Invoices!$B$2:$B$856,Invoices!$C$2:$C$856,A106,Invoices!$G$2:$G$856,"Sale")</f>
        <v>40857</v>
      </c>
      <c r="C106" s="7" t="n">
        <f aca="false">_xlfn.MAXIFS(Invoices!$B$2:$B$856,Invoices!$C$2:$C$856,A106,Invoices!$G$2:$G$856,"Sale")</f>
        <v>40857</v>
      </c>
      <c r="D106" s="8" t="n">
        <f aca="false">COUNTIFS(Invoices!$C$2:$C$856,A106,Invoices!$G$2:$G$856,"Sale")</f>
        <v>1</v>
      </c>
      <c r="E106" s="9" t="n">
        <f aca="false">SUMIFS(Invoices!$F$2:$F$856,Invoices!$C$2:$C$856,A106,Invoices!$G$2:$G$856,"Sale")</f>
        <v>106.1</v>
      </c>
      <c r="F106" s="8" t="n">
        <f aca="false">DATEDIF(B106,C106,"m")</f>
        <v>0</v>
      </c>
      <c r="G106" s="8" t="n">
        <f aca="false">DATEDIF(C106,$L$1,"d")</f>
        <v>30</v>
      </c>
      <c r="H106" s="8" t="str">
        <f aca="false">IF(G106&lt;=90,"Active",IF(G106&lt;=180,"At risk","Lost"))</f>
        <v>Active</v>
      </c>
    </row>
    <row r="107" customFormat="false" ht="15" hidden="false" customHeight="false" outlineLevel="0" collapsed="false">
      <c r="A107" s="0" t="n">
        <v>17793</v>
      </c>
      <c r="B107" s="7" t="n">
        <f aca="false">_xlfn.MINIFS(Invoices!$B$2:$B$856,Invoices!$C$2:$C$856,A107,Invoices!$G$2:$G$856,"Sale")</f>
        <v>40861</v>
      </c>
      <c r="C107" s="7" t="n">
        <f aca="false">_xlfn.MAXIFS(Invoices!$B$2:$B$856,Invoices!$C$2:$C$856,A107,Invoices!$G$2:$G$856,"Sale")</f>
        <v>40861</v>
      </c>
      <c r="D107" s="8" t="n">
        <f aca="false">COUNTIFS(Invoices!$C$2:$C$856,A107,Invoices!$G$2:$G$856,"Sale")</f>
        <v>1</v>
      </c>
      <c r="E107" s="9" t="n">
        <f aca="false">SUMIFS(Invoices!$F$2:$F$856,Invoices!$C$2:$C$856,A107,Invoices!$G$2:$G$856,"Sale")</f>
        <v>323.04</v>
      </c>
      <c r="F107" s="8" t="n">
        <f aca="false">DATEDIF(B107,C107,"m")</f>
        <v>0</v>
      </c>
      <c r="G107" s="8" t="n">
        <f aca="false">DATEDIF(C107,$L$1,"d")</f>
        <v>26</v>
      </c>
      <c r="H107" s="8" t="str">
        <f aca="false">IF(G107&lt;=90,"Active",IF(G107&lt;=180,"At risk","Lost"))</f>
        <v>Active</v>
      </c>
    </row>
    <row r="108" customFormat="false" ht="15" hidden="false" customHeight="false" outlineLevel="0" collapsed="false">
      <c r="A108" s="0" t="n">
        <v>17794</v>
      </c>
      <c r="B108" s="7" t="n">
        <f aca="false">_xlfn.MINIFS(Invoices!$B$2:$B$856,Invoices!$C$2:$C$856,A108,Invoices!$G$2:$G$856,"Sale")</f>
        <v>40198</v>
      </c>
      <c r="C108" s="7" t="n">
        <f aca="false">_xlfn.MAXIFS(Invoices!$B$2:$B$856,Invoices!$C$2:$C$856,A108,Invoices!$G$2:$G$856,"Sale")</f>
        <v>40200</v>
      </c>
      <c r="D108" s="8" t="n">
        <f aca="false">COUNTIFS(Invoices!$C$2:$C$856,A108,Invoices!$G$2:$G$856,"Sale")</f>
        <v>2</v>
      </c>
      <c r="E108" s="9" t="n">
        <f aca="false">SUMIFS(Invoices!$F$2:$F$856,Invoices!$C$2:$C$856,A108,Invoices!$G$2:$G$856,"Sale")</f>
        <v>147.3</v>
      </c>
      <c r="F108" s="8" t="n">
        <f aca="false">DATEDIF(B108,C108,"m")</f>
        <v>0</v>
      </c>
      <c r="G108" s="8" t="n">
        <f aca="false">DATEDIF(C108,$L$1,"d")</f>
        <v>687</v>
      </c>
      <c r="H108" s="8" t="str">
        <f aca="false">IF(G108&lt;=90,"Active",IF(G108&lt;=180,"At risk","Lost"))</f>
        <v>Lost</v>
      </c>
    </row>
    <row r="109" customFormat="false" ht="15" hidden="false" customHeight="false" outlineLevel="0" collapsed="false">
      <c r="A109" s="0" t="n">
        <v>17832</v>
      </c>
      <c r="B109" s="7" t="n">
        <f aca="false">_xlfn.MINIFS(Invoices!$B$2:$B$856,Invoices!$C$2:$C$856,A109,Invoices!$G$2:$G$856,"Sale")</f>
        <v>40837</v>
      </c>
      <c r="C109" s="7" t="n">
        <f aca="false">_xlfn.MAXIFS(Invoices!$B$2:$B$856,Invoices!$C$2:$C$856,A109,Invoices!$G$2:$G$856,"Sale")</f>
        <v>40837</v>
      </c>
      <c r="D109" s="8" t="n">
        <f aca="false">COUNTIFS(Invoices!$C$2:$C$856,A109,Invoices!$G$2:$G$856,"Sale")</f>
        <v>1</v>
      </c>
      <c r="E109" s="9" t="n">
        <f aca="false">SUMIFS(Invoices!$F$2:$F$856,Invoices!$C$2:$C$856,A109,Invoices!$G$2:$G$856,"Sale")</f>
        <v>155.37</v>
      </c>
      <c r="F109" s="8" t="n">
        <f aca="false">DATEDIF(B109,C109,"m")</f>
        <v>0</v>
      </c>
      <c r="G109" s="8" t="n">
        <f aca="false">DATEDIF(C109,$L$1,"d")</f>
        <v>50</v>
      </c>
      <c r="H109" s="8" t="str">
        <f aca="false">IF(G109&lt;=90,"Active",IF(G109&lt;=180,"At risk","Lost"))</f>
        <v>Active</v>
      </c>
    </row>
    <row r="110" customFormat="false" ht="15" hidden="false" customHeight="false" outlineLevel="0" collapsed="false">
      <c r="A110" s="0" t="n">
        <v>17895</v>
      </c>
      <c r="B110" s="7" t="n">
        <f aca="false">_xlfn.MINIFS(Invoices!$B$2:$B$856,Invoices!$C$2:$C$856,A110,Invoices!$G$2:$G$856,"Sale")</f>
        <v>40842</v>
      </c>
      <c r="C110" s="7" t="n">
        <f aca="false">_xlfn.MAXIFS(Invoices!$B$2:$B$856,Invoices!$C$2:$C$856,A110,Invoices!$G$2:$G$856,"Sale")</f>
        <v>40842</v>
      </c>
      <c r="D110" s="8" t="n">
        <f aca="false">COUNTIFS(Invoices!$C$2:$C$856,A110,Invoices!$G$2:$G$856,"Sale")</f>
        <v>1</v>
      </c>
      <c r="E110" s="9" t="n">
        <f aca="false">SUMIFS(Invoices!$F$2:$F$856,Invoices!$C$2:$C$856,A110,Invoices!$G$2:$G$856,"Sale")</f>
        <v>98</v>
      </c>
      <c r="F110" s="8" t="n">
        <f aca="false">DATEDIF(B110,C110,"m")</f>
        <v>0</v>
      </c>
      <c r="G110" s="8" t="n">
        <f aca="false">DATEDIF(C110,$L$1,"d")</f>
        <v>45</v>
      </c>
      <c r="H110" s="8" t="str">
        <f aca="false">IF(G110&lt;=90,"Active",IF(G110&lt;=180,"At risk","Lost"))</f>
        <v>Active</v>
      </c>
    </row>
    <row r="111" customFormat="false" ht="15" hidden="false" customHeight="false" outlineLevel="0" collapsed="false">
      <c r="A111" s="0" t="n">
        <v>17933</v>
      </c>
      <c r="B111" s="7" t="n">
        <f aca="false">_xlfn.MINIFS(Invoices!$B$2:$B$856,Invoices!$C$2:$C$856,A111,Invoices!$G$2:$G$856,"Sale")</f>
        <v>40254</v>
      </c>
      <c r="C111" s="7" t="n">
        <f aca="false">_xlfn.MAXIFS(Invoices!$B$2:$B$856,Invoices!$C$2:$C$856,A111,Invoices!$G$2:$G$856,"Sale")</f>
        <v>40254</v>
      </c>
      <c r="D111" s="8" t="n">
        <f aca="false">COUNTIFS(Invoices!$C$2:$C$856,A111,Invoices!$G$2:$G$856,"Sale")</f>
        <v>1</v>
      </c>
      <c r="E111" s="9" t="n">
        <f aca="false">SUMIFS(Invoices!$F$2:$F$856,Invoices!$C$2:$C$856,A111,Invoices!$G$2:$G$856,"Sale")</f>
        <v>114.69</v>
      </c>
      <c r="F111" s="8" t="n">
        <f aca="false">DATEDIF(B111,C111,"m")</f>
        <v>0</v>
      </c>
      <c r="G111" s="8" t="n">
        <f aca="false">DATEDIF(C111,$L$1,"d")</f>
        <v>633</v>
      </c>
      <c r="H111" s="8" t="str">
        <f aca="false">IF(G111&lt;=90,"Active",IF(G111&lt;=180,"At risk","Lost"))</f>
        <v>Lost</v>
      </c>
    </row>
    <row r="112" customFormat="false" ht="15" hidden="false" customHeight="false" outlineLevel="0" collapsed="false">
      <c r="A112" s="0" t="n">
        <v>17949</v>
      </c>
      <c r="B112" s="7" t="n">
        <f aca="false">_xlfn.MINIFS(Invoices!$B$2:$B$856,Invoices!$C$2:$C$856,A112,Invoices!$G$2:$G$856,"Sale")</f>
        <v>40149</v>
      </c>
      <c r="C112" s="7" t="n">
        <f aca="false">_xlfn.MAXIFS(Invoices!$B$2:$B$856,Invoices!$C$2:$C$856,A112,Invoices!$G$2:$G$856,"Sale")</f>
        <v>40885</v>
      </c>
      <c r="D112" s="8" t="n">
        <f aca="false">COUNTIFS(Invoices!$C$2:$C$856,A112,Invoices!$G$2:$G$856,"Sale")</f>
        <v>118</v>
      </c>
      <c r="E112" s="9" t="n">
        <f aca="false">SUMIFS(Invoices!$F$2:$F$856,Invoices!$C$2:$C$856,A112,Invoices!$G$2:$G$856,"Sale")</f>
        <v>117314.08</v>
      </c>
      <c r="F112" s="8" t="n">
        <f aca="false">DATEDIF(B112,C112,"m")</f>
        <v>24</v>
      </c>
      <c r="G112" s="8" t="n">
        <f aca="false">DATEDIF(C112,$L$1,"d")</f>
        <v>2</v>
      </c>
      <c r="H112" s="8" t="str">
        <f aca="false">IF(G112&lt;=90,"Active",IF(G112&lt;=180,"At risk","Lost"))</f>
        <v>Active</v>
      </c>
    </row>
    <row r="113" customFormat="false" ht="15" hidden="false" customHeight="false" outlineLevel="0" collapsed="false">
      <c r="A113" s="0" t="n">
        <v>17981</v>
      </c>
      <c r="B113" s="7" t="n">
        <f aca="false">_xlfn.MINIFS(Invoices!$B$2:$B$856,Invoices!$C$2:$C$856,A113,Invoices!$G$2:$G$856,"Sale")</f>
        <v>40476</v>
      </c>
      <c r="C113" s="7" t="n">
        <f aca="false">_xlfn.MAXIFS(Invoices!$B$2:$B$856,Invoices!$C$2:$C$856,A113,Invoices!$G$2:$G$856,"Sale")</f>
        <v>40476</v>
      </c>
      <c r="D113" s="8" t="n">
        <f aca="false">COUNTIFS(Invoices!$C$2:$C$856,A113,Invoices!$G$2:$G$856,"Sale")</f>
        <v>1</v>
      </c>
      <c r="E113" s="9" t="n">
        <f aca="false">SUMIFS(Invoices!$F$2:$F$856,Invoices!$C$2:$C$856,A113,Invoices!$G$2:$G$856,"Sale")</f>
        <v>239.12</v>
      </c>
      <c r="F113" s="8" t="n">
        <f aca="false">DATEDIF(B113,C113,"m")</f>
        <v>0</v>
      </c>
      <c r="G113" s="8" t="n">
        <f aca="false">DATEDIF(C113,$L$1,"d")</f>
        <v>411</v>
      </c>
      <c r="H113" s="8" t="str">
        <f aca="false">IF(G113&lt;=90,"Active",IF(G113&lt;=180,"At risk","Lost"))</f>
        <v>Lost</v>
      </c>
    </row>
    <row r="114" customFormat="false" ht="15" hidden="false" customHeight="false" outlineLevel="0" collapsed="false">
      <c r="A114" s="0" t="n">
        <v>18063</v>
      </c>
      <c r="B114" s="7" t="n">
        <f aca="false">_xlfn.MINIFS(Invoices!$B$2:$B$856,Invoices!$C$2:$C$856,A114,Invoices!$G$2:$G$856,"Sale")</f>
        <v>40253</v>
      </c>
      <c r="C114" s="7" t="n">
        <f aca="false">_xlfn.MAXIFS(Invoices!$B$2:$B$856,Invoices!$C$2:$C$856,A114,Invoices!$G$2:$G$856,"Sale")</f>
        <v>40496</v>
      </c>
      <c r="D114" s="8" t="n">
        <f aca="false">COUNTIFS(Invoices!$C$2:$C$856,A114,Invoices!$G$2:$G$856,"Sale")</f>
        <v>2</v>
      </c>
      <c r="E114" s="9" t="n">
        <f aca="false">SUMIFS(Invoices!$F$2:$F$856,Invoices!$C$2:$C$856,A114,Invoices!$G$2:$G$856,"Sale")</f>
        <v>186.6</v>
      </c>
      <c r="F114" s="8" t="n">
        <f aca="false">DATEDIF(B114,C114,"m")</f>
        <v>7</v>
      </c>
      <c r="G114" s="8" t="n">
        <f aca="false">DATEDIF(C114,$L$1,"d")</f>
        <v>391</v>
      </c>
      <c r="H114" s="8" t="str">
        <f aca="false">IF(G114&lt;=90,"Active",IF(G114&lt;=180,"At risk","Lost"))</f>
        <v>Lost</v>
      </c>
    </row>
    <row r="115" customFormat="false" ht="15" hidden="false" customHeight="false" outlineLevel="0" collapsed="false">
      <c r="A115" s="0" t="n">
        <v>18080</v>
      </c>
      <c r="B115" s="7" t="n">
        <f aca="false">_xlfn.MINIFS(Invoices!$B$2:$B$856,Invoices!$C$2:$C$856,A115,Invoices!$G$2:$G$856,"Sale")</f>
        <v>40644</v>
      </c>
      <c r="C115" s="7" t="n">
        <f aca="false">_xlfn.MAXIFS(Invoices!$B$2:$B$856,Invoices!$C$2:$C$856,A115,Invoices!$G$2:$G$856,"Sale")</f>
        <v>40868</v>
      </c>
      <c r="D115" s="8" t="n">
        <f aca="false">COUNTIFS(Invoices!$C$2:$C$856,A115,Invoices!$G$2:$G$856,"Sale")</f>
        <v>2</v>
      </c>
      <c r="E115" s="9" t="n">
        <f aca="false">SUMIFS(Invoices!$F$2:$F$856,Invoices!$C$2:$C$856,A115,Invoices!$G$2:$G$856,"Sale")</f>
        <v>1231.5</v>
      </c>
      <c r="F115" s="8" t="n">
        <f aca="false">DATEDIF(B115,C115,"m")</f>
        <v>7</v>
      </c>
      <c r="G115" s="8" t="n">
        <f aca="false">DATEDIF(C115,$L$1,"d")</f>
        <v>19</v>
      </c>
      <c r="H115" s="8" t="str">
        <f aca="false">IF(G115&lt;=90,"Active",IF(G115&lt;=180,"At risk","Lost"))</f>
        <v>Active</v>
      </c>
    </row>
    <row r="116" customFormat="false" ht="15" hidden="false" customHeight="false" outlineLevel="0" collapsed="false">
      <c r="A116" s="0" t="n">
        <v>18095</v>
      </c>
      <c r="B116" s="7" t="n">
        <f aca="false">_xlfn.MINIFS(Invoices!$B$2:$B$856,Invoices!$C$2:$C$856,A116,Invoices!$G$2:$G$856,"Sale")</f>
        <v>40287</v>
      </c>
      <c r="C116" s="7" t="n">
        <f aca="false">_xlfn.MAXIFS(Invoices!$B$2:$B$856,Invoices!$C$2:$C$856,A116,Invoices!$G$2:$G$856,"Sale")</f>
        <v>40574</v>
      </c>
      <c r="D116" s="8" t="n">
        <f aca="false">COUNTIFS(Invoices!$C$2:$C$856,A116,Invoices!$G$2:$G$856,"Sale")</f>
        <v>5</v>
      </c>
      <c r="E116" s="9" t="n">
        <f aca="false">SUMIFS(Invoices!$F$2:$F$856,Invoices!$C$2:$C$856,A116,Invoices!$G$2:$G$856,"Sale")</f>
        <v>2303.09</v>
      </c>
      <c r="F116" s="8" t="n">
        <f aca="false">DATEDIF(B116,C116,"m")</f>
        <v>9</v>
      </c>
      <c r="G116" s="8" t="n">
        <f aca="false">DATEDIF(C116,$L$1,"d")</f>
        <v>313</v>
      </c>
      <c r="H116" s="8" t="str">
        <f aca="false">IF(G116&lt;=90,"Active",IF(G116&lt;=180,"At risk","Lost"))</f>
        <v>Lost</v>
      </c>
    </row>
    <row r="117" customFormat="false" ht="15" hidden="false" customHeight="false" outlineLevel="0" collapsed="false">
      <c r="A117" s="0" t="n">
        <v>18101</v>
      </c>
      <c r="B117" s="7" t="n">
        <f aca="false">_xlfn.MINIFS(Invoices!$B$2:$B$856,Invoices!$C$2:$C$856,A117,Invoices!$G$2:$G$856,"Sale")</f>
        <v>40212</v>
      </c>
      <c r="C117" s="7" t="n">
        <f aca="false">_xlfn.MAXIFS(Invoices!$B$2:$B$856,Invoices!$C$2:$C$856,A117,Invoices!$G$2:$G$856,"Sale")</f>
        <v>40875</v>
      </c>
      <c r="D117" s="8" t="n">
        <f aca="false">COUNTIFS(Invoices!$C$2:$C$856,A117,Invoices!$G$2:$G$856,"Sale")</f>
        <v>5</v>
      </c>
      <c r="E117" s="9" t="n">
        <f aca="false">SUMIFS(Invoices!$F$2:$F$856,Invoices!$C$2:$C$856,A117,Invoices!$G$2:$G$856,"Sale")</f>
        <v>629.16</v>
      </c>
      <c r="F117" s="8" t="n">
        <f aca="false">DATEDIF(B117,C117,"m")</f>
        <v>21</v>
      </c>
      <c r="G117" s="8" t="n">
        <f aca="false">DATEDIF(C117,$L$1,"d")</f>
        <v>12</v>
      </c>
      <c r="H117" s="8" t="str">
        <f aca="false">IF(G117&lt;=90,"Active",IF(G117&lt;=180,"At risk","Lost"))</f>
        <v>Active</v>
      </c>
    </row>
    <row r="118" customFormat="false" ht="15" hidden="false" customHeight="false" outlineLevel="0" collapsed="false">
      <c r="A118" s="0" t="n">
        <v>18205</v>
      </c>
      <c r="B118" s="7" t="n">
        <f aca="false">_xlfn.MINIFS(Invoices!$B$2:$B$856,Invoices!$C$2:$C$856,A118,Invoices!$G$2:$G$856,"Sale")</f>
        <v>40812</v>
      </c>
      <c r="C118" s="7" t="n">
        <f aca="false">_xlfn.MAXIFS(Invoices!$B$2:$B$856,Invoices!$C$2:$C$856,A118,Invoices!$G$2:$G$856,"Sale")</f>
        <v>40850</v>
      </c>
      <c r="D118" s="8" t="n">
        <f aca="false">COUNTIFS(Invoices!$C$2:$C$856,A118,Invoices!$G$2:$G$856,"Sale")</f>
        <v>2</v>
      </c>
      <c r="E118" s="9" t="n">
        <f aca="false">SUMIFS(Invoices!$F$2:$F$856,Invoices!$C$2:$C$856,A118,Invoices!$G$2:$G$856,"Sale")</f>
        <v>517.36</v>
      </c>
      <c r="F118" s="8" t="n">
        <f aca="false">DATEDIF(B118,C118,"m")</f>
        <v>1</v>
      </c>
      <c r="G118" s="8" t="n">
        <f aca="false">DATEDIF(C118,$L$1,"d")</f>
        <v>37</v>
      </c>
      <c r="H118" s="8" t="str">
        <f aca="false">IF(G118&lt;=90,"Active",IF(G118&lt;=180,"At risk","Lost"))</f>
        <v>Active</v>
      </c>
    </row>
    <row r="119" customFormat="false" ht="15" hidden="false" customHeight="false" outlineLevel="0" collapsed="false">
      <c r="A119" s="0" t="n">
        <v>18223</v>
      </c>
      <c r="B119" s="7" t="n">
        <f aca="false">_xlfn.MINIFS(Invoices!$B$2:$B$856,Invoices!$C$2:$C$856,A119,Invoices!$G$2:$G$856,"Sale")</f>
        <v>40151</v>
      </c>
      <c r="C119" s="7" t="n">
        <f aca="false">_xlfn.MAXIFS(Invoices!$B$2:$B$856,Invoices!$C$2:$C$856,A119,Invoices!$G$2:$G$856,"Sale")</f>
        <v>40882</v>
      </c>
      <c r="D119" s="8" t="n">
        <f aca="false">COUNTIFS(Invoices!$C$2:$C$856,A119,Invoices!$G$2:$G$856,"Sale")</f>
        <v>26</v>
      </c>
      <c r="E119" s="9" t="n">
        <f aca="false">SUMIFS(Invoices!$F$2:$F$856,Invoices!$C$2:$C$856,A119,Invoices!$G$2:$G$856,"Sale")</f>
        <v>14000.85</v>
      </c>
      <c r="F119" s="8" t="n">
        <f aca="false">DATEDIF(B119,C119,"m")</f>
        <v>24</v>
      </c>
      <c r="G119" s="8" t="n">
        <f aca="false">DATEDIF(C119,$L$1,"d")</f>
        <v>5</v>
      </c>
      <c r="H119" s="8" t="str">
        <f aca="false">IF(G119&lt;=90,"Active",IF(G119&lt;=180,"At risk","Lost"))</f>
        <v>Active</v>
      </c>
    </row>
    <row r="120" customFormat="false" ht="15" hidden="false" customHeight="false" outlineLevel="0" collapsed="false">
      <c r="A120" s="0" t="n">
        <v>18250</v>
      </c>
      <c r="B120" s="7" t="n">
        <f aca="false">_xlfn.MINIFS(Invoices!$B$2:$B$856,Invoices!$C$2:$C$856,A120,Invoices!$G$2:$G$856,"Sale")</f>
        <v>40576</v>
      </c>
      <c r="C120" s="7" t="n">
        <f aca="false">_xlfn.MAXIFS(Invoices!$B$2:$B$856,Invoices!$C$2:$C$856,A120,Invoices!$G$2:$G$856,"Sale")</f>
        <v>40576</v>
      </c>
      <c r="D120" s="8" t="n">
        <f aca="false">COUNTIFS(Invoices!$C$2:$C$856,A120,Invoices!$G$2:$G$856,"Sale")</f>
        <v>1</v>
      </c>
      <c r="E120" s="9" t="n">
        <f aca="false">SUMIFS(Invoices!$F$2:$F$856,Invoices!$C$2:$C$856,A120,Invoices!$G$2:$G$856,"Sale")</f>
        <v>349.27</v>
      </c>
      <c r="F120" s="8" t="n">
        <f aca="false">DATEDIF(B120,C120,"m")</f>
        <v>0</v>
      </c>
      <c r="G120" s="8" t="n">
        <f aca="false">DATEDIF(C120,$L$1,"d")</f>
        <v>311</v>
      </c>
      <c r="H120" s="8" t="str">
        <f aca="false">IF(G120&lt;=90,"Active",IF(G120&lt;=180,"At risk","Lost"))</f>
        <v>Lost</v>
      </c>
    </row>
    <row r="121" customFormat="false" ht="15" hidden="false" customHeight="false" outlineLevel="0" collapsed="false">
      <c r="A121" s="0" t="n">
        <v>18259</v>
      </c>
      <c r="B121" s="7" t="n">
        <f aca="false">_xlfn.MINIFS(Invoices!$B$2:$B$856,Invoices!$C$2:$C$856,A121,Invoices!$G$2:$G$856,"Sale")</f>
        <v>40155</v>
      </c>
      <c r="C121" s="7" t="n">
        <f aca="false">_xlfn.MAXIFS(Invoices!$B$2:$B$856,Invoices!$C$2:$C$856,A121,Invoices!$G$2:$G$856,"Sale")</f>
        <v>40862</v>
      </c>
      <c r="D121" s="8" t="n">
        <f aca="false">COUNTIFS(Invoices!$C$2:$C$856,A121,Invoices!$G$2:$G$856,"Sale")</f>
        <v>7</v>
      </c>
      <c r="E121" s="9" t="n">
        <f aca="false">SUMIFS(Invoices!$F$2:$F$856,Invoices!$C$2:$C$856,A121,Invoices!$G$2:$G$856,"Sale")</f>
        <v>3941.9</v>
      </c>
      <c r="F121" s="8" t="n">
        <f aca="false">DATEDIF(B121,C121,"m")</f>
        <v>23</v>
      </c>
      <c r="G121" s="8" t="n">
        <f aca="false">DATEDIF(C121,$L$1,"d")</f>
        <v>25</v>
      </c>
      <c r="H121" s="8" t="str">
        <f aca="false">IF(G121&lt;=90,"Active",IF(G121&lt;=180,"At risk","Lost"))</f>
        <v>Active</v>
      </c>
    </row>
  </sheetData>
  <conditionalFormatting sqref="H2:H121">
    <cfRule type="cellIs" priority="2" operator="equal" aboveAverage="0" equalAverage="0" bottom="0" percent="0" rank="0" text="" dxfId="0">
      <formula>"Lost"</formula>
    </cfRule>
  </conditionalFormatting>
  <dataValidations count="1">
    <dataValidation allowBlank="false" errorStyle="stop" operator="between" showDropDown="false" showErrorMessage="false" showInputMessage="false" sqref="L4" type="list">
      <formula1>"Active,At risk,Lost"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4" t="s">
        <v>35</v>
      </c>
      <c r="B1" s="4" t="s">
        <v>36</v>
      </c>
      <c r="C1" s="4" t="s">
        <v>19</v>
      </c>
      <c r="D1" s="4" t="s">
        <v>37</v>
      </c>
      <c r="E1" s="4" t="s">
        <v>38</v>
      </c>
      <c r="F1" s="4" t="s">
        <v>39</v>
      </c>
      <c r="G1" s="4" t="s">
        <v>40</v>
      </c>
    </row>
    <row r="2" customFormat="false" ht="15" hidden="false" customHeight="false" outlineLevel="0" collapsed="false">
      <c r="A2" s="0" t="s">
        <v>41</v>
      </c>
      <c r="B2" s="6" t="n">
        <v>40148</v>
      </c>
      <c r="C2" s="0" t="n">
        <v>13085</v>
      </c>
      <c r="D2" s="0" t="s">
        <v>42</v>
      </c>
      <c r="E2" s="0" t="n">
        <v>8</v>
      </c>
      <c r="F2" s="0" t="n">
        <v>505.3</v>
      </c>
      <c r="G2" s="0" t="s">
        <v>43</v>
      </c>
    </row>
    <row r="3" customFormat="false" ht="15" hidden="false" customHeight="false" outlineLevel="0" collapsed="false">
      <c r="A3" s="0" t="s">
        <v>44</v>
      </c>
      <c r="B3" s="6" t="n">
        <v>40148</v>
      </c>
      <c r="C3" s="0" t="n">
        <v>13085</v>
      </c>
      <c r="D3" s="0" t="s">
        <v>42</v>
      </c>
      <c r="E3" s="0" t="n">
        <v>4</v>
      </c>
      <c r="F3" s="0" t="n">
        <v>145.8</v>
      </c>
      <c r="G3" s="0" t="s">
        <v>43</v>
      </c>
    </row>
    <row r="4" customFormat="false" ht="15" hidden="false" customHeight="false" outlineLevel="0" collapsed="false">
      <c r="A4" s="0" t="s">
        <v>45</v>
      </c>
      <c r="B4" s="6" t="n">
        <v>40148</v>
      </c>
      <c r="C4" s="0" t="n">
        <v>14543</v>
      </c>
      <c r="D4" s="0" t="s">
        <v>42</v>
      </c>
      <c r="E4" s="0" t="n">
        <v>9</v>
      </c>
      <c r="F4" s="0" t="n">
        <v>293.95</v>
      </c>
      <c r="G4" s="0" t="s">
        <v>43</v>
      </c>
    </row>
    <row r="5" customFormat="false" ht="15" hidden="false" customHeight="false" outlineLevel="0" collapsed="false">
      <c r="A5" s="0" t="s">
        <v>46</v>
      </c>
      <c r="B5" s="6" t="n">
        <v>40149</v>
      </c>
      <c r="C5" s="0" t="n">
        <v>14894</v>
      </c>
      <c r="D5" s="0" t="s">
        <v>42</v>
      </c>
      <c r="E5" s="0" t="n">
        <v>3</v>
      </c>
      <c r="F5" s="0" t="n">
        <v>299.7</v>
      </c>
      <c r="G5" s="0" t="s">
        <v>43</v>
      </c>
    </row>
    <row r="6" customFormat="false" ht="15" hidden="false" customHeight="false" outlineLevel="0" collapsed="false">
      <c r="A6" s="0" t="s">
        <v>47</v>
      </c>
      <c r="B6" s="6" t="n">
        <v>40149</v>
      </c>
      <c r="C6" s="0" t="n">
        <v>17949</v>
      </c>
      <c r="D6" s="0" t="s">
        <v>42</v>
      </c>
      <c r="E6" s="0" t="n">
        <v>1</v>
      </c>
      <c r="F6" s="0" t="n">
        <v>216</v>
      </c>
      <c r="G6" s="0" t="s">
        <v>43</v>
      </c>
    </row>
    <row r="7" customFormat="false" ht="15" hidden="false" customHeight="false" outlineLevel="0" collapsed="false">
      <c r="A7" s="0" t="s">
        <v>48</v>
      </c>
      <c r="B7" s="6" t="n">
        <v>40149</v>
      </c>
      <c r="C7" s="0" t="n">
        <v>17949</v>
      </c>
      <c r="D7" s="0" t="s">
        <v>42</v>
      </c>
      <c r="E7" s="0" t="n">
        <v>1</v>
      </c>
      <c r="F7" s="0" t="n">
        <v>750</v>
      </c>
      <c r="G7" s="0" t="s">
        <v>43</v>
      </c>
    </row>
    <row r="8" customFormat="false" ht="15" hidden="false" customHeight="false" outlineLevel="0" collapsed="false">
      <c r="A8" s="0" t="s">
        <v>49</v>
      </c>
      <c r="B8" s="6" t="n">
        <v>40149</v>
      </c>
      <c r="C8" s="0" t="n">
        <v>17949</v>
      </c>
      <c r="D8" s="0" t="s">
        <v>42</v>
      </c>
      <c r="E8" s="0" t="n">
        <v>1</v>
      </c>
      <c r="F8" s="0" t="n">
        <v>900</v>
      </c>
      <c r="G8" s="0" t="s">
        <v>43</v>
      </c>
    </row>
    <row r="9" customFormat="false" ht="15" hidden="false" customHeight="false" outlineLevel="0" collapsed="false">
      <c r="A9" s="0" t="s">
        <v>50</v>
      </c>
      <c r="B9" s="6" t="n">
        <v>40149</v>
      </c>
      <c r="C9" s="0" t="n">
        <v>15482</v>
      </c>
      <c r="D9" s="0" t="s">
        <v>42</v>
      </c>
      <c r="E9" s="0" t="n">
        <v>6</v>
      </c>
      <c r="F9" s="0" t="n">
        <v>181.08</v>
      </c>
      <c r="G9" s="0" t="s">
        <v>43</v>
      </c>
    </row>
    <row r="10" customFormat="false" ht="15" hidden="false" customHeight="false" outlineLevel="0" collapsed="false">
      <c r="A10" s="0" t="s">
        <v>51</v>
      </c>
      <c r="B10" s="6" t="n">
        <v>40150</v>
      </c>
      <c r="C10" s="0" t="n">
        <v>15482</v>
      </c>
      <c r="D10" s="0" t="s">
        <v>42</v>
      </c>
      <c r="E10" s="0" t="n">
        <v>1</v>
      </c>
      <c r="F10" s="0" t="n">
        <v>144</v>
      </c>
      <c r="G10" s="0" t="s">
        <v>43</v>
      </c>
    </row>
    <row r="11" customFormat="false" ht="15" hidden="false" customHeight="false" outlineLevel="0" collapsed="false">
      <c r="A11" s="0" t="s">
        <v>52</v>
      </c>
      <c r="B11" s="6" t="n">
        <v>40150</v>
      </c>
      <c r="C11" s="0" t="n">
        <v>17322</v>
      </c>
      <c r="D11" s="0" t="s">
        <v>42</v>
      </c>
      <c r="E11" s="0" t="n">
        <v>28</v>
      </c>
      <c r="F11" s="0" t="n">
        <v>114.55</v>
      </c>
      <c r="G11" s="0" t="s">
        <v>43</v>
      </c>
    </row>
    <row r="12" customFormat="false" ht="15" hidden="false" customHeight="false" outlineLevel="0" collapsed="false">
      <c r="A12" s="0" t="s">
        <v>53</v>
      </c>
      <c r="B12" s="6" t="n">
        <v>40150</v>
      </c>
      <c r="C12" s="0" t="n">
        <v>17581</v>
      </c>
      <c r="D12" s="0" t="s">
        <v>42</v>
      </c>
      <c r="E12" s="0" t="n">
        <v>15</v>
      </c>
      <c r="F12" s="0" t="n">
        <v>308.6</v>
      </c>
      <c r="G12" s="0" t="s">
        <v>43</v>
      </c>
    </row>
    <row r="13" customFormat="false" ht="15" hidden="false" customHeight="false" outlineLevel="0" collapsed="false">
      <c r="A13" s="0" t="s">
        <v>54</v>
      </c>
      <c r="B13" s="6" t="n">
        <v>40150</v>
      </c>
      <c r="C13" s="0" t="n">
        <v>17581</v>
      </c>
      <c r="D13" s="0" t="s">
        <v>42</v>
      </c>
      <c r="E13" s="0" t="n">
        <v>3</v>
      </c>
      <c r="F13" s="0" t="n">
        <v>37.8</v>
      </c>
      <c r="G13" s="0" t="s">
        <v>43</v>
      </c>
    </row>
    <row r="14" customFormat="false" ht="15" hidden="false" customHeight="false" outlineLevel="0" collapsed="false">
      <c r="A14" s="0" t="s">
        <v>55</v>
      </c>
      <c r="B14" s="6" t="n">
        <v>40150</v>
      </c>
      <c r="C14" s="0" t="n">
        <v>17581</v>
      </c>
      <c r="D14" s="0" t="s">
        <v>42</v>
      </c>
      <c r="E14" s="0" t="n">
        <v>1</v>
      </c>
      <c r="F14" s="0" t="n">
        <v>10.2</v>
      </c>
      <c r="G14" s="0" t="s">
        <v>43</v>
      </c>
    </row>
    <row r="15" customFormat="false" ht="15" hidden="false" customHeight="false" outlineLevel="0" collapsed="false">
      <c r="A15" s="0" t="s">
        <v>56</v>
      </c>
      <c r="B15" s="6" t="n">
        <v>40150</v>
      </c>
      <c r="C15" s="0" t="n">
        <v>17581</v>
      </c>
      <c r="D15" s="0" t="s">
        <v>42</v>
      </c>
      <c r="E15" s="0" t="n">
        <v>3</v>
      </c>
      <c r="F15" s="0" t="n">
        <v>45.6</v>
      </c>
      <c r="G15" s="0" t="s">
        <v>43</v>
      </c>
    </row>
    <row r="16" customFormat="false" ht="15" hidden="false" customHeight="false" outlineLevel="0" collapsed="false">
      <c r="A16" s="0" t="s">
        <v>57</v>
      </c>
      <c r="B16" s="6" t="n">
        <v>40150</v>
      </c>
      <c r="C16" s="0" t="n">
        <v>16139</v>
      </c>
      <c r="D16" s="0" t="s">
        <v>42</v>
      </c>
      <c r="E16" s="0" t="n">
        <v>19</v>
      </c>
      <c r="F16" s="0" t="n">
        <v>355.59</v>
      </c>
      <c r="G16" s="0" t="s">
        <v>43</v>
      </c>
    </row>
    <row r="17" customFormat="false" ht="15" hidden="false" customHeight="false" outlineLevel="0" collapsed="false">
      <c r="A17" s="0" t="s">
        <v>58</v>
      </c>
      <c r="B17" s="6" t="n">
        <v>40150</v>
      </c>
      <c r="C17" s="0" t="n">
        <v>13085</v>
      </c>
      <c r="D17" s="0" t="s">
        <v>42</v>
      </c>
      <c r="E17" s="0" t="n">
        <v>9</v>
      </c>
      <c r="F17" s="0" t="n">
        <v>284.3</v>
      </c>
      <c r="G17" s="0" t="s">
        <v>43</v>
      </c>
    </row>
    <row r="18" customFormat="false" ht="15" hidden="false" customHeight="false" outlineLevel="0" collapsed="false">
      <c r="A18" s="0" t="s">
        <v>59</v>
      </c>
      <c r="B18" s="6" t="n">
        <v>40150</v>
      </c>
      <c r="C18" s="0" t="n">
        <v>13085</v>
      </c>
      <c r="D18" s="0" t="s">
        <v>42</v>
      </c>
      <c r="E18" s="0" t="n">
        <v>5</v>
      </c>
      <c r="F18" s="0" t="n">
        <v>161.4</v>
      </c>
      <c r="G18" s="0" t="s">
        <v>43</v>
      </c>
    </row>
    <row r="19" customFormat="false" ht="15" hidden="false" customHeight="false" outlineLevel="0" collapsed="false">
      <c r="A19" s="0" t="s">
        <v>60</v>
      </c>
      <c r="B19" s="6" t="n">
        <v>40150</v>
      </c>
      <c r="C19" s="0" t="n">
        <v>17949</v>
      </c>
      <c r="D19" s="0" t="s">
        <v>42</v>
      </c>
      <c r="E19" s="0" t="n">
        <v>1</v>
      </c>
      <c r="F19" s="0" t="n">
        <v>799.2</v>
      </c>
      <c r="G19" s="0" t="s">
        <v>43</v>
      </c>
    </row>
    <row r="20" customFormat="false" ht="15" hidden="false" customHeight="false" outlineLevel="0" collapsed="false">
      <c r="A20" s="0" t="s">
        <v>61</v>
      </c>
      <c r="B20" s="6" t="n">
        <v>40150</v>
      </c>
      <c r="C20" s="0" t="n">
        <v>17949</v>
      </c>
      <c r="D20" s="0" t="s">
        <v>42</v>
      </c>
      <c r="E20" s="0" t="n">
        <v>1</v>
      </c>
      <c r="F20" s="0" t="n">
        <v>466.2</v>
      </c>
      <c r="G20" s="0" t="s">
        <v>43</v>
      </c>
    </row>
    <row r="21" customFormat="false" ht="15" hidden="false" customHeight="false" outlineLevel="0" collapsed="false">
      <c r="A21" s="0" t="s">
        <v>62</v>
      </c>
      <c r="B21" s="6" t="n">
        <v>40150</v>
      </c>
      <c r="C21" s="0" t="n">
        <v>17949</v>
      </c>
      <c r="D21" s="0" t="s">
        <v>42</v>
      </c>
      <c r="E21" s="0" t="n">
        <v>1</v>
      </c>
      <c r="F21" s="0" t="n">
        <v>636</v>
      </c>
      <c r="G21" s="0" t="s">
        <v>43</v>
      </c>
    </row>
    <row r="22" customFormat="false" ht="15" hidden="false" customHeight="false" outlineLevel="0" collapsed="false">
      <c r="A22" s="0" t="s">
        <v>63</v>
      </c>
      <c r="B22" s="6" t="n">
        <v>40150</v>
      </c>
      <c r="C22" s="0" t="n">
        <v>17949</v>
      </c>
      <c r="D22" s="0" t="s">
        <v>42</v>
      </c>
      <c r="E22" s="0" t="n">
        <v>1</v>
      </c>
      <c r="F22" s="0" t="n">
        <v>851.76</v>
      </c>
      <c r="G22" s="0" t="s">
        <v>43</v>
      </c>
    </row>
    <row r="23" customFormat="false" ht="15" hidden="false" customHeight="false" outlineLevel="0" collapsed="false">
      <c r="A23" s="0" t="s">
        <v>64</v>
      </c>
      <c r="B23" s="6" t="n">
        <v>40150</v>
      </c>
      <c r="C23" s="0" t="n">
        <v>15482</v>
      </c>
      <c r="D23" s="0" t="s">
        <v>42</v>
      </c>
      <c r="E23" s="0" t="n">
        <v>1</v>
      </c>
      <c r="F23" s="0" t="n">
        <v>-1998.49</v>
      </c>
      <c r="G23" s="0" t="s">
        <v>65</v>
      </c>
    </row>
    <row r="24" customFormat="false" ht="15" hidden="false" customHeight="false" outlineLevel="0" collapsed="false">
      <c r="A24" s="0" t="s">
        <v>66</v>
      </c>
      <c r="B24" s="6" t="n">
        <v>40150</v>
      </c>
      <c r="C24" s="0" t="n">
        <v>17949</v>
      </c>
      <c r="D24" s="0" t="s">
        <v>42</v>
      </c>
      <c r="E24" s="0" t="n">
        <v>5</v>
      </c>
      <c r="F24" s="0" t="n">
        <v>-3341.46</v>
      </c>
      <c r="G24" s="0" t="s">
        <v>65</v>
      </c>
    </row>
    <row r="25" customFormat="false" ht="15" hidden="false" customHeight="false" outlineLevel="0" collapsed="false">
      <c r="A25" s="0" t="s">
        <v>67</v>
      </c>
      <c r="B25" s="6" t="n">
        <v>40151</v>
      </c>
      <c r="C25" s="0" t="n">
        <v>16883</v>
      </c>
      <c r="D25" s="0" t="s">
        <v>42</v>
      </c>
      <c r="E25" s="0" t="n">
        <v>12</v>
      </c>
      <c r="F25" s="0" t="n">
        <v>108.95</v>
      </c>
      <c r="G25" s="0" t="s">
        <v>43</v>
      </c>
    </row>
    <row r="26" customFormat="false" ht="15" hidden="false" customHeight="false" outlineLevel="0" collapsed="false">
      <c r="A26" s="0" t="s">
        <v>68</v>
      </c>
      <c r="B26" s="6" t="n">
        <v>40151</v>
      </c>
      <c r="C26" s="0" t="n">
        <v>18223</v>
      </c>
      <c r="D26" s="0" t="s">
        <v>42</v>
      </c>
      <c r="E26" s="0" t="n">
        <v>34</v>
      </c>
      <c r="F26" s="0" t="n">
        <v>1185.16</v>
      </c>
      <c r="G26" s="0" t="s">
        <v>43</v>
      </c>
    </row>
    <row r="27" customFormat="false" ht="15" hidden="false" customHeight="false" outlineLevel="0" collapsed="false">
      <c r="A27" s="0" t="s">
        <v>69</v>
      </c>
      <c r="B27" s="6" t="n">
        <v>40151</v>
      </c>
      <c r="C27" s="0" t="n">
        <v>13733</v>
      </c>
      <c r="D27" s="0" t="s">
        <v>42</v>
      </c>
      <c r="E27" s="0" t="n">
        <v>10</v>
      </c>
      <c r="F27" s="0" t="n">
        <v>149.1</v>
      </c>
      <c r="G27" s="0" t="s">
        <v>43</v>
      </c>
    </row>
    <row r="28" customFormat="false" ht="15" hidden="false" customHeight="false" outlineLevel="0" collapsed="false">
      <c r="A28" s="0" t="s">
        <v>70</v>
      </c>
      <c r="B28" s="6" t="n">
        <v>40151</v>
      </c>
      <c r="C28" s="0" t="n">
        <v>15514</v>
      </c>
      <c r="D28" s="0" t="s">
        <v>42</v>
      </c>
      <c r="E28" s="0" t="n">
        <v>44</v>
      </c>
      <c r="F28" s="0" t="n">
        <v>532.28</v>
      </c>
      <c r="G28" s="0" t="s">
        <v>43</v>
      </c>
    </row>
    <row r="29" customFormat="false" ht="15" hidden="false" customHeight="false" outlineLevel="0" collapsed="false">
      <c r="A29" s="0" t="s">
        <v>71</v>
      </c>
      <c r="B29" s="6" t="n">
        <v>40154</v>
      </c>
      <c r="C29" s="0" t="n">
        <v>17508</v>
      </c>
      <c r="D29" s="0" t="s">
        <v>72</v>
      </c>
      <c r="E29" s="0" t="n">
        <v>41</v>
      </c>
      <c r="F29" s="0" t="n">
        <v>610.95</v>
      </c>
      <c r="G29" s="0" t="s">
        <v>43</v>
      </c>
    </row>
    <row r="30" customFormat="false" ht="15" hidden="false" customHeight="false" outlineLevel="0" collapsed="false">
      <c r="A30" s="0" t="s">
        <v>73</v>
      </c>
      <c r="B30" s="6" t="n">
        <v>40154</v>
      </c>
      <c r="C30" s="0" t="n">
        <v>14543</v>
      </c>
      <c r="D30" s="0" t="s">
        <v>42</v>
      </c>
      <c r="E30" s="0" t="n">
        <v>7</v>
      </c>
      <c r="F30" s="0" t="n">
        <v>362.6</v>
      </c>
      <c r="G30" s="0" t="s">
        <v>43</v>
      </c>
    </row>
    <row r="31" customFormat="false" ht="15" hidden="false" customHeight="false" outlineLevel="0" collapsed="false">
      <c r="A31" s="0" t="s">
        <v>74</v>
      </c>
      <c r="B31" s="6" t="n">
        <v>40155</v>
      </c>
      <c r="C31" s="0" t="n">
        <v>18259</v>
      </c>
      <c r="D31" s="0" t="s">
        <v>42</v>
      </c>
      <c r="E31" s="0" t="n">
        <v>5</v>
      </c>
      <c r="F31" s="0" t="n">
        <v>356.4</v>
      </c>
      <c r="G31" s="0" t="s">
        <v>43</v>
      </c>
    </row>
    <row r="32" customFormat="false" ht="15" hidden="false" customHeight="false" outlineLevel="0" collapsed="false">
      <c r="A32" s="0" t="s">
        <v>75</v>
      </c>
      <c r="B32" s="6" t="n">
        <v>40155</v>
      </c>
      <c r="C32" s="0" t="n">
        <v>13382</v>
      </c>
      <c r="D32" s="0" t="s">
        <v>42</v>
      </c>
      <c r="E32" s="0" t="n">
        <v>16</v>
      </c>
      <c r="F32" s="0" t="n">
        <v>255.04</v>
      </c>
      <c r="G32" s="0" t="s">
        <v>43</v>
      </c>
    </row>
    <row r="33" customFormat="false" ht="15" hidden="false" customHeight="false" outlineLevel="0" collapsed="false">
      <c r="A33" s="0" t="s">
        <v>76</v>
      </c>
      <c r="B33" s="6" t="n">
        <v>40155</v>
      </c>
      <c r="C33" s="0" t="n">
        <v>15203</v>
      </c>
      <c r="D33" s="0" t="s">
        <v>42</v>
      </c>
      <c r="E33" s="0" t="n">
        <v>23</v>
      </c>
      <c r="F33" s="0" t="n">
        <v>255.68</v>
      </c>
      <c r="G33" s="0" t="s">
        <v>43</v>
      </c>
    </row>
    <row r="34" customFormat="false" ht="15" hidden="false" customHeight="false" outlineLevel="0" collapsed="false">
      <c r="A34" s="0" t="s">
        <v>77</v>
      </c>
      <c r="B34" s="6" t="n">
        <v>40155</v>
      </c>
      <c r="C34" s="0" t="n">
        <v>13733</v>
      </c>
      <c r="D34" s="0" t="s">
        <v>42</v>
      </c>
      <c r="E34" s="0" t="n">
        <v>1</v>
      </c>
      <c r="F34" s="0" t="n">
        <v>-2.5</v>
      </c>
      <c r="G34" s="0" t="s">
        <v>65</v>
      </c>
    </row>
    <row r="35" customFormat="false" ht="15" hidden="false" customHeight="false" outlineLevel="0" collapsed="false">
      <c r="A35" s="0" t="s">
        <v>78</v>
      </c>
      <c r="B35" s="6" t="n">
        <v>40156</v>
      </c>
      <c r="C35" s="0" t="n">
        <v>13498</v>
      </c>
      <c r="D35" s="0" t="s">
        <v>42</v>
      </c>
      <c r="E35" s="0" t="n">
        <v>17</v>
      </c>
      <c r="F35" s="0" t="n">
        <v>327.38</v>
      </c>
      <c r="G35" s="0" t="s">
        <v>43</v>
      </c>
    </row>
    <row r="36" customFormat="false" ht="15" hidden="false" customHeight="false" outlineLevel="0" collapsed="false">
      <c r="A36" s="0" t="s">
        <v>79</v>
      </c>
      <c r="B36" s="6" t="n">
        <v>40157</v>
      </c>
      <c r="C36" s="0" t="n">
        <v>15032</v>
      </c>
      <c r="D36" s="0" t="s">
        <v>42</v>
      </c>
      <c r="E36" s="0" t="n">
        <v>6</v>
      </c>
      <c r="F36" s="0" t="n">
        <v>1505.4</v>
      </c>
      <c r="G36" s="0" t="s">
        <v>43</v>
      </c>
    </row>
    <row r="37" customFormat="false" ht="15" hidden="false" customHeight="false" outlineLevel="0" collapsed="false">
      <c r="A37" s="0" t="s">
        <v>80</v>
      </c>
      <c r="B37" s="6" t="n">
        <v>40158</v>
      </c>
      <c r="C37" s="0" t="n">
        <v>17581</v>
      </c>
      <c r="D37" s="0" t="s">
        <v>42</v>
      </c>
      <c r="E37" s="0" t="n">
        <v>4</v>
      </c>
      <c r="F37" s="0" t="n">
        <v>-34.1</v>
      </c>
      <c r="G37" s="0" t="s">
        <v>65</v>
      </c>
    </row>
    <row r="38" customFormat="false" ht="15" hidden="false" customHeight="false" outlineLevel="0" collapsed="false">
      <c r="A38" s="0" t="s">
        <v>81</v>
      </c>
      <c r="B38" s="6" t="n">
        <v>40161</v>
      </c>
      <c r="C38" s="0" t="n">
        <v>14977</v>
      </c>
      <c r="D38" s="0" t="s">
        <v>42</v>
      </c>
      <c r="E38" s="0" t="n">
        <v>4</v>
      </c>
      <c r="F38" s="0" t="n">
        <v>31.93</v>
      </c>
      <c r="G38" s="0" t="s">
        <v>43</v>
      </c>
    </row>
    <row r="39" customFormat="false" ht="15" hidden="false" customHeight="false" outlineLevel="0" collapsed="false">
      <c r="A39" s="0" t="s">
        <v>82</v>
      </c>
      <c r="B39" s="6" t="n">
        <v>40161</v>
      </c>
      <c r="C39" s="0" t="n">
        <v>17949</v>
      </c>
      <c r="D39" s="0" t="s">
        <v>42</v>
      </c>
      <c r="E39" s="0" t="n">
        <v>1</v>
      </c>
      <c r="F39" s="0" t="n">
        <v>705.6</v>
      </c>
      <c r="G39" s="0" t="s">
        <v>43</v>
      </c>
    </row>
    <row r="40" customFormat="false" ht="15" hidden="false" customHeight="false" outlineLevel="0" collapsed="false">
      <c r="A40" s="0" t="s">
        <v>83</v>
      </c>
      <c r="B40" s="6" t="n">
        <v>40162</v>
      </c>
      <c r="C40" s="0" t="n">
        <v>17949</v>
      </c>
      <c r="D40" s="0" t="s">
        <v>42</v>
      </c>
      <c r="E40" s="0" t="n">
        <v>1</v>
      </c>
      <c r="F40" s="0" t="n">
        <v>208.8</v>
      </c>
      <c r="G40" s="0" t="s">
        <v>43</v>
      </c>
    </row>
    <row r="41" customFormat="false" ht="15" hidden="false" customHeight="false" outlineLevel="0" collapsed="false">
      <c r="A41" s="0" t="s">
        <v>84</v>
      </c>
      <c r="B41" s="6" t="n">
        <v>40162</v>
      </c>
      <c r="C41" s="0" t="n">
        <v>17949</v>
      </c>
      <c r="D41" s="0" t="s">
        <v>42</v>
      </c>
      <c r="E41" s="0" t="n">
        <v>1</v>
      </c>
      <c r="F41" s="0" t="n">
        <v>216</v>
      </c>
      <c r="G41" s="0" t="s">
        <v>43</v>
      </c>
    </row>
    <row r="42" customFormat="false" ht="15" hidden="false" customHeight="false" outlineLevel="0" collapsed="false">
      <c r="A42" s="0" t="s">
        <v>85</v>
      </c>
      <c r="B42" s="6" t="n">
        <v>40162</v>
      </c>
      <c r="C42" s="0" t="n">
        <v>15514</v>
      </c>
      <c r="D42" s="0" t="s">
        <v>42</v>
      </c>
      <c r="E42" s="0" t="n">
        <v>24</v>
      </c>
      <c r="F42" s="0" t="n">
        <v>774.21</v>
      </c>
      <c r="G42" s="0" t="s">
        <v>43</v>
      </c>
    </row>
    <row r="43" customFormat="false" ht="15" hidden="false" customHeight="false" outlineLevel="0" collapsed="false">
      <c r="A43" s="0" t="s">
        <v>86</v>
      </c>
      <c r="B43" s="6" t="n">
        <v>40163</v>
      </c>
      <c r="C43" s="0" t="n">
        <v>14543</v>
      </c>
      <c r="D43" s="0" t="s">
        <v>42</v>
      </c>
      <c r="E43" s="0" t="n">
        <v>6</v>
      </c>
      <c r="F43" s="0" t="n">
        <v>313.8</v>
      </c>
      <c r="G43" s="0" t="s">
        <v>43</v>
      </c>
    </row>
    <row r="44" customFormat="false" ht="15" hidden="false" customHeight="false" outlineLevel="0" collapsed="false">
      <c r="A44" s="0" t="s">
        <v>87</v>
      </c>
      <c r="B44" s="6" t="n">
        <v>40163</v>
      </c>
      <c r="C44" s="0" t="n">
        <v>14894</v>
      </c>
      <c r="D44" s="0" t="s">
        <v>42</v>
      </c>
      <c r="E44" s="0" t="n">
        <v>1</v>
      </c>
      <c r="F44" s="0" t="n">
        <v>-6.35</v>
      </c>
      <c r="G44" s="0" t="s">
        <v>65</v>
      </c>
    </row>
    <row r="45" customFormat="false" ht="15" hidden="false" customHeight="false" outlineLevel="0" collapsed="false">
      <c r="A45" s="0" t="s">
        <v>88</v>
      </c>
      <c r="B45" s="6" t="n">
        <v>40164</v>
      </c>
      <c r="C45" s="0" t="n">
        <v>16139</v>
      </c>
      <c r="D45" s="0" t="s">
        <v>42</v>
      </c>
      <c r="E45" s="0" t="n">
        <v>7</v>
      </c>
      <c r="F45" s="0" t="n">
        <v>120.15</v>
      </c>
      <c r="G45" s="0" t="s">
        <v>43</v>
      </c>
    </row>
    <row r="46" customFormat="false" ht="15" hidden="false" customHeight="false" outlineLevel="0" collapsed="false">
      <c r="A46" s="0" t="s">
        <v>89</v>
      </c>
      <c r="B46" s="6" t="n">
        <v>40164</v>
      </c>
      <c r="C46" s="0" t="n">
        <v>14543</v>
      </c>
      <c r="D46" s="0" t="s">
        <v>42</v>
      </c>
      <c r="E46" s="0" t="n">
        <v>6</v>
      </c>
      <c r="F46" s="0" t="n">
        <v>299.65</v>
      </c>
      <c r="G46" s="0" t="s">
        <v>43</v>
      </c>
    </row>
    <row r="47" customFormat="false" ht="15" hidden="false" customHeight="false" outlineLevel="0" collapsed="false">
      <c r="A47" s="0" t="s">
        <v>90</v>
      </c>
      <c r="B47" s="6" t="n">
        <v>40164</v>
      </c>
      <c r="C47" s="0" t="n">
        <v>18223</v>
      </c>
      <c r="D47" s="0" t="s">
        <v>42</v>
      </c>
      <c r="E47" s="0" t="n">
        <v>15</v>
      </c>
      <c r="F47" s="0" t="n">
        <v>322.6</v>
      </c>
      <c r="G47" s="0" t="s">
        <v>43</v>
      </c>
    </row>
    <row r="48" customFormat="false" ht="15" hidden="false" customHeight="false" outlineLevel="0" collapsed="false">
      <c r="A48" s="0" t="s">
        <v>91</v>
      </c>
      <c r="B48" s="6" t="n">
        <v>40164</v>
      </c>
      <c r="C48" s="0" t="n">
        <v>12997</v>
      </c>
      <c r="D48" s="0" t="s">
        <v>42</v>
      </c>
      <c r="E48" s="0" t="n">
        <v>1</v>
      </c>
      <c r="F48" s="0" t="n">
        <v>-2.95</v>
      </c>
      <c r="G48" s="0" t="s">
        <v>65</v>
      </c>
    </row>
    <row r="49" customFormat="false" ht="15" hidden="false" customHeight="false" outlineLevel="0" collapsed="false">
      <c r="A49" s="0" t="s">
        <v>92</v>
      </c>
      <c r="B49" s="6" t="n">
        <v>40164</v>
      </c>
      <c r="C49" s="0" t="n">
        <v>18223</v>
      </c>
      <c r="D49" s="0" t="s">
        <v>42</v>
      </c>
      <c r="E49" s="0" t="n">
        <v>5</v>
      </c>
      <c r="F49" s="0" t="n">
        <v>-16.11</v>
      </c>
      <c r="G49" s="0" t="s">
        <v>65</v>
      </c>
    </row>
    <row r="50" customFormat="false" ht="15" hidden="false" customHeight="false" outlineLevel="0" collapsed="false">
      <c r="A50" s="0" t="s">
        <v>93</v>
      </c>
      <c r="B50" s="6" t="n">
        <v>40168</v>
      </c>
      <c r="C50" s="0" t="n">
        <v>16282</v>
      </c>
      <c r="D50" s="0" t="s">
        <v>42</v>
      </c>
      <c r="E50" s="0" t="n">
        <v>8</v>
      </c>
      <c r="F50" s="0" t="n">
        <v>270</v>
      </c>
      <c r="G50" s="0" t="s">
        <v>43</v>
      </c>
    </row>
    <row r="51" customFormat="false" ht="15" hidden="false" customHeight="false" outlineLevel="0" collapsed="false">
      <c r="A51" s="0" t="s">
        <v>94</v>
      </c>
      <c r="B51" s="6" t="n">
        <v>40168</v>
      </c>
      <c r="C51" s="0" t="n">
        <v>17182</v>
      </c>
      <c r="D51" s="0" t="s">
        <v>42</v>
      </c>
      <c r="E51" s="0" t="n">
        <v>2</v>
      </c>
      <c r="F51" s="0" t="n">
        <v>178.5</v>
      </c>
      <c r="G51" s="0" t="s">
        <v>43</v>
      </c>
    </row>
    <row r="52" customFormat="false" ht="15" hidden="false" customHeight="false" outlineLevel="0" collapsed="false">
      <c r="A52" s="0" t="s">
        <v>95</v>
      </c>
      <c r="B52" s="6" t="n">
        <v>40170</v>
      </c>
      <c r="C52" s="0" t="n">
        <v>15514</v>
      </c>
      <c r="D52" s="0" t="s">
        <v>42</v>
      </c>
      <c r="E52" s="0" t="n">
        <v>24</v>
      </c>
      <c r="F52" s="0" t="n">
        <v>163.2</v>
      </c>
      <c r="G52" s="0" t="s">
        <v>43</v>
      </c>
    </row>
    <row r="53" customFormat="false" ht="15" hidden="false" customHeight="false" outlineLevel="0" collapsed="false">
      <c r="A53" s="0" t="s">
        <v>96</v>
      </c>
      <c r="B53" s="6" t="n">
        <v>40182</v>
      </c>
      <c r="C53" s="0" t="n">
        <v>17949</v>
      </c>
      <c r="D53" s="0" t="s">
        <v>42</v>
      </c>
      <c r="E53" s="0" t="n">
        <v>1</v>
      </c>
      <c r="F53" s="0" t="n">
        <v>-50</v>
      </c>
      <c r="G53" s="0" t="s">
        <v>65</v>
      </c>
    </row>
    <row r="54" customFormat="false" ht="15" hidden="false" customHeight="false" outlineLevel="0" collapsed="false">
      <c r="A54" s="0" t="s">
        <v>97</v>
      </c>
      <c r="B54" s="6" t="n">
        <v>40183</v>
      </c>
      <c r="C54" s="0" t="n">
        <v>17949</v>
      </c>
      <c r="D54" s="0" t="s">
        <v>42</v>
      </c>
      <c r="E54" s="0" t="n">
        <v>1</v>
      </c>
      <c r="F54" s="0" t="n">
        <v>42</v>
      </c>
      <c r="G54" s="0" t="s">
        <v>43</v>
      </c>
    </row>
    <row r="55" customFormat="false" ht="15" hidden="false" customHeight="false" outlineLevel="0" collapsed="false">
      <c r="A55" s="0" t="s">
        <v>98</v>
      </c>
      <c r="B55" s="6" t="n">
        <v>40183</v>
      </c>
      <c r="C55" s="0" t="n">
        <v>17949</v>
      </c>
      <c r="D55" s="0" t="s">
        <v>42</v>
      </c>
      <c r="E55" s="0" t="n">
        <v>1</v>
      </c>
      <c r="F55" s="0" t="n">
        <v>510</v>
      </c>
      <c r="G55" s="0" t="s">
        <v>43</v>
      </c>
    </row>
    <row r="56" customFormat="false" ht="15" hidden="false" customHeight="false" outlineLevel="0" collapsed="false">
      <c r="A56" s="0" t="s">
        <v>99</v>
      </c>
      <c r="B56" s="6" t="n">
        <v>40185</v>
      </c>
      <c r="C56" s="0" t="n">
        <v>17949</v>
      </c>
      <c r="D56" s="0" t="s">
        <v>42</v>
      </c>
      <c r="E56" s="0" t="n">
        <v>1</v>
      </c>
      <c r="F56" s="0" t="n">
        <v>750</v>
      </c>
      <c r="G56" s="0" t="s">
        <v>43</v>
      </c>
    </row>
    <row r="57" customFormat="false" ht="15" hidden="false" customHeight="false" outlineLevel="0" collapsed="false">
      <c r="A57" s="0" t="s">
        <v>100</v>
      </c>
      <c r="B57" s="6" t="n">
        <v>40185</v>
      </c>
      <c r="C57" s="0" t="n">
        <v>17949</v>
      </c>
      <c r="D57" s="0" t="s">
        <v>42</v>
      </c>
      <c r="E57" s="0" t="n">
        <v>1</v>
      </c>
      <c r="F57" s="0" t="n">
        <v>318</v>
      </c>
      <c r="G57" s="0" t="s">
        <v>43</v>
      </c>
    </row>
    <row r="58" customFormat="false" ht="15" hidden="false" customHeight="false" outlineLevel="0" collapsed="false">
      <c r="A58" s="0" t="s">
        <v>101</v>
      </c>
      <c r="B58" s="6" t="n">
        <v>40186</v>
      </c>
      <c r="C58" s="0" t="n">
        <v>14573</v>
      </c>
      <c r="D58" s="0" t="s">
        <v>42</v>
      </c>
      <c r="E58" s="0" t="n">
        <v>28</v>
      </c>
      <c r="F58" s="0" t="n">
        <v>236.8</v>
      </c>
      <c r="G58" s="0" t="s">
        <v>43</v>
      </c>
    </row>
    <row r="59" customFormat="false" ht="15" hidden="false" customHeight="false" outlineLevel="0" collapsed="false">
      <c r="A59" s="0" t="s">
        <v>102</v>
      </c>
      <c r="B59" s="6" t="n">
        <v>40189</v>
      </c>
      <c r="C59" s="0" t="n">
        <v>12875</v>
      </c>
      <c r="D59" s="0" t="s">
        <v>42</v>
      </c>
      <c r="E59" s="0" t="n">
        <v>2</v>
      </c>
      <c r="F59" s="0" t="n">
        <v>305.28</v>
      </c>
      <c r="G59" s="0" t="s">
        <v>43</v>
      </c>
    </row>
    <row r="60" customFormat="false" ht="15" hidden="false" customHeight="false" outlineLevel="0" collapsed="false">
      <c r="A60" s="0" t="s">
        <v>103</v>
      </c>
      <c r="B60" s="6" t="n">
        <v>40192</v>
      </c>
      <c r="C60" s="0" t="n">
        <v>13233</v>
      </c>
      <c r="D60" s="0" t="s">
        <v>42</v>
      </c>
      <c r="E60" s="0" t="n">
        <v>17</v>
      </c>
      <c r="F60" s="0" t="n">
        <v>290.63</v>
      </c>
      <c r="G60" s="0" t="s">
        <v>43</v>
      </c>
    </row>
    <row r="61" customFormat="false" ht="15" hidden="false" customHeight="false" outlineLevel="0" collapsed="false">
      <c r="A61" s="0" t="s">
        <v>104</v>
      </c>
      <c r="B61" s="6" t="n">
        <v>40192</v>
      </c>
      <c r="C61" s="0" t="n">
        <v>17508</v>
      </c>
      <c r="D61" s="0" t="s">
        <v>72</v>
      </c>
      <c r="E61" s="0" t="n">
        <v>42</v>
      </c>
      <c r="F61" s="0" t="n">
        <v>859.27</v>
      </c>
      <c r="G61" s="0" t="s">
        <v>43</v>
      </c>
    </row>
    <row r="62" customFormat="false" ht="15" hidden="false" customHeight="false" outlineLevel="0" collapsed="false">
      <c r="A62" s="0" t="s">
        <v>105</v>
      </c>
      <c r="B62" s="6" t="n">
        <v>40193</v>
      </c>
      <c r="C62" s="0" t="n">
        <v>12813</v>
      </c>
      <c r="D62" s="0" t="s">
        <v>106</v>
      </c>
      <c r="E62" s="0" t="n">
        <v>7</v>
      </c>
      <c r="F62" s="0" t="n">
        <v>244.2</v>
      </c>
      <c r="G62" s="0" t="s">
        <v>43</v>
      </c>
    </row>
    <row r="63" customFormat="false" ht="15" hidden="false" customHeight="false" outlineLevel="0" collapsed="false">
      <c r="A63" s="0" t="s">
        <v>107</v>
      </c>
      <c r="B63" s="6" t="n">
        <v>40196</v>
      </c>
      <c r="C63" s="0" t="n">
        <v>17581</v>
      </c>
      <c r="D63" s="0" t="s">
        <v>42</v>
      </c>
      <c r="E63" s="0" t="n">
        <v>25</v>
      </c>
      <c r="F63" s="0" t="n">
        <v>482.4</v>
      </c>
      <c r="G63" s="0" t="s">
        <v>43</v>
      </c>
    </row>
    <row r="64" customFormat="false" ht="15" hidden="false" customHeight="false" outlineLevel="0" collapsed="false">
      <c r="A64" s="0" t="s">
        <v>108</v>
      </c>
      <c r="B64" s="6" t="n">
        <v>40197</v>
      </c>
      <c r="C64" s="0" t="n">
        <v>14413</v>
      </c>
      <c r="D64" s="0" t="s">
        <v>42</v>
      </c>
      <c r="E64" s="0" t="n">
        <v>9</v>
      </c>
      <c r="F64" s="0" t="n">
        <v>122.7</v>
      </c>
      <c r="G64" s="0" t="s">
        <v>43</v>
      </c>
    </row>
    <row r="65" customFormat="false" ht="15" hidden="false" customHeight="false" outlineLevel="0" collapsed="false">
      <c r="A65" s="0" t="s">
        <v>109</v>
      </c>
      <c r="B65" s="6" t="n">
        <v>40197</v>
      </c>
      <c r="C65" s="0" t="n">
        <v>13315</v>
      </c>
      <c r="D65" s="0" t="s">
        <v>42</v>
      </c>
      <c r="E65" s="0" t="n">
        <v>22</v>
      </c>
      <c r="F65" s="0" t="n">
        <v>310.26</v>
      </c>
      <c r="G65" s="0" t="s">
        <v>43</v>
      </c>
    </row>
    <row r="66" customFormat="false" ht="15" hidden="false" customHeight="false" outlineLevel="0" collapsed="false">
      <c r="A66" s="0" t="s">
        <v>110</v>
      </c>
      <c r="B66" s="6" t="n">
        <v>40198</v>
      </c>
      <c r="C66" s="0" t="n">
        <v>17949</v>
      </c>
      <c r="D66" s="0" t="s">
        <v>42</v>
      </c>
      <c r="E66" s="0" t="n">
        <v>1</v>
      </c>
      <c r="F66" s="0" t="n">
        <v>-70</v>
      </c>
      <c r="G66" s="0" t="s">
        <v>65</v>
      </c>
    </row>
    <row r="67" customFormat="false" ht="15" hidden="false" customHeight="false" outlineLevel="0" collapsed="false">
      <c r="A67" s="0" t="s">
        <v>111</v>
      </c>
      <c r="B67" s="6" t="n">
        <v>40198</v>
      </c>
      <c r="C67" s="0" t="n">
        <v>18223</v>
      </c>
      <c r="D67" s="0" t="s">
        <v>42</v>
      </c>
      <c r="E67" s="0" t="n">
        <v>46</v>
      </c>
      <c r="F67" s="0" t="n">
        <v>777.53</v>
      </c>
      <c r="G67" s="0" t="s">
        <v>43</v>
      </c>
    </row>
    <row r="68" customFormat="false" ht="15" hidden="false" customHeight="false" outlineLevel="0" collapsed="false">
      <c r="A68" s="0" t="s">
        <v>112</v>
      </c>
      <c r="B68" s="6" t="n">
        <v>40198</v>
      </c>
      <c r="C68" s="0" t="n">
        <v>17794</v>
      </c>
      <c r="D68" s="0" t="s">
        <v>42</v>
      </c>
      <c r="E68" s="0" t="n">
        <v>6</v>
      </c>
      <c r="F68" s="0" t="n">
        <v>133.8</v>
      </c>
      <c r="G68" s="0" t="s">
        <v>43</v>
      </c>
    </row>
    <row r="69" customFormat="false" ht="15" hidden="false" customHeight="false" outlineLevel="0" collapsed="false">
      <c r="A69" s="0" t="s">
        <v>113</v>
      </c>
      <c r="B69" s="6" t="n">
        <v>40198</v>
      </c>
      <c r="C69" s="0" t="n">
        <v>15191</v>
      </c>
      <c r="D69" s="0" t="s">
        <v>42</v>
      </c>
      <c r="E69" s="0" t="n">
        <v>11</v>
      </c>
      <c r="F69" s="0" t="n">
        <v>181.45</v>
      </c>
      <c r="G69" s="0" t="s">
        <v>43</v>
      </c>
    </row>
    <row r="70" customFormat="false" ht="15" hidden="false" customHeight="false" outlineLevel="0" collapsed="false">
      <c r="A70" s="0" t="s">
        <v>114</v>
      </c>
      <c r="B70" s="6" t="n">
        <v>40198</v>
      </c>
      <c r="C70" s="0" t="n">
        <v>15191</v>
      </c>
      <c r="D70" s="0" t="s">
        <v>42</v>
      </c>
      <c r="E70" s="0" t="n">
        <v>10</v>
      </c>
      <c r="F70" s="0" t="n">
        <v>161.3</v>
      </c>
      <c r="G70" s="0" t="s">
        <v>43</v>
      </c>
    </row>
    <row r="71" customFormat="false" ht="15" hidden="false" customHeight="false" outlineLevel="0" collapsed="false">
      <c r="A71" s="0" t="s">
        <v>115</v>
      </c>
      <c r="B71" s="6" t="n">
        <v>40199</v>
      </c>
      <c r="C71" s="0" t="n">
        <v>16634</v>
      </c>
      <c r="D71" s="0" t="s">
        <v>42</v>
      </c>
      <c r="E71" s="0" t="n">
        <v>20</v>
      </c>
      <c r="F71" s="0" t="n">
        <v>303.8</v>
      </c>
      <c r="G71" s="0" t="s">
        <v>43</v>
      </c>
    </row>
    <row r="72" customFormat="false" ht="15" hidden="false" customHeight="false" outlineLevel="0" collapsed="false">
      <c r="A72" s="0" t="s">
        <v>116</v>
      </c>
      <c r="B72" s="6" t="n">
        <v>40200</v>
      </c>
      <c r="C72" s="0" t="n">
        <v>17949</v>
      </c>
      <c r="D72" s="0" t="s">
        <v>42</v>
      </c>
      <c r="E72" s="0" t="n">
        <v>1</v>
      </c>
      <c r="F72" s="0" t="n">
        <v>555</v>
      </c>
      <c r="G72" s="0" t="s">
        <v>43</v>
      </c>
    </row>
    <row r="73" customFormat="false" ht="15" hidden="false" customHeight="false" outlineLevel="0" collapsed="false">
      <c r="A73" s="0" t="s">
        <v>117</v>
      </c>
      <c r="B73" s="6" t="n">
        <v>40200</v>
      </c>
      <c r="C73" s="0" t="n">
        <v>17794</v>
      </c>
      <c r="D73" s="0" t="s">
        <v>42</v>
      </c>
      <c r="E73" s="0" t="n">
        <v>1</v>
      </c>
      <c r="F73" s="0" t="n">
        <v>13.5</v>
      </c>
      <c r="G73" s="0" t="s">
        <v>43</v>
      </c>
    </row>
    <row r="74" customFormat="false" ht="15" hidden="false" customHeight="false" outlineLevel="0" collapsed="false">
      <c r="A74" s="0" t="s">
        <v>118</v>
      </c>
      <c r="B74" s="6" t="n">
        <v>40202</v>
      </c>
      <c r="C74" s="0" t="n">
        <v>16950</v>
      </c>
      <c r="D74" s="0" t="s">
        <v>42</v>
      </c>
      <c r="E74" s="0" t="n">
        <v>17</v>
      </c>
      <c r="F74" s="0" t="n">
        <v>394.6</v>
      </c>
      <c r="G74" s="0" t="s">
        <v>43</v>
      </c>
    </row>
    <row r="75" customFormat="false" ht="15" hidden="false" customHeight="false" outlineLevel="0" collapsed="false">
      <c r="A75" s="0" t="s">
        <v>119</v>
      </c>
      <c r="B75" s="6" t="n">
        <v>40204</v>
      </c>
      <c r="C75" s="0" t="n">
        <v>18223</v>
      </c>
      <c r="D75" s="0" t="s">
        <v>42</v>
      </c>
      <c r="E75" s="0" t="n">
        <v>11</v>
      </c>
      <c r="F75" s="0" t="n">
        <v>-48.38</v>
      </c>
      <c r="G75" s="0" t="s">
        <v>65</v>
      </c>
    </row>
    <row r="76" customFormat="false" ht="15" hidden="false" customHeight="false" outlineLevel="0" collapsed="false">
      <c r="A76" s="0" t="s">
        <v>120</v>
      </c>
      <c r="B76" s="6" t="n">
        <v>40204</v>
      </c>
      <c r="C76" s="0" t="n">
        <v>14413</v>
      </c>
      <c r="D76" s="0" t="s">
        <v>42</v>
      </c>
      <c r="E76" s="0" t="n">
        <v>1</v>
      </c>
      <c r="F76" s="0" t="n">
        <v>342.8</v>
      </c>
      <c r="G76" s="0" t="s">
        <v>43</v>
      </c>
    </row>
    <row r="77" customFormat="false" ht="15" hidden="false" customHeight="false" outlineLevel="0" collapsed="false">
      <c r="A77" s="0" t="s">
        <v>121</v>
      </c>
      <c r="B77" s="6" t="n">
        <v>40205</v>
      </c>
      <c r="C77" s="0" t="n">
        <v>18223</v>
      </c>
      <c r="D77" s="0" t="s">
        <v>42</v>
      </c>
      <c r="E77" s="0" t="n">
        <v>1</v>
      </c>
      <c r="F77" s="0" t="n">
        <v>-6.75</v>
      </c>
      <c r="G77" s="0" t="s">
        <v>65</v>
      </c>
    </row>
    <row r="78" customFormat="false" ht="15" hidden="false" customHeight="false" outlineLevel="0" collapsed="false">
      <c r="A78" s="0" t="s">
        <v>122</v>
      </c>
      <c r="B78" s="6" t="n">
        <v>40206</v>
      </c>
      <c r="C78" s="0" t="n">
        <v>17949</v>
      </c>
      <c r="D78" s="0" t="s">
        <v>42</v>
      </c>
      <c r="E78" s="0" t="n">
        <v>1</v>
      </c>
      <c r="F78" s="0" t="n">
        <v>-82.5</v>
      </c>
      <c r="G78" s="0" t="s">
        <v>65</v>
      </c>
    </row>
    <row r="79" customFormat="false" ht="15" hidden="false" customHeight="false" outlineLevel="0" collapsed="false">
      <c r="A79" s="0" t="s">
        <v>123</v>
      </c>
      <c r="B79" s="6" t="n">
        <v>40206</v>
      </c>
      <c r="C79" s="0" t="n">
        <v>16634</v>
      </c>
      <c r="D79" s="0" t="s">
        <v>42</v>
      </c>
      <c r="E79" s="0" t="n">
        <v>20</v>
      </c>
      <c r="F79" s="0" t="n">
        <v>-303.8</v>
      </c>
      <c r="G79" s="0" t="s">
        <v>65</v>
      </c>
    </row>
    <row r="80" customFormat="false" ht="15" hidden="false" customHeight="false" outlineLevel="0" collapsed="false">
      <c r="A80" s="0" t="s">
        <v>124</v>
      </c>
      <c r="B80" s="6" t="n">
        <v>40206</v>
      </c>
      <c r="C80" s="0" t="n">
        <v>15203</v>
      </c>
      <c r="D80" s="0" t="s">
        <v>42</v>
      </c>
      <c r="E80" s="0" t="n">
        <v>37</v>
      </c>
      <c r="F80" s="0" t="n">
        <v>490.39</v>
      </c>
      <c r="G80" s="0" t="s">
        <v>43</v>
      </c>
    </row>
    <row r="81" customFormat="false" ht="15" hidden="false" customHeight="false" outlineLevel="0" collapsed="false">
      <c r="A81" s="0" t="s">
        <v>125</v>
      </c>
      <c r="B81" s="6" t="n">
        <v>40206</v>
      </c>
      <c r="C81" s="0" t="n">
        <v>18259</v>
      </c>
      <c r="D81" s="0" t="s">
        <v>42</v>
      </c>
      <c r="E81" s="0" t="n">
        <v>10</v>
      </c>
      <c r="F81" s="0" t="n">
        <v>306.3</v>
      </c>
      <c r="G81" s="0" t="s">
        <v>43</v>
      </c>
    </row>
    <row r="82" customFormat="false" ht="15" hidden="false" customHeight="false" outlineLevel="0" collapsed="false">
      <c r="A82" s="0" t="s">
        <v>126</v>
      </c>
      <c r="B82" s="6" t="n">
        <v>40207</v>
      </c>
      <c r="C82" s="0" t="n">
        <v>13085</v>
      </c>
      <c r="D82" s="0" t="s">
        <v>42</v>
      </c>
      <c r="E82" s="0" t="n">
        <v>17</v>
      </c>
      <c r="F82" s="0" t="n">
        <v>430.2</v>
      </c>
      <c r="G82" s="0" t="s">
        <v>43</v>
      </c>
    </row>
    <row r="83" customFormat="false" ht="15" hidden="false" customHeight="false" outlineLevel="0" collapsed="false">
      <c r="A83" s="0" t="s">
        <v>127</v>
      </c>
      <c r="B83" s="6" t="n">
        <v>40207</v>
      </c>
      <c r="C83" s="0" t="n">
        <v>17949</v>
      </c>
      <c r="D83" s="0" t="s">
        <v>42</v>
      </c>
      <c r="E83" s="0" t="n">
        <v>1</v>
      </c>
      <c r="F83" s="0" t="n">
        <v>360</v>
      </c>
      <c r="G83" s="0" t="s">
        <v>43</v>
      </c>
    </row>
    <row r="84" customFormat="false" ht="15" hidden="false" customHeight="false" outlineLevel="0" collapsed="false">
      <c r="A84" s="0" t="s">
        <v>128</v>
      </c>
      <c r="B84" s="6" t="n">
        <v>40207</v>
      </c>
      <c r="C84" s="0" t="n">
        <v>17949</v>
      </c>
      <c r="D84" s="0" t="s">
        <v>42</v>
      </c>
      <c r="E84" s="0" t="n">
        <v>1</v>
      </c>
      <c r="F84" s="0" t="n">
        <v>-24.6</v>
      </c>
      <c r="G84" s="0" t="s">
        <v>65</v>
      </c>
    </row>
    <row r="85" customFormat="false" ht="15" hidden="false" customHeight="false" outlineLevel="0" collapsed="false">
      <c r="A85" s="0" t="s">
        <v>129</v>
      </c>
      <c r="B85" s="6" t="n">
        <v>40207</v>
      </c>
      <c r="C85" s="0" t="n">
        <v>17949</v>
      </c>
      <c r="D85" s="0" t="s">
        <v>42</v>
      </c>
      <c r="E85" s="0" t="n">
        <v>1</v>
      </c>
      <c r="F85" s="0" t="n">
        <v>8985.6</v>
      </c>
      <c r="G85" s="0" t="s">
        <v>43</v>
      </c>
    </row>
    <row r="86" customFormat="false" ht="15" hidden="false" customHeight="false" outlineLevel="0" collapsed="false">
      <c r="A86" s="0" t="s">
        <v>130</v>
      </c>
      <c r="B86" s="6" t="n">
        <v>40207</v>
      </c>
      <c r="C86" s="0" t="n">
        <v>17949</v>
      </c>
      <c r="D86" s="0" t="s">
        <v>42</v>
      </c>
      <c r="E86" s="0" t="n">
        <v>1</v>
      </c>
      <c r="F86" s="0" t="n">
        <v>-8985.6</v>
      </c>
      <c r="G86" s="0" t="s">
        <v>65</v>
      </c>
    </row>
    <row r="87" customFormat="false" ht="15" hidden="false" customHeight="false" outlineLevel="0" collapsed="false">
      <c r="A87" s="0" t="s">
        <v>131</v>
      </c>
      <c r="B87" s="6" t="n">
        <v>40207</v>
      </c>
      <c r="C87" s="0" t="n">
        <v>13085</v>
      </c>
      <c r="D87" s="0" t="s">
        <v>42</v>
      </c>
      <c r="E87" s="0" t="n">
        <v>19</v>
      </c>
      <c r="F87" s="0" t="n">
        <v>490.2</v>
      </c>
      <c r="G87" s="0" t="s">
        <v>43</v>
      </c>
    </row>
    <row r="88" customFormat="false" ht="15" hidden="false" customHeight="false" outlineLevel="0" collapsed="false">
      <c r="A88" s="0" t="s">
        <v>132</v>
      </c>
      <c r="B88" s="6" t="n">
        <v>40210</v>
      </c>
      <c r="C88" s="0" t="n">
        <v>17949</v>
      </c>
      <c r="D88" s="0" t="s">
        <v>42</v>
      </c>
      <c r="E88" s="0" t="n">
        <v>1</v>
      </c>
      <c r="F88" s="0" t="n">
        <v>218.4</v>
      </c>
      <c r="G88" s="0" t="s">
        <v>43</v>
      </c>
    </row>
    <row r="89" customFormat="false" ht="15" hidden="false" customHeight="false" outlineLevel="0" collapsed="false">
      <c r="A89" s="0" t="s">
        <v>133</v>
      </c>
      <c r="B89" s="6" t="n">
        <v>40210</v>
      </c>
      <c r="C89" s="0" t="n">
        <v>17350</v>
      </c>
      <c r="D89" s="0" t="s">
        <v>42</v>
      </c>
      <c r="E89" s="0" t="n">
        <v>21</v>
      </c>
      <c r="F89" s="0" t="n">
        <v>342.25</v>
      </c>
      <c r="G89" s="0" t="s">
        <v>43</v>
      </c>
    </row>
    <row r="90" customFormat="false" ht="15" hidden="false" customHeight="false" outlineLevel="0" collapsed="false">
      <c r="A90" s="0" t="s">
        <v>134</v>
      </c>
      <c r="B90" s="6" t="n">
        <v>40211</v>
      </c>
      <c r="C90" s="0" t="n">
        <v>17581</v>
      </c>
      <c r="D90" s="0" t="s">
        <v>42</v>
      </c>
      <c r="E90" s="0" t="n">
        <v>21</v>
      </c>
      <c r="F90" s="0" t="n">
        <v>304.35</v>
      </c>
      <c r="G90" s="0" t="s">
        <v>43</v>
      </c>
    </row>
    <row r="91" customFormat="false" ht="15" hidden="false" customHeight="false" outlineLevel="0" collapsed="false">
      <c r="A91" s="0" t="s">
        <v>135</v>
      </c>
      <c r="B91" s="6" t="n">
        <v>40212</v>
      </c>
      <c r="C91" s="0" t="n">
        <v>18101</v>
      </c>
      <c r="D91" s="0" t="s">
        <v>42</v>
      </c>
      <c r="E91" s="0" t="n">
        <v>23</v>
      </c>
      <c r="F91" s="0" t="n">
        <v>112.5</v>
      </c>
      <c r="G91" s="0" t="s">
        <v>43</v>
      </c>
    </row>
    <row r="92" customFormat="false" ht="15" hidden="false" customHeight="false" outlineLevel="0" collapsed="false">
      <c r="A92" s="0" t="s">
        <v>136</v>
      </c>
      <c r="B92" s="6" t="n">
        <v>40213</v>
      </c>
      <c r="C92" s="0" t="n">
        <v>12373</v>
      </c>
      <c r="D92" s="0" t="s">
        <v>137</v>
      </c>
      <c r="E92" s="0" t="n">
        <v>21</v>
      </c>
      <c r="F92" s="0" t="n">
        <v>437.9</v>
      </c>
      <c r="G92" s="0" t="s">
        <v>43</v>
      </c>
    </row>
    <row r="93" customFormat="false" ht="15" hidden="false" customHeight="false" outlineLevel="0" collapsed="false">
      <c r="A93" s="0" t="s">
        <v>138</v>
      </c>
      <c r="B93" s="6" t="n">
        <v>40213</v>
      </c>
      <c r="C93" s="0" t="n">
        <v>17949</v>
      </c>
      <c r="D93" s="0" t="s">
        <v>42</v>
      </c>
      <c r="E93" s="0" t="n">
        <v>1</v>
      </c>
      <c r="F93" s="0" t="n">
        <v>318</v>
      </c>
      <c r="G93" s="0" t="s">
        <v>43</v>
      </c>
    </row>
    <row r="94" customFormat="false" ht="15" hidden="false" customHeight="false" outlineLevel="0" collapsed="false">
      <c r="A94" s="0" t="s">
        <v>139</v>
      </c>
      <c r="B94" s="6" t="n">
        <v>40213</v>
      </c>
      <c r="C94" s="0" t="n">
        <v>17949</v>
      </c>
      <c r="D94" s="0" t="s">
        <v>42</v>
      </c>
      <c r="E94" s="0" t="n">
        <v>1</v>
      </c>
      <c r="F94" s="0" t="n">
        <v>318</v>
      </c>
      <c r="G94" s="0" t="s">
        <v>43</v>
      </c>
    </row>
    <row r="95" customFormat="false" ht="15" hidden="false" customHeight="false" outlineLevel="0" collapsed="false">
      <c r="A95" s="0" t="s">
        <v>140</v>
      </c>
      <c r="B95" s="6" t="n">
        <v>40213</v>
      </c>
      <c r="C95" s="0" t="n">
        <v>17949</v>
      </c>
      <c r="D95" s="0" t="s">
        <v>42</v>
      </c>
      <c r="E95" s="0" t="n">
        <v>1</v>
      </c>
      <c r="F95" s="0" t="n">
        <v>60.48</v>
      </c>
      <c r="G95" s="0" t="s">
        <v>43</v>
      </c>
    </row>
    <row r="96" customFormat="false" ht="15" hidden="false" customHeight="false" outlineLevel="0" collapsed="false">
      <c r="A96" s="0" t="s">
        <v>141</v>
      </c>
      <c r="B96" s="6" t="n">
        <v>40214</v>
      </c>
      <c r="C96" s="0" t="n">
        <v>15482</v>
      </c>
      <c r="D96" s="0" t="s">
        <v>42</v>
      </c>
      <c r="E96" s="0" t="n">
        <v>4</v>
      </c>
      <c r="F96" s="0" t="n">
        <v>247.2</v>
      </c>
      <c r="G96" s="0" t="s">
        <v>43</v>
      </c>
    </row>
    <row r="97" customFormat="false" ht="15" hidden="false" customHeight="false" outlineLevel="0" collapsed="false">
      <c r="A97" s="0" t="s">
        <v>142</v>
      </c>
      <c r="B97" s="6" t="n">
        <v>40214</v>
      </c>
      <c r="C97" s="0" t="n">
        <v>17949</v>
      </c>
      <c r="D97" s="0" t="s">
        <v>42</v>
      </c>
      <c r="E97" s="0" t="n">
        <v>1</v>
      </c>
      <c r="F97" s="0" t="n">
        <v>-318</v>
      </c>
      <c r="G97" s="0" t="s">
        <v>65</v>
      </c>
    </row>
    <row r="98" customFormat="false" ht="15" hidden="false" customHeight="false" outlineLevel="0" collapsed="false">
      <c r="A98" s="0" t="s">
        <v>143</v>
      </c>
      <c r="B98" s="6" t="n">
        <v>40217</v>
      </c>
      <c r="C98" s="0" t="n">
        <v>14227</v>
      </c>
      <c r="D98" s="0" t="s">
        <v>42</v>
      </c>
      <c r="E98" s="0" t="n">
        <v>31</v>
      </c>
      <c r="F98" s="0" t="n">
        <v>438.03</v>
      </c>
      <c r="G98" s="0" t="s">
        <v>43</v>
      </c>
    </row>
    <row r="99" customFormat="false" ht="15" hidden="false" customHeight="false" outlineLevel="0" collapsed="false">
      <c r="A99" s="0" t="s">
        <v>144</v>
      </c>
      <c r="B99" s="6" t="n">
        <v>40217</v>
      </c>
      <c r="C99" s="0" t="n">
        <v>18223</v>
      </c>
      <c r="D99" s="0" t="s">
        <v>42</v>
      </c>
      <c r="E99" s="0" t="n">
        <v>23</v>
      </c>
      <c r="F99" s="0" t="n">
        <v>426.87</v>
      </c>
      <c r="G99" s="0" t="s">
        <v>43</v>
      </c>
    </row>
    <row r="100" customFormat="false" ht="15" hidden="false" customHeight="false" outlineLevel="0" collapsed="false">
      <c r="A100" s="0" t="s">
        <v>145</v>
      </c>
      <c r="B100" s="6" t="n">
        <v>40218</v>
      </c>
      <c r="C100" s="0" t="n">
        <v>17577</v>
      </c>
      <c r="D100" s="0" t="s">
        <v>42</v>
      </c>
      <c r="E100" s="0" t="n">
        <v>8</v>
      </c>
      <c r="F100" s="0" t="n">
        <v>112.4</v>
      </c>
      <c r="G100" s="0" t="s">
        <v>43</v>
      </c>
    </row>
    <row r="101" customFormat="false" ht="15" hidden="false" customHeight="false" outlineLevel="0" collapsed="false">
      <c r="A101" s="0" t="s">
        <v>146</v>
      </c>
      <c r="B101" s="6" t="n">
        <v>40219</v>
      </c>
      <c r="C101" s="0" t="n">
        <v>17575</v>
      </c>
      <c r="D101" s="0" t="s">
        <v>42</v>
      </c>
      <c r="E101" s="0" t="n">
        <v>5</v>
      </c>
      <c r="F101" s="0" t="n">
        <v>171.7</v>
      </c>
      <c r="G101" s="0" t="s">
        <v>43</v>
      </c>
    </row>
    <row r="102" customFormat="false" ht="15" hidden="false" customHeight="false" outlineLevel="0" collapsed="false">
      <c r="A102" s="0" t="s">
        <v>147</v>
      </c>
      <c r="B102" s="6" t="n">
        <v>40220</v>
      </c>
      <c r="C102" s="0" t="n">
        <v>16978</v>
      </c>
      <c r="D102" s="0" t="s">
        <v>42</v>
      </c>
      <c r="E102" s="0" t="n">
        <v>26</v>
      </c>
      <c r="F102" s="0" t="n">
        <v>402.75</v>
      </c>
      <c r="G102" s="0" t="s">
        <v>43</v>
      </c>
    </row>
    <row r="103" customFormat="false" ht="15" hidden="false" customHeight="false" outlineLevel="0" collapsed="false">
      <c r="A103" s="0" t="s">
        <v>148</v>
      </c>
      <c r="B103" s="6" t="n">
        <v>40220</v>
      </c>
      <c r="C103" s="0" t="n">
        <v>16978</v>
      </c>
      <c r="D103" s="0" t="s">
        <v>42</v>
      </c>
      <c r="E103" s="0" t="n">
        <v>2</v>
      </c>
      <c r="F103" s="0" t="n">
        <v>21.8</v>
      </c>
      <c r="G103" s="0" t="s">
        <v>43</v>
      </c>
    </row>
    <row r="104" customFormat="false" ht="15" hidden="false" customHeight="false" outlineLevel="0" collapsed="false">
      <c r="A104" s="0" t="s">
        <v>149</v>
      </c>
      <c r="B104" s="6" t="n">
        <v>40224</v>
      </c>
      <c r="C104" s="0" t="n">
        <v>14543</v>
      </c>
      <c r="D104" s="0" t="s">
        <v>42</v>
      </c>
      <c r="E104" s="0" t="n">
        <v>14</v>
      </c>
      <c r="F104" s="0" t="n">
        <v>1212.5</v>
      </c>
      <c r="G104" s="0" t="s">
        <v>43</v>
      </c>
    </row>
    <row r="105" customFormat="false" ht="15" hidden="false" customHeight="false" outlineLevel="0" collapsed="false">
      <c r="A105" s="0" t="s">
        <v>150</v>
      </c>
      <c r="B105" s="6" t="n">
        <v>40228</v>
      </c>
      <c r="C105" s="0" t="n">
        <v>17949</v>
      </c>
      <c r="D105" s="0" t="s">
        <v>42</v>
      </c>
      <c r="E105" s="0" t="n">
        <v>1</v>
      </c>
      <c r="F105" s="0" t="n">
        <v>40.32</v>
      </c>
      <c r="G105" s="0" t="s">
        <v>43</v>
      </c>
    </row>
    <row r="106" customFormat="false" ht="15" hidden="false" customHeight="false" outlineLevel="0" collapsed="false">
      <c r="A106" s="0" t="s">
        <v>151</v>
      </c>
      <c r="B106" s="6" t="n">
        <v>40228</v>
      </c>
      <c r="C106" s="0" t="n">
        <v>17949</v>
      </c>
      <c r="D106" s="0" t="s">
        <v>42</v>
      </c>
      <c r="E106" s="0" t="n">
        <v>1</v>
      </c>
      <c r="F106" s="0" t="n">
        <v>40.32</v>
      </c>
      <c r="G106" s="0" t="s">
        <v>43</v>
      </c>
    </row>
    <row r="107" customFormat="false" ht="15" hidden="false" customHeight="false" outlineLevel="0" collapsed="false">
      <c r="A107" s="0" t="s">
        <v>152</v>
      </c>
      <c r="B107" s="6" t="n">
        <v>40228</v>
      </c>
      <c r="C107" s="0" t="n">
        <v>17949</v>
      </c>
      <c r="D107" s="0" t="s">
        <v>42</v>
      </c>
      <c r="E107" s="0" t="n">
        <v>1</v>
      </c>
      <c r="F107" s="0" t="n">
        <v>-40.32</v>
      </c>
      <c r="G107" s="0" t="s">
        <v>65</v>
      </c>
    </row>
    <row r="108" customFormat="false" ht="15" hidden="false" customHeight="false" outlineLevel="0" collapsed="false">
      <c r="A108" s="0" t="s">
        <v>153</v>
      </c>
      <c r="B108" s="6" t="n">
        <v>40230</v>
      </c>
      <c r="C108" s="0" t="n">
        <v>18223</v>
      </c>
      <c r="D108" s="0" t="s">
        <v>42</v>
      </c>
      <c r="E108" s="0" t="n">
        <v>1</v>
      </c>
      <c r="F108" s="0" t="n">
        <v>-7.5</v>
      </c>
      <c r="G108" s="0" t="s">
        <v>65</v>
      </c>
    </row>
    <row r="109" customFormat="false" ht="15" hidden="false" customHeight="false" outlineLevel="0" collapsed="false">
      <c r="A109" s="0" t="s">
        <v>154</v>
      </c>
      <c r="B109" s="6" t="n">
        <v>40231</v>
      </c>
      <c r="C109" s="0" t="n">
        <v>17439</v>
      </c>
      <c r="D109" s="0" t="s">
        <v>42</v>
      </c>
      <c r="E109" s="0" t="n">
        <v>8</v>
      </c>
      <c r="F109" s="0" t="n">
        <v>325.74</v>
      </c>
      <c r="G109" s="0" t="s">
        <v>43</v>
      </c>
    </row>
    <row r="110" customFormat="false" ht="15" hidden="false" customHeight="false" outlineLevel="0" collapsed="false">
      <c r="A110" s="0" t="s">
        <v>155</v>
      </c>
      <c r="B110" s="6" t="n">
        <v>40232</v>
      </c>
      <c r="C110" s="0" t="n">
        <v>15241</v>
      </c>
      <c r="D110" s="0" t="s">
        <v>42</v>
      </c>
      <c r="E110" s="0" t="n">
        <v>23</v>
      </c>
      <c r="F110" s="0" t="n">
        <v>295.64</v>
      </c>
      <c r="G110" s="0" t="s">
        <v>43</v>
      </c>
    </row>
    <row r="111" customFormat="false" ht="15" hidden="false" customHeight="false" outlineLevel="0" collapsed="false">
      <c r="A111" s="0" t="s">
        <v>156</v>
      </c>
      <c r="B111" s="6" t="n">
        <v>40233</v>
      </c>
      <c r="C111" s="0" t="n">
        <v>17949</v>
      </c>
      <c r="D111" s="0" t="s">
        <v>42</v>
      </c>
      <c r="E111" s="0" t="n">
        <v>1</v>
      </c>
      <c r="F111" s="0" t="n">
        <v>725.76</v>
      </c>
      <c r="G111" s="0" t="s">
        <v>43</v>
      </c>
    </row>
    <row r="112" customFormat="false" ht="15" hidden="false" customHeight="false" outlineLevel="0" collapsed="false">
      <c r="A112" s="0" t="s">
        <v>157</v>
      </c>
      <c r="B112" s="6" t="n">
        <v>40233</v>
      </c>
      <c r="C112" s="0" t="n">
        <v>15514</v>
      </c>
      <c r="D112" s="0" t="s">
        <v>42</v>
      </c>
      <c r="E112" s="0" t="n">
        <v>11</v>
      </c>
      <c r="F112" s="0" t="n">
        <v>172.85</v>
      </c>
      <c r="G112" s="0" t="s">
        <v>43</v>
      </c>
    </row>
    <row r="113" customFormat="false" ht="15" hidden="false" customHeight="false" outlineLevel="0" collapsed="false">
      <c r="A113" s="0" t="s">
        <v>158</v>
      </c>
      <c r="B113" s="6" t="n">
        <v>40234</v>
      </c>
      <c r="C113" s="0" t="n">
        <v>17949</v>
      </c>
      <c r="D113" s="0" t="s">
        <v>42</v>
      </c>
      <c r="E113" s="0" t="n">
        <v>1</v>
      </c>
      <c r="F113" s="0" t="n">
        <v>190.8</v>
      </c>
      <c r="G113" s="0" t="s">
        <v>43</v>
      </c>
    </row>
    <row r="114" customFormat="false" ht="15" hidden="false" customHeight="false" outlineLevel="0" collapsed="false">
      <c r="A114" s="0" t="s">
        <v>159</v>
      </c>
      <c r="B114" s="6" t="n">
        <v>40234</v>
      </c>
      <c r="C114" s="0" t="n">
        <v>14227</v>
      </c>
      <c r="D114" s="0" t="s">
        <v>42</v>
      </c>
      <c r="E114" s="0" t="n">
        <v>1</v>
      </c>
      <c r="F114" s="0" t="n">
        <v>-2.95</v>
      </c>
      <c r="G114" s="0" t="s">
        <v>65</v>
      </c>
    </row>
    <row r="115" customFormat="false" ht="15" hidden="false" customHeight="false" outlineLevel="0" collapsed="false">
      <c r="A115" s="0" t="s">
        <v>160</v>
      </c>
      <c r="B115" s="6" t="n">
        <v>40235</v>
      </c>
      <c r="C115" s="0" t="n">
        <v>18223</v>
      </c>
      <c r="D115" s="0" t="s">
        <v>42</v>
      </c>
      <c r="E115" s="0" t="n">
        <v>23</v>
      </c>
      <c r="F115" s="0" t="n">
        <v>478.58</v>
      </c>
      <c r="G115" s="0" t="s">
        <v>43</v>
      </c>
    </row>
    <row r="116" customFormat="false" ht="15" hidden="false" customHeight="false" outlineLevel="0" collapsed="false">
      <c r="A116" s="0" t="s">
        <v>161</v>
      </c>
      <c r="B116" s="6" t="n">
        <v>40235</v>
      </c>
      <c r="C116" s="0" t="n">
        <v>15124</v>
      </c>
      <c r="D116" s="0" t="s">
        <v>42</v>
      </c>
      <c r="E116" s="0" t="n">
        <v>7</v>
      </c>
      <c r="F116" s="0" t="n">
        <v>134.03</v>
      </c>
      <c r="G116" s="0" t="s">
        <v>43</v>
      </c>
    </row>
    <row r="117" customFormat="false" ht="15" hidden="false" customHeight="false" outlineLevel="0" collapsed="false">
      <c r="A117" s="0" t="s">
        <v>162</v>
      </c>
      <c r="B117" s="6" t="n">
        <v>40237</v>
      </c>
      <c r="C117" s="0" t="n">
        <v>16950</v>
      </c>
      <c r="D117" s="0" t="s">
        <v>42</v>
      </c>
      <c r="E117" s="0" t="n">
        <v>9</v>
      </c>
      <c r="F117" s="0" t="n">
        <v>245.97</v>
      </c>
      <c r="G117" s="0" t="s">
        <v>43</v>
      </c>
    </row>
    <row r="118" customFormat="false" ht="15" hidden="false" customHeight="false" outlineLevel="0" collapsed="false">
      <c r="A118" s="0" t="s">
        <v>163</v>
      </c>
      <c r="B118" s="6" t="n">
        <v>40239</v>
      </c>
      <c r="C118" s="0" t="n">
        <v>15927</v>
      </c>
      <c r="D118" s="0" t="s">
        <v>42</v>
      </c>
      <c r="E118" s="0" t="n">
        <v>17</v>
      </c>
      <c r="F118" s="0" t="n">
        <v>123.39</v>
      </c>
      <c r="G118" s="0" t="s">
        <v>43</v>
      </c>
    </row>
    <row r="119" customFormat="false" ht="15" hidden="false" customHeight="false" outlineLevel="0" collapsed="false">
      <c r="A119" s="0" t="s">
        <v>164</v>
      </c>
      <c r="B119" s="6" t="n">
        <v>40241</v>
      </c>
      <c r="C119" s="0" t="n">
        <v>17577</v>
      </c>
      <c r="D119" s="0" t="s">
        <v>42</v>
      </c>
      <c r="E119" s="0" t="n">
        <v>13</v>
      </c>
      <c r="F119" s="0" t="n">
        <v>236.35</v>
      </c>
      <c r="G119" s="0" t="s">
        <v>43</v>
      </c>
    </row>
    <row r="120" customFormat="false" ht="15" hidden="false" customHeight="false" outlineLevel="0" collapsed="false">
      <c r="A120" s="0" t="s">
        <v>165</v>
      </c>
      <c r="B120" s="6" t="n">
        <v>40242</v>
      </c>
      <c r="C120" s="0" t="n">
        <v>15203</v>
      </c>
      <c r="D120" s="0" t="s">
        <v>42</v>
      </c>
      <c r="E120" s="0" t="n">
        <v>26</v>
      </c>
      <c r="F120" s="0" t="n">
        <v>328.72</v>
      </c>
      <c r="G120" s="0" t="s">
        <v>43</v>
      </c>
    </row>
    <row r="121" customFormat="false" ht="15" hidden="false" customHeight="false" outlineLevel="0" collapsed="false">
      <c r="A121" s="0" t="s">
        <v>166</v>
      </c>
      <c r="B121" s="6" t="n">
        <v>40242</v>
      </c>
      <c r="C121" s="0" t="n">
        <v>17508</v>
      </c>
      <c r="D121" s="0" t="s">
        <v>72</v>
      </c>
      <c r="E121" s="0" t="n">
        <v>23</v>
      </c>
      <c r="F121" s="0" t="n">
        <v>522.73</v>
      </c>
      <c r="G121" s="0" t="s">
        <v>43</v>
      </c>
    </row>
    <row r="122" customFormat="false" ht="15" hidden="false" customHeight="false" outlineLevel="0" collapsed="false">
      <c r="A122" s="0" t="s">
        <v>167</v>
      </c>
      <c r="B122" s="6" t="n">
        <v>40244</v>
      </c>
      <c r="C122" s="0" t="n">
        <v>15482</v>
      </c>
      <c r="D122" s="0" t="s">
        <v>42</v>
      </c>
      <c r="E122" s="0" t="n">
        <v>10</v>
      </c>
      <c r="F122" s="0" t="n">
        <v>621.15</v>
      </c>
      <c r="G122" s="0" t="s">
        <v>43</v>
      </c>
    </row>
    <row r="123" customFormat="false" ht="15" hidden="false" customHeight="false" outlineLevel="0" collapsed="false">
      <c r="A123" s="0" t="s">
        <v>168</v>
      </c>
      <c r="B123" s="6" t="n">
        <v>40245</v>
      </c>
      <c r="C123" s="0" t="n">
        <v>12765</v>
      </c>
      <c r="D123" s="0" t="s">
        <v>106</v>
      </c>
      <c r="E123" s="0" t="n">
        <v>10</v>
      </c>
      <c r="F123" s="0" t="n">
        <v>147</v>
      </c>
      <c r="G123" s="0" t="s">
        <v>43</v>
      </c>
    </row>
    <row r="124" customFormat="false" ht="15" hidden="false" customHeight="false" outlineLevel="0" collapsed="false">
      <c r="A124" s="0" t="s">
        <v>169</v>
      </c>
      <c r="B124" s="6" t="n">
        <v>40245</v>
      </c>
      <c r="C124" s="0" t="n">
        <v>16628</v>
      </c>
      <c r="D124" s="0" t="s">
        <v>42</v>
      </c>
      <c r="E124" s="0" t="n">
        <v>4</v>
      </c>
      <c r="F124" s="0" t="n">
        <v>78</v>
      </c>
      <c r="G124" s="0" t="s">
        <v>43</v>
      </c>
    </row>
    <row r="125" customFormat="false" ht="15" hidden="false" customHeight="false" outlineLevel="0" collapsed="false">
      <c r="A125" s="0" t="s">
        <v>170</v>
      </c>
      <c r="B125" s="6" t="n">
        <v>40245</v>
      </c>
      <c r="C125" s="0" t="n">
        <v>17002</v>
      </c>
      <c r="D125" s="0" t="s">
        <v>42</v>
      </c>
      <c r="E125" s="0" t="n">
        <v>3</v>
      </c>
      <c r="F125" s="0" t="n">
        <v>85.2</v>
      </c>
      <c r="G125" s="0" t="s">
        <v>43</v>
      </c>
    </row>
    <row r="126" customFormat="false" ht="15" hidden="false" customHeight="false" outlineLevel="0" collapsed="false">
      <c r="A126" s="0" t="s">
        <v>171</v>
      </c>
      <c r="B126" s="6" t="n">
        <v>40245</v>
      </c>
      <c r="C126" s="0" t="n">
        <v>17002</v>
      </c>
      <c r="D126" s="0" t="s">
        <v>42</v>
      </c>
      <c r="E126" s="0" t="n">
        <v>5</v>
      </c>
      <c r="F126" s="0" t="n">
        <v>131.16</v>
      </c>
      <c r="G126" s="0" t="s">
        <v>43</v>
      </c>
    </row>
    <row r="127" customFormat="false" ht="15" hidden="false" customHeight="false" outlineLevel="0" collapsed="false">
      <c r="A127" s="0" t="s">
        <v>172</v>
      </c>
      <c r="B127" s="6" t="n">
        <v>40252</v>
      </c>
      <c r="C127" s="0" t="n">
        <v>13382</v>
      </c>
      <c r="D127" s="0" t="s">
        <v>42</v>
      </c>
      <c r="E127" s="0" t="n">
        <v>14</v>
      </c>
      <c r="F127" s="0" t="n">
        <v>221</v>
      </c>
      <c r="G127" s="0" t="s">
        <v>43</v>
      </c>
    </row>
    <row r="128" customFormat="false" ht="15" hidden="false" customHeight="false" outlineLevel="0" collapsed="false">
      <c r="A128" s="0" t="s">
        <v>173</v>
      </c>
      <c r="B128" s="6" t="n">
        <v>40252</v>
      </c>
      <c r="C128" s="0" t="n">
        <v>14645</v>
      </c>
      <c r="D128" s="0" t="s">
        <v>42</v>
      </c>
      <c r="E128" s="0" t="n">
        <v>18</v>
      </c>
      <c r="F128" s="0" t="n">
        <v>279.8</v>
      </c>
      <c r="G128" s="0" t="s">
        <v>43</v>
      </c>
    </row>
    <row r="129" customFormat="false" ht="15" hidden="false" customHeight="false" outlineLevel="0" collapsed="false">
      <c r="A129" s="0" t="s">
        <v>174</v>
      </c>
      <c r="B129" s="6" t="n">
        <v>40252</v>
      </c>
      <c r="C129" s="0" t="n">
        <v>17949</v>
      </c>
      <c r="D129" s="0" t="s">
        <v>42</v>
      </c>
      <c r="E129" s="0" t="n">
        <v>1</v>
      </c>
      <c r="F129" s="0" t="n">
        <v>216</v>
      </c>
      <c r="G129" s="0" t="s">
        <v>43</v>
      </c>
    </row>
    <row r="130" customFormat="false" ht="15" hidden="false" customHeight="false" outlineLevel="0" collapsed="false">
      <c r="A130" s="0" t="s">
        <v>175</v>
      </c>
      <c r="B130" s="6" t="n">
        <v>40252</v>
      </c>
      <c r="C130" s="0" t="n">
        <v>17949</v>
      </c>
      <c r="D130" s="0" t="s">
        <v>42</v>
      </c>
      <c r="E130" s="0" t="n">
        <v>2</v>
      </c>
      <c r="F130" s="0" t="n">
        <v>879.6</v>
      </c>
      <c r="G130" s="0" t="s">
        <v>43</v>
      </c>
    </row>
    <row r="131" customFormat="false" ht="15" hidden="false" customHeight="false" outlineLevel="0" collapsed="false">
      <c r="A131" s="0" t="s">
        <v>176</v>
      </c>
      <c r="B131" s="6" t="n">
        <v>40252</v>
      </c>
      <c r="C131" s="0" t="n">
        <v>17949</v>
      </c>
      <c r="D131" s="0" t="s">
        <v>42</v>
      </c>
      <c r="E131" s="0" t="n">
        <v>1</v>
      </c>
      <c r="F131" s="0" t="n">
        <v>972</v>
      </c>
      <c r="G131" s="0" t="s">
        <v>43</v>
      </c>
    </row>
    <row r="132" customFormat="false" ht="15" hidden="false" customHeight="false" outlineLevel="0" collapsed="false">
      <c r="A132" s="0" t="s">
        <v>177</v>
      </c>
      <c r="B132" s="6" t="n">
        <v>40252</v>
      </c>
      <c r="C132" s="0" t="n">
        <v>17949</v>
      </c>
      <c r="D132" s="0" t="s">
        <v>42</v>
      </c>
      <c r="E132" s="0" t="n">
        <v>1</v>
      </c>
      <c r="F132" s="0" t="n">
        <v>153</v>
      </c>
      <c r="G132" s="0" t="s">
        <v>43</v>
      </c>
    </row>
    <row r="133" customFormat="false" ht="15" hidden="false" customHeight="false" outlineLevel="0" collapsed="false">
      <c r="A133" s="0" t="s">
        <v>178</v>
      </c>
      <c r="B133" s="6" t="n">
        <v>40252</v>
      </c>
      <c r="C133" s="0" t="n">
        <v>17949</v>
      </c>
      <c r="D133" s="0" t="s">
        <v>42</v>
      </c>
      <c r="E133" s="0" t="n">
        <v>1</v>
      </c>
      <c r="F133" s="0" t="n">
        <v>126.48</v>
      </c>
      <c r="G133" s="0" t="s">
        <v>43</v>
      </c>
    </row>
    <row r="134" customFormat="false" ht="15" hidden="false" customHeight="false" outlineLevel="0" collapsed="false">
      <c r="A134" s="0" t="s">
        <v>179</v>
      </c>
      <c r="B134" s="6" t="n">
        <v>40252</v>
      </c>
      <c r="C134" s="0" t="n">
        <v>17949</v>
      </c>
      <c r="D134" s="0" t="s">
        <v>42</v>
      </c>
      <c r="E134" s="0" t="n">
        <v>1</v>
      </c>
      <c r="F134" s="0" t="n">
        <v>178.2</v>
      </c>
      <c r="G134" s="0" t="s">
        <v>43</v>
      </c>
    </row>
    <row r="135" customFormat="false" ht="15" hidden="false" customHeight="false" outlineLevel="0" collapsed="false">
      <c r="A135" s="0" t="s">
        <v>180</v>
      </c>
      <c r="B135" s="6" t="n">
        <v>40253</v>
      </c>
      <c r="C135" s="0" t="n">
        <v>18063</v>
      </c>
      <c r="D135" s="0" t="s">
        <v>42</v>
      </c>
      <c r="E135" s="0" t="n">
        <v>1</v>
      </c>
      <c r="F135" s="0" t="n">
        <v>102</v>
      </c>
      <c r="G135" s="0" t="s">
        <v>43</v>
      </c>
    </row>
    <row r="136" customFormat="false" ht="15" hidden="false" customHeight="false" outlineLevel="0" collapsed="false">
      <c r="A136" s="0" t="s">
        <v>181</v>
      </c>
      <c r="B136" s="6" t="n">
        <v>40253</v>
      </c>
      <c r="C136" s="0" t="n">
        <v>17478</v>
      </c>
      <c r="D136" s="0" t="s">
        <v>42</v>
      </c>
      <c r="E136" s="0" t="n">
        <v>26</v>
      </c>
      <c r="F136" s="0" t="n">
        <v>706.2</v>
      </c>
      <c r="G136" s="0" t="s">
        <v>43</v>
      </c>
    </row>
    <row r="137" customFormat="false" ht="15" hidden="false" customHeight="false" outlineLevel="0" collapsed="false">
      <c r="A137" s="0" t="s">
        <v>182</v>
      </c>
      <c r="B137" s="6" t="n">
        <v>40254</v>
      </c>
      <c r="C137" s="0" t="n">
        <v>17933</v>
      </c>
      <c r="D137" s="0" t="s">
        <v>42</v>
      </c>
      <c r="E137" s="0" t="n">
        <v>14</v>
      </c>
      <c r="F137" s="0" t="n">
        <v>114.69</v>
      </c>
      <c r="G137" s="0" t="s">
        <v>43</v>
      </c>
    </row>
    <row r="138" customFormat="false" ht="15" hidden="false" customHeight="false" outlineLevel="0" collapsed="false">
      <c r="A138" s="0" t="s">
        <v>183</v>
      </c>
      <c r="B138" s="6" t="n">
        <v>40255</v>
      </c>
      <c r="C138" s="0" t="n">
        <v>14543</v>
      </c>
      <c r="D138" s="0" t="s">
        <v>42</v>
      </c>
      <c r="E138" s="0" t="n">
        <v>5</v>
      </c>
      <c r="F138" s="0" t="n">
        <v>583.1</v>
      </c>
      <c r="G138" s="0" t="s">
        <v>43</v>
      </c>
    </row>
    <row r="139" customFormat="false" ht="15" hidden="false" customHeight="false" outlineLevel="0" collapsed="false">
      <c r="A139" s="0" t="s">
        <v>184</v>
      </c>
      <c r="B139" s="6" t="n">
        <v>40255</v>
      </c>
      <c r="C139" s="0" t="n">
        <v>18223</v>
      </c>
      <c r="D139" s="0" t="s">
        <v>42</v>
      </c>
      <c r="E139" s="0" t="n">
        <v>30</v>
      </c>
      <c r="F139" s="0" t="n">
        <v>663.6</v>
      </c>
      <c r="G139" s="0" t="s">
        <v>43</v>
      </c>
    </row>
    <row r="140" customFormat="false" ht="15" hidden="false" customHeight="false" outlineLevel="0" collapsed="false">
      <c r="A140" s="0" t="s">
        <v>185</v>
      </c>
      <c r="B140" s="6" t="n">
        <v>40256</v>
      </c>
      <c r="C140" s="0" t="n">
        <v>17581</v>
      </c>
      <c r="D140" s="0" t="s">
        <v>42</v>
      </c>
      <c r="E140" s="0" t="n">
        <v>9</v>
      </c>
      <c r="F140" s="0" t="n">
        <v>161.6</v>
      </c>
      <c r="G140" s="0" t="s">
        <v>43</v>
      </c>
    </row>
    <row r="141" customFormat="false" ht="15" hidden="false" customHeight="false" outlineLevel="0" collapsed="false">
      <c r="A141" s="0" t="s">
        <v>186</v>
      </c>
      <c r="B141" s="6" t="n">
        <v>40256</v>
      </c>
      <c r="C141" s="0" t="n">
        <v>17581</v>
      </c>
      <c r="D141" s="0" t="s">
        <v>42</v>
      </c>
      <c r="E141" s="0" t="n">
        <v>45</v>
      </c>
      <c r="F141" s="0" t="n">
        <v>698.45</v>
      </c>
      <c r="G141" s="0" t="s">
        <v>43</v>
      </c>
    </row>
    <row r="142" customFormat="false" ht="15" hidden="false" customHeight="false" outlineLevel="0" collapsed="false">
      <c r="A142" s="0" t="s">
        <v>187</v>
      </c>
      <c r="B142" s="6" t="n">
        <v>40258</v>
      </c>
      <c r="C142" s="0" t="n">
        <v>15482</v>
      </c>
      <c r="D142" s="0" t="s">
        <v>42</v>
      </c>
      <c r="E142" s="0" t="n">
        <v>2</v>
      </c>
      <c r="F142" s="0" t="n">
        <v>294.6</v>
      </c>
      <c r="G142" s="0" t="s">
        <v>43</v>
      </c>
    </row>
    <row r="143" customFormat="false" ht="15" hidden="false" customHeight="false" outlineLevel="0" collapsed="false">
      <c r="A143" s="0" t="s">
        <v>188</v>
      </c>
      <c r="B143" s="6" t="n">
        <v>40259</v>
      </c>
      <c r="C143" s="0" t="n">
        <v>17508</v>
      </c>
      <c r="D143" s="0" t="s">
        <v>72</v>
      </c>
      <c r="E143" s="0" t="n">
        <v>1</v>
      </c>
      <c r="F143" s="0" t="n">
        <v>-32.45</v>
      </c>
      <c r="G143" s="0" t="s">
        <v>65</v>
      </c>
    </row>
    <row r="144" customFormat="false" ht="15" hidden="false" customHeight="false" outlineLevel="0" collapsed="false">
      <c r="A144" s="0" t="s">
        <v>189</v>
      </c>
      <c r="B144" s="6" t="n">
        <v>40259</v>
      </c>
      <c r="C144" s="0" t="n">
        <v>17949</v>
      </c>
      <c r="D144" s="0" t="s">
        <v>42</v>
      </c>
      <c r="E144" s="0" t="n">
        <v>5</v>
      </c>
      <c r="F144" s="0" t="n">
        <v>2545.44</v>
      </c>
      <c r="G144" s="0" t="s">
        <v>43</v>
      </c>
    </row>
    <row r="145" customFormat="false" ht="15" hidden="false" customHeight="false" outlineLevel="0" collapsed="false">
      <c r="A145" s="0" t="s">
        <v>190</v>
      </c>
      <c r="B145" s="6" t="n">
        <v>40260</v>
      </c>
      <c r="C145" s="0" t="n">
        <v>14543</v>
      </c>
      <c r="D145" s="0" t="s">
        <v>42</v>
      </c>
      <c r="E145" s="0" t="n">
        <v>5</v>
      </c>
      <c r="F145" s="0" t="n">
        <v>377.4</v>
      </c>
      <c r="G145" s="0" t="s">
        <v>43</v>
      </c>
    </row>
    <row r="146" customFormat="false" ht="15" hidden="false" customHeight="false" outlineLevel="0" collapsed="false">
      <c r="A146" s="0" t="s">
        <v>191</v>
      </c>
      <c r="B146" s="6" t="n">
        <v>40261</v>
      </c>
      <c r="C146" s="0" t="n">
        <v>18223</v>
      </c>
      <c r="D146" s="0" t="s">
        <v>42</v>
      </c>
      <c r="E146" s="0" t="n">
        <v>6</v>
      </c>
      <c r="F146" s="0" t="n">
        <v>-34.95</v>
      </c>
      <c r="G146" s="0" t="s">
        <v>65</v>
      </c>
    </row>
    <row r="147" customFormat="false" ht="15" hidden="false" customHeight="false" outlineLevel="0" collapsed="false">
      <c r="A147" s="0" t="s">
        <v>192</v>
      </c>
      <c r="B147" s="6" t="n">
        <v>40261</v>
      </c>
      <c r="C147" s="0" t="n">
        <v>14645</v>
      </c>
      <c r="D147" s="0" t="s">
        <v>42</v>
      </c>
      <c r="E147" s="0" t="n">
        <v>6</v>
      </c>
      <c r="F147" s="0" t="n">
        <v>-36.65</v>
      </c>
      <c r="G147" s="0" t="s">
        <v>65</v>
      </c>
    </row>
    <row r="148" customFormat="false" ht="15" hidden="false" customHeight="false" outlineLevel="0" collapsed="false">
      <c r="A148" s="0" t="s">
        <v>193</v>
      </c>
      <c r="B148" s="6" t="n">
        <v>40262</v>
      </c>
      <c r="C148" s="0" t="n">
        <v>16090</v>
      </c>
      <c r="D148" s="0" t="s">
        <v>42</v>
      </c>
      <c r="E148" s="0" t="n">
        <v>20</v>
      </c>
      <c r="F148" s="0" t="n">
        <v>205.91</v>
      </c>
      <c r="G148" s="0" t="s">
        <v>43</v>
      </c>
    </row>
    <row r="149" customFormat="false" ht="15" hidden="false" customHeight="false" outlineLevel="0" collapsed="false">
      <c r="A149" s="0" t="s">
        <v>194</v>
      </c>
      <c r="B149" s="6" t="n">
        <v>40262</v>
      </c>
      <c r="C149" s="0" t="n">
        <v>12373</v>
      </c>
      <c r="D149" s="0" t="s">
        <v>137</v>
      </c>
      <c r="E149" s="0" t="n">
        <v>16</v>
      </c>
      <c r="F149" s="0" t="n">
        <v>325.15</v>
      </c>
      <c r="G149" s="0" t="s">
        <v>43</v>
      </c>
    </row>
    <row r="150" customFormat="false" ht="15" hidden="false" customHeight="false" outlineLevel="0" collapsed="false">
      <c r="A150" s="0" t="s">
        <v>195</v>
      </c>
      <c r="B150" s="6" t="n">
        <v>40262</v>
      </c>
      <c r="C150" s="0" t="n">
        <v>13285</v>
      </c>
      <c r="D150" s="0" t="s">
        <v>42</v>
      </c>
      <c r="E150" s="0" t="n">
        <v>21</v>
      </c>
      <c r="F150" s="0" t="n">
        <v>340.3</v>
      </c>
      <c r="G150" s="0" t="s">
        <v>43</v>
      </c>
    </row>
    <row r="151" customFormat="false" ht="15" hidden="false" customHeight="false" outlineLevel="0" collapsed="false">
      <c r="A151" s="0" t="s">
        <v>196</v>
      </c>
      <c r="B151" s="6" t="n">
        <v>40263</v>
      </c>
      <c r="C151" s="0" t="n">
        <v>17949</v>
      </c>
      <c r="D151" s="0" t="s">
        <v>42</v>
      </c>
      <c r="E151" s="0" t="n">
        <v>1</v>
      </c>
      <c r="F151" s="0" t="n">
        <v>1708.2</v>
      </c>
      <c r="G151" s="0" t="s">
        <v>43</v>
      </c>
    </row>
    <row r="152" customFormat="false" ht="15" hidden="false" customHeight="false" outlineLevel="0" collapsed="false">
      <c r="A152" s="0" t="s">
        <v>197</v>
      </c>
      <c r="B152" s="6" t="n">
        <v>40263</v>
      </c>
      <c r="C152" s="0" t="n">
        <v>17949</v>
      </c>
      <c r="D152" s="0" t="s">
        <v>42</v>
      </c>
      <c r="E152" s="0" t="n">
        <v>1</v>
      </c>
      <c r="F152" s="0" t="n">
        <v>870</v>
      </c>
      <c r="G152" s="0" t="s">
        <v>43</v>
      </c>
    </row>
    <row r="153" customFormat="false" ht="15" hidden="false" customHeight="false" outlineLevel="0" collapsed="false">
      <c r="A153" s="0" t="s">
        <v>198</v>
      </c>
      <c r="B153" s="6" t="n">
        <v>40265</v>
      </c>
      <c r="C153" s="0" t="n">
        <v>15848</v>
      </c>
      <c r="D153" s="0" t="s">
        <v>42</v>
      </c>
      <c r="E153" s="0" t="n">
        <v>35</v>
      </c>
      <c r="F153" s="0" t="n">
        <v>139.94</v>
      </c>
      <c r="G153" s="0" t="s">
        <v>43</v>
      </c>
    </row>
    <row r="154" customFormat="false" ht="15" hidden="false" customHeight="false" outlineLevel="0" collapsed="false">
      <c r="A154" s="0" t="s">
        <v>199</v>
      </c>
      <c r="B154" s="6" t="n">
        <v>40266</v>
      </c>
      <c r="C154" s="0" t="n">
        <v>17949</v>
      </c>
      <c r="D154" s="0" t="s">
        <v>42</v>
      </c>
      <c r="E154" s="0" t="n">
        <v>1</v>
      </c>
      <c r="F154" s="0" t="n">
        <v>1110</v>
      </c>
      <c r="G154" s="0" t="s">
        <v>43</v>
      </c>
    </row>
    <row r="155" customFormat="false" ht="15" hidden="false" customHeight="false" outlineLevel="0" collapsed="false">
      <c r="A155" s="0" t="s">
        <v>200</v>
      </c>
      <c r="B155" s="6" t="n">
        <v>40266</v>
      </c>
      <c r="C155" s="0" t="n">
        <v>16634</v>
      </c>
      <c r="D155" s="0" t="s">
        <v>42</v>
      </c>
      <c r="E155" s="0" t="n">
        <v>17</v>
      </c>
      <c r="F155" s="0" t="n">
        <v>315.4</v>
      </c>
      <c r="G155" s="0" t="s">
        <v>43</v>
      </c>
    </row>
    <row r="156" customFormat="false" ht="15" hidden="false" customHeight="false" outlineLevel="0" collapsed="false">
      <c r="A156" s="0" t="s">
        <v>201</v>
      </c>
      <c r="B156" s="6" t="n">
        <v>40267</v>
      </c>
      <c r="C156" s="0" t="n">
        <v>14227</v>
      </c>
      <c r="D156" s="0" t="s">
        <v>42</v>
      </c>
      <c r="E156" s="0" t="n">
        <v>2</v>
      </c>
      <c r="F156" s="0" t="n">
        <v>-3.2</v>
      </c>
      <c r="G156" s="0" t="s">
        <v>65</v>
      </c>
    </row>
    <row r="157" customFormat="false" ht="15" hidden="false" customHeight="false" outlineLevel="0" collapsed="false">
      <c r="A157" s="0" t="s">
        <v>202</v>
      </c>
      <c r="B157" s="6" t="n">
        <v>40268</v>
      </c>
      <c r="C157" s="0" t="n">
        <v>13382</v>
      </c>
      <c r="D157" s="0" t="s">
        <v>42</v>
      </c>
      <c r="E157" s="0" t="n">
        <v>10</v>
      </c>
      <c r="F157" s="0" t="n">
        <v>179.61</v>
      </c>
      <c r="G157" s="0" t="s">
        <v>43</v>
      </c>
    </row>
    <row r="158" customFormat="false" ht="15" hidden="false" customHeight="false" outlineLevel="0" collapsed="false">
      <c r="A158" s="0" t="s">
        <v>203</v>
      </c>
      <c r="B158" s="6" t="n">
        <v>40274</v>
      </c>
      <c r="C158" s="0" t="n">
        <v>17949</v>
      </c>
      <c r="D158" s="0" t="s">
        <v>42</v>
      </c>
      <c r="E158" s="0" t="n">
        <v>1</v>
      </c>
      <c r="F158" s="0" t="n">
        <v>63</v>
      </c>
      <c r="G158" s="0" t="s">
        <v>43</v>
      </c>
    </row>
    <row r="159" customFormat="false" ht="15" hidden="false" customHeight="false" outlineLevel="0" collapsed="false">
      <c r="A159" s="0" t="s">
        <v>204</v>
      </c>
      <c r="B159" s="6" t="n">
        <v>40274</v>
      </c>
      <c r="C159" s="0" t="n">
        <v>17949</v>
      </c>
      <c r="D159" s="0" t="s">
        <v>42</v>
      </c>
      <c r="E159" s="0" t="n">
        <v>1</v>
      </c>
      <c r="F159" s="0" t="n">
        <v>216</v>
      </c>
      <c r="G159" s="0" t="s">
        <v>43</v>
      </c>
    </row>
    <row r="160" customFormat="false" ht="15" hidden="false" customHeight="false" outlineLevel="0" collapsed="false">
      <c r="A160" s="0" t="s">
        <v>205</v>
      </c>
      <c r="B160" s="6" t="n">
        <v>40274</v>
      </c>
      <c r="C160" s="0" t="n">
        <v>17949</v>
      </c>
      <c r="D160" s="0" t="s">
        <v>42</v>
      </c>
      <c r="E160" s="0" t="n">
        <v>1</v>
      </c>
      <c r="F160" s="0" t="n">
        <v>318</v>
      </c>
      <c r="G160" s="0" t="s">
        <v>43</v>
      </c>
    </row>
    <row r="161" customFormat="false" ht="15" hidden="false" customHeight="false" outlineLevel="0" collapsed="false">
      <c r="A161" s="0" t="s">
        <v>206</v>
      </c>
      <c r="B161" s="6" t="n">
        <v>40274</v>
      </c>
      <c r="C161" s="0" t="n">
        <v>17949</v>
      </c>
      <c r="D161" s="0" t="s">
        <v>42</v>
      </c>
      <c r="E161" s="0" t="n">
        <v>1</v>
      </c>
      <c r="F161" s="0" t="n">
        <v>-318</v>
      </c>
      <c r="G161" s="0" t="s">
        <v>65</v>
      </c>
    </row>
    <row r="162" customFormat="false" ht="15" hidden="false" customHeight="false" outlineLevel="0" collapsed="false">
      <c r="A162" s="0" t="s">
        <v>207</v>
      </c>
      <c r="B162" s="6" t="n">
        <v>40274</v>
      </c>
      <c r="C162" s="0" t="n">
        <v>12997</v>
      </c>
      <c r="D162" s="0" t="s">
        <v>42</v>
      </c>
      <c r="E162" s="0" t="n">
        <v>1</v>
      </c>
      <c r="F162" s="0" t="n">
        <v>2.95</v>
      </c>
      <c r="G162" s="0" t="s">
        <v>43</v>
      </c>
    </row>
    <row r="163" customFormat="false" ht="15" hidden="false" customHeight="false" outlineLevel="0" collapsed="false">
      <c r="A163" s="0" t="s">
        <v>208</v>
      </c>
      <c r="B163" s="6" t="n">
        <v>40276</v>
      </c>
      <c r="C163" s="0" t="n">
        <v>12765</v>
      </c>
      <c r="D163" s="0" t="s">
        <v>106</v>
      </c>
      <c r="E163" s="0" t="n">
        <v>13</v>
      </c>
      <c r="F163" s="0" t="n">
        <v>247.5</v>
      </c>
      <c r="G163" s="0" t="s">
        <v>43</v>
      </c>
    </row>
    <row r="164" customFormat="false" ht="15" hidden="false" customHeight="false" outlineLevel="0" collapsed="false">
      <c r="A164" s="0" t="s">
        <v>209</v>
      </c>
      <c r="B164" s="6" t="n">
        <v>40276</v>
      </c>
      <c r="C164" s="0" t="n">
        <v>15613</v>
      </c>
      <c r="D164" s="0" t="s">
        <v>42</v>
      </c>
      <c r="E164" s="0" t="n">
        <v>27</v>
      </c>
      <c r="F164" s="0" t="n">
        <v>433.72</v>
      </c>
      <c r="G164" s="0" t="s">
        <v>43</v>
      </c>
    </row>
    <row r="165" customFormat="false" ht="15" hidden="false" customHeight="false" outlineLevel="0" collapsed="false">
      <c r="A165" s="0" t="s">
        <v>210</v>
      </c>
      <c r="B165" s="6" t="n">
        <v>40277</v>
      </c>
      <c r="C165" s="0" t="n">
        <v>17949</v>
      </c>
      <c r="D165" s="0" t="s">
        <v>42</v>
      </c>
      <c r="E165" s="0" t="n">
        <v>1</v>
      </c>
      <c r="F165" s="0" t="n">
        <v>216</v>
      </c>
      <c r="G165" s="0" t="s">
        <v>43</v>
      </c>
    </row>
    <row r="166" customFormat="false" ht="15" hidden="false" customHeight="false" outlineLevel="0" collapsed="false">
      <c r="A166" s="0" t="s">
        <v>211</v>
      </c>
      <c r="B166" s="6" t="n">
        <v>40280</v>
      </c>
      <c r="C166" s="0" t="n">
        <v>12997</v>
      </c>
      <c r="D166" s="0" t="s">
        <v>42</v>
      </c>
      <c r="E166" s="0" t="n">
        <v>1</v>
      </c>
      <c r="F166" s="0" t="n">
        <v>-4.95</v>
      </c>
      <c r="G166" s="0" t="s">
        <v>65</v>
      </c>
    </row>
    <row r="167" customFormat="false" ht="15" hidden="false" customHeight="false" outlineLevel="0" collapsed="false">
      <c r="A167" s="0" t="s">
        <v>212</v>
      </c>
      <c r="B167" s="6" t="n">
        <v>40281</v>
      </c>
      <c r="C167" s="0" t="n">
        <v>16634</v>
      </c>
      <c r="D167" s="0" t="s">
        <v>42</v>
      </c>
      <c r="E167" s="0" t="n">
        <v>1</v>
      </c>
      <c r="F167" s="0" t="n">
        <v>-9.75</v>
      </c>
      <c r="G167" s="0" t="s">
        <v>65</v>
      </c>
    </row>
    <row r="168" customFormat="false" ht="15" hidden="false" customHeight="false" outlineLevel="0" collapsed="false">
      <c r="A168" s="0" t="s">
        <v>213</v>
      </c>
      <c r="B168" s="6" t="n">
        <v>40283</v>
      </c>
      <c r="C168" s="0" t="n">
        <v>15032</v>
      </c>
      <c r="D168" s="0" t="s">
        <v>42</v>
      </c>
      <c r="E168" s="0" t="n">
        <v>10</v>
      </c>
      <c r="F168" s="0" t="n">
        <v>618.55</v>
      </c>
      <c r="G168" s="0" t="s">
        <v>43</v>
      </c>
    </row>
    <row r="169" customFormat="false" ht="15" hidden="false" customHeight="false" outlineLevel="0" collapsed="false">
      <c r="A169" s="0" t="s">
        <v>214</v>
      </c>
      <c r="B169" s="6" t="n">
        <v>40283</v>
      </c>
      <c r="C169" s="0" t="n">
        <v>17949</v>
      </c>
      <c r="D169" s="0" t="s">
        <v>42</v>
      </c>
      <c r="E169" s="0" t="n">
        <v>1</v>
      </c>
      <c r="F169" s="0" t="n">
        <v>-210.47</v>
      </c>
      <c r="G169" s="0" t="s">
        <v>65</v>
      </c>
    </row>
    <row r="170" customFormat="false" ht="15" hidden="false" customHeight="false" outlineLevel="0" collapsed="false">
      <c r="A170" s="0" t="s">
        <v>215</v>
      </c>
      <c r="B170" s="6" t="n">
        <v>40284</v>
      </c>
      <c r="C170" s="0" t="n">
        <v>12875</v>
      </c>
      <c r="D170" s="0" t="s">
        <v>42</v>
      </c>
      <c r="E170" s="0" t="n">
        <v>2</v>
      </c>
      <c r="F170" s="0" t="n">
        <v>354.24</v>
      </c>
      <c r="G170" s="0" t="s">
        <v>43</v>
      </c>
    </row>
    <row r="171" customFormat="false" ht="15" hidden="false" customHeight="false" outlineLevel="0" collapsed="false">
      <c r="A171" s="0" t="s">
        <v>216</v>
      </c>
      <c r="B171" s="6" t="n">
        <v>40284</v>
      </c>
      <c r="C171" s="0" t="n">
        <v>17949</v>
      </c>
      <c r="D171" s="0" t="s">
        <v>42</v>
      </c>
      <c r="E171" s="0" t="n">
        <v>1</v>
      </c>
      <c r="F171" s="0" t="n">
        <v>-144</v>
      </c>
      <c r="G171" s="0" t="s">
        <v>65</v>
      </c>
    </row>
    <row r="172" customFormat="false" ht="15" hidden="false" customHeight="false" outlineLevel="0" collapsed="false">
      <c r="A172" s="0" t="s">
        <v>217</v>
      </c>
      <c r="B172" s="6" t="n">
        <v>40286</v>
      </c>
      <c r="C172" s="0" t="n">
        <v>15482</v>
      </c>
      <c r="D172" s="0" t="s">
        <v>42</v>
      </c>
      <c r="E172" s="0" t="n">
        <v>8</v>
      </c>
      <c r="F172" s="0" t="n">
        <v>1354.4</v>
      </c>
      <c r="G172" s="0" t="s">
        <v>43</v>
      </c>
    </row>
    <row r="173" customFormat="false" ht="15" hidden="false" customHeight="false" outlineLevel="0" collapsed="false">
      <c r="A173" s="0" t="s">
        <v>218</v>
      </c>
      <c r="B173" s="6" t="n">
        <v>40286</v>
      </c>
      <c r="C173" s="0" t="n">
        <v>16883</v>
      </c>
      <c r="D173" s="0" t="s">
        <v>42</v>
      </c>
      <c r="E173" s="0" t="n">
        <v>16</v>
      </c>
      <c r="F173" s="0" t="n">
        <v>90.01</v>
      </c>
      <c r="G173" s="0" t="s">
        <v>43</v>
      </c>
    </row>
    <row r="174" customFormat="false" ht="15" hidden="false" customHeight="false" outlineLevel="0" collapsed="false">
      <c r="A174" s="0" t="s">
        <v>219</v>
      </c>
      <c r="B174" s="6" t="n">
        <v>40286</v>
      </c>
      <c r="C174" s="0" t="n">
        <v>13285</v>
      </c>
      <c r="D174" s="0" t="s">
        <v>42</v>
      </c>
      <c r="E174" s="0" t="n">
        <v>23</v>
      </c>
      <c r="F174" s="0" t="n">
        <v>315.17</v>
      </c>
      <c r="G174" s="0" t="s">
        <v>43</v>
      </c>
    </row>
    <row r="175" customFormat="false" ht="15" hidden="false" customHeight="false" outlineLevel="0" collapsed="false">
      <c r="A175" s="0" t="s">
        <v>220</v>
      </c>
      <c r="B175" s="6" t="n">
        <v>40286</v>
      </c>
      <c r="C175" s="0" t="n">
        <v>17041</v>
      </c>
      <c r="D175" s="0" t="s">
        <v>42</v>
      </c>
      <c r="E175" s="0" t="n">
        <v>24</v>
      </c>
      <c r="F175" s="0" t="n">
        <v>218.46</v>
      </c>
      <c r="G175" s="0" t="s">
        <v>43</v>
      </c>
    </row>
    <row r="176" customFormat="false" ht="15" hidden="false" customHeight="false" outlineLevel="0" collapsed="false">
      <c r="A176" s="0" t="s">
        <v>221</v>
      </c>
      <c r="B176" s="6" t="n">
        <v>40286</v>
      </c>
      <c r="C176" s="0" t="n">
        <v>17041</v>
      </c>
      <c r="D176" s="0" t="s">
        <v>42</v>
      </c>
      <c r="E176" s="0" t="n">
        <v>1</v>
      </c>
      <c r="F176" s="0" t="n">
        <v>1.95</v>
      </c>
      <c r="G176" s="0" t="s">
        <v>43</v>
      </c>
    </row>
    <row r="177" customFormat="false" ht="15" hidden="false" customHeight="false" outlineLevel="0" collapsed="false">
      <c r="A177" s="0" t="s">
        <v>222</v>
      </c>
      <c r="B177" s="6" t="n">
        <v>40287</v>
      </c>
      <c r="C177" s="0" t="n">
        <v>18095</v>
      </c>
      <c r="D177" s="0" t="s">
        <v>42</v>
      </c>
      <c r="E177" s="0" t="n">
        <v>16</v>
      </c>
      <c r="F177" s="0" t="n">
        <v>1021.04</v>
      </c>
      <c r="G177" s="0" t="s">
        <v>43</v>
      </c>
    </row>
    <row r="178" customFormat="false" ht="15" hidden="false" customHeight="false" outlineLevel="0" collapsed="false">
      <c r="A178" s="0" t="s">
        <v>223</v>
      </c>
      <c r="B178" s="6" t="n">
        <v>40289</v>
      </c>
      <c r="C178" s="0" t="n">
        <v>17949</v>
      </c>
      <c r="D178" s="0" t="s">
        <v>42</v>
      </c>
      <c r="E178" s="0" t="n">
        <v>1</v>
      </c>
      <c r="F178" s="0" t="n">
        <v>1576.8</v>
      </c>
      <c r="G178" s="0" t="s">
        <v>43</v>
      </c>
    </row>
    <row r="179" customFormat="false" ht="15" hidden="false" customHeight="false" outlineLevel="0" collapsed="false">
      <c r="A179" s="0" t="s">
        <v>224</v>
      </c>
      <c r="B179" s="6" t="n">
        <v>40291</v>
      </c>
      <c r="C179" s="0" t="n">
        <v>17949</v>
      </c>
      <c r="D179" s="0" t="s">
        <v>42</v>
      </c>
      <c r="E179" s="0" t="n">
        <v>1</v>
      </c>
      <c r="F179" s="0" t="n">
        <v>546.96</v>
      </c>
      <c r="G179" s="0" t="s">
        <v>43</v>
      </c>
    </row>
    <row r="180" customFormat="false" ht="15" hidden="false" customHeight="false" outlineLevel="0" collapsed="false">
      <c r="A180" s="0" t="s">
        <v>225</v>
      </c>
      <c r="B180" s="6" t="n">
        <v>40291</v>
      </c>
      <c r="C180" s="0" t="n">
        <v>17949</v>
      </c>
      <c r="D180" s="0" t="s">
        <v>42</v>
      </c>
      <c r="E180" s="0" t="n">
        <v>1</v>
      </c>
      <c r="F180" s="0" t="n">
        <v>63</v>
      </c>
      <c r="G180" s="0" t="s">
        <v>43</v>
      </c>
    </row>
    <row r="181" customFormat="false" ht="15" hidden="false" customHeight="false" outlineLevel="0" collapsed="false">
      <c r="A181" s="0" t="s">
        <v>226</v>
      </c>
      <c r="B181" s="6" t="n">
        <v>40291</v>
      </c>
      <c r="C181" s="0" t="n">
        <v>15514</v>
      </c>
      <c r="D181" s="0" t="s">
        <v>42</v>
      </c>
      <c r="E181" s="0" t="n">
        <v>10</v>
      </c>
      <c r="F181" s="0" t="n">
        <v>128.41</v>
      </c>
      <c r="G181" s="0" t="s">
        <v>43</v>
      </c>
    </row>
    <row r="182" customFormat="false" ht="15" hidden="false" customHeight="false" outlineLevel="0" collapsed="false">
      <c r="A182" s="0" t="s">
        <v>227</v>
      </c>
      <c r="B182" s="6" t="n">
        <v>40296</v>
      </c>
      <c r="C182" s="0" t="n">
        <v>17581</v>
      </c>
      <c r="D182" s="0" t="s">
        <v>42</v>
      </c>
      <c r="E182" s="0" t="n">
        <v>30</v>
      </c>
      <c r="F182" s="0" t="n">
        <v>592.94</v>
      </c>
      <c r="G182" s="0" t="s">
        <v>43</v>
      </c>
    </row>
    <row r="183" customFormat="false" ht="15" hidden="false" customHeight="false" outlineLevel="0" collapsed="false">
      <c r="A183" s="0" t="s">
        <v>228</v>
      </c>
      <c r="B183" s="6" t="n">
        <v>40296</v>
      </c>
      <c r="C183" s="0" t="n">
        <v>17581</v>
      </c>
      <c r="D183" s="0" t="s">
        <v>42</v>
      </c>
      <c r="E183" s="0" t="n">
        <v>20</v>
      </c>
      <c r="F183" s="0" t="n">
        <v>321.3</v>
      </c>
      <c r="G183" s="0" t="s">
        <v>43</v>
      </c>
    </row>
    <row r="184" customFormat="false" ht="15" hidden="false" customHeight="false" outlineLevel="0" collapsed="false">
      <c r="A184" s="0" t="s">
        <v>229</v>
      </c>
      <c r="B184" s="6" t="n">
        <v>40297</v>
      </c>
      <c r="C184" s="0" t="n">
        <v>15203</v>
      </c>
      <c r="D184" s="0" t="s">
        <v>42</v>
      </c>
      <c r="E184" s="0" t="n">
        <v>16</v>
      </c>
      <c r="F184" s="0" t="n">
        <v>148.54</v>
      </c>
      <c r="G184" s="0" t="s">
        <v>43</v>
      </c>
    </row>
    <row r="185" customFormat="false" ht="15" hidden="false" customHeight="false" outlineLevel="0" collapsed="false">
      <c r="A185" s="0" t="s">
        <v>230</v>
      </c>
      <c r="B185" s="6" t="n">
        <v>40297</v>
      </c>
      <c r="C185" s="0" t="n">
        <v>15203</v>
      </c>
      <c r="D185" s="0" t="s">
        <v>42</v>
      </c>
      <c r="E185" s="0" t="n">
        <v>1</v>
      </c>
      <c r="F185" s="0" t="n">
        <v>13.92</v>
      </c>
      <c r="G185" s="0" t="s">
        <v>43</v>
      </c>
    </row>
    <row r="186" customFormat="false" ht="15" hidden="false" customHeight="false" outlineLevel="0" collapsed="false">
      <c r="A186" s="0" t="s">
        <v>231</v>
      </c>
      <c r="B186" s="6" t="n">
        <v>40297</v>
      </c>
      <c r="C186" s="0" t="n">
        <v>14543</v>
      </c>
      <c r="D186" s="0" t="s">
        <v>42</v>
      </c>
      <c r="E186" s="0" t="n">
        <v>10</v>
      </c>
      <c r="F186" s="0" t="n">
        <v>581.15</v>
      </c>
      <c r="G186" s="0" t="s">
        <v>43</v>
      </c>
    </row>
    <row r="187" customFormat="false" ht="15" hidden="false" customHeight="false" outlineLevel="0" collapsed="false">
      <c r="A187" s="0" t="s">
        <v>232</v>
      </c>
      <c r="B187" s="6" t="n">
        <v>40298</v>
      </c>
      <c r="C187" s="0" t="n">
        <v>17949</v>
      </c>
      <c r="D187" s="0" t="s">
        <v>42</v>
      </c>
      <c r="E187" s="0" t="n">
        <v>1</v>
      </c>
      <c r="F187" s="0" t="n">
        <v>216</v>
      </c>
      <c r="G187" s="0" t="s">
        <v>43</v>
      </c>
    </row>
    <row r="188" customFormat="false" ht="15" hidden="false" customHeight="false" outlineLevel="0" collapsed="false">
      <c r="A188" s="0" t="s">
        <v>233</v>
      </c>
      <c r="B188" s="6" t="n">
        <v>40298</v>
      </c>
      <c r="C188" s="0" t="n">
        <v>14201</v>
      </c>
      <c r="D188" s="0" t="s">
        <v>42</v>
      </c>
      <c r="E188" s="0" t="n">
        <v>9</v>
      </c>
      <c r="F188" s="0" t="n">
        <v>181.95</v>
      </c>
      <c r="G188" s="0" t="s">
        <v>43</v>
      </c>
    </row>
    <row r="189" customFormat="false" ht="15" hidden="false" customHeight="false" outlineLevel="0" collapsed="false">
      <c r="A189" s="0" t="s">
        <v>234</v>
      </c>
      <c r="B189" s="6" t="n">
        <v>40300</v>
      </c>
      <c r="C189" s="0" t="n">
        <v>12765</v>
      </c>
      <c r="D189" s="0" t="s">
        <v>106</v>
      </c>
      <c r="E189" s="0" t="n">
        <v>4</v>
      </c>
      <c r="F189" s="0" t="n">
        <v>133.8</v>
      </c>
      <c r="G189" s="0" t="s">
        <v>43</v>
      </c>
    </row>
    <row r="190" customFormat="false" ht="15" hidden="false" customHeight="false" outlineLevel="0" collapsed="false">
      <c r="A190" s="0" t="s">
        <v>235</v>
      </c>
      <c r="B190" s="6" t="n">
        <v>40304</v>
      </c>
      <c r="C190" s="0" t="n">
        <v>17002</v>
      </c>
      <c r="D190" s="0" t="s">
        <v>42</v>
      </c>
      <c r="E190" s="0" t="n">
        <v>12</v>
      </c>
      <c r="F190" s="0" t="n">
        <v>217.6</v>
      </c>
      <c r="G190" s="0" t="s">
        <v>43</v>
      </c>
    </row>
    <row r="191" customFormat="false" ht="15" hidden="false" customHeight="false" outlineLevel="0" collapsed="false">
      <c r="A191" s="0" t="s">
        <v>236</v>
      </c>
      <c r="B191" s="6" t="n">
        <v>40304</v>
      </c>
      <c r="C191" s="0" t="n">
        <v>14543</v>
      </c>
      <c r="D191" s="0" t="s">
        <v>42</v>
      </c>
      <c r="E191" s="0" t="n">
        <v>1</v>
      </c>
      <c r="F191" s="0" t="n">
        <v>-20</v>
      </c>
      <c r="G191" s="0" t="s">
        <v>65</v>
      </c>
    </row>
    <row r="192" customFormat="false" ht="15" hidden="false" customHeight="false" outlineLevel="0" collapsed="false">
      <c r="A192" s="0" t="s">
        <v>237</v>
      </c>
      <c r="B192" s="6" t="n">
        <v>40304</v>
      </c>
      <c r="C192" s="0" t="n">
        <v>12997</v>
      </c>
      <c r="D192" s="0" t="s">
        <v>42</v>
      </c>
      <c r="E192" s="0" t="n">
        <v>14</v>
      </c>
      <c r="F192" s="0" t="n">
        <v>271.75</v>
      </c>
      <c r="G192" s="0" t="s">
        <v>43</v>
      </c>
    </row>
    <row r="193" customFormat="false" ht="15" hidden="false" customHeight="false" outlineLevel="0" collapsed="false">
      <c r="A193" s="0" t="s">
        <v>238</v>
      </c>
      <c r="B193" s="6" t="n">
        <v>40305</v>
      </c>
      <c r="C193" s="0" t="n">
        <v>17949</v>
      </c>
      <c r="D193" s="0" t="s">
        <v>42</v>
      </c>
      <c r="E193" s="0" t="n">
        <v>1</v>
      </c>
      <c r="F193" s="0" t="n">
        <v>1051.2</v>
      </c>
      <c r="G193" s="0" t="s">
        <v>43</v>
      </c>
    </row>
    <row r="194" customFormat="false" ht="15" hidden="false" customHeight="false" outlineLevel="0" collapsed="false">
      <c r="A194" s="0" t="s">
        <v>239</v>
      </c>
      <c r="B194" s="6" t="n">
        <v>40305</v>
      </c>
      <c r="C194" s="0" t="n">
        <v>17949</v>
      </c>
      <c r="D194" s="0" t="s">
        <v>42</v>
      </c>
      <c r="E194" s="0" t="n">
        <v>3</v>
      </c>
      <c r="F194" s="0" t="n">
        <v>951</v>
      </c>
      <c r="G194" s="0" t="s">
        <v>43</v>
      </c>
    </row>
    <row r="195" customFormat="false" ht="15" hidden="false" customHeight="false" outlineLevel="0" collapsed="false">
      <c r="A195" s="0" t="s">
        <v>240</v>
      </c>
      <c r="B195" s="6" t="n">
        <v>40305</v>
      </c>
      <c r="C195" s="0" t="n">
        <v>17949</v>
      </c>
      <c r="D195" s="0" t="s">
        <v>42</v>
      </c>
      <c r="E195" s="0" t="n">
        <v>1</v>
      </c>
      <c r="F195" s="0" t="n">
        <v>754.8</v>
      </c>
      <c r="G195" s="0" t="s">
        <v>43</v>
      </c>
    </row>
    <row r="196" customFormat="false" ht="15" hidden="false" customHeight="false" outlineLevel="0" collapsed="false">
      <c r="A196" s="0" t="s">
        <v>241</v>
      </c>
      <c r="B196" s="6" t="n">
        <v>40308</v>
      </c>
      <c r="C196" s="0" t="n">
        <v>18095</v>
      </c>
      <c r="D196" s="0" t="s">
        <v>42</v>
      </c>
      <c r="E196" s="0" t="n">
        <v>4</v>
      </c>
      <c r="F196" s="0" t="n">
        <v>406.32</v>
      </c>
      <c r="G196" s="0" t="s">
        <v>43</v>
      </c>
    </row>
    <row r="197" customFormat="false" ht="15" hidden="false" customHeight="false" outlineLevel="0" collapsed="false">
      <c r="A197" s="0" t="s">
        <v>242</v>
      </c>
      <c r="B197" s="6" t="n">
        <v>40308</v>
      </c>
      <c r="C197" s="0" t="n">
        <v>12813</v>
      </c>
      <c r="D197" s="0" t="s">
        <v>106</v>
      </c>
      <c r="E197" s="0" t="n">
        <v>14</v>
      </c>
      <c r="F197" s="0" t="n">
        <v>821.6</v>
      </c>
      <c r="G197" s="0" t="s">
        <v>43</v>
      </c>
    </row>
    <row r="198" customFormat="false" ht="15" hidden="false" customHeight="false" outlineLevel="0" collapsed="false">
      <c r="A198" s="0" t="s">
        <v>243</v>
      </c>
      <c r="B198" s="6" t="n">
        <v>40310</v>
      </c>
      <c r="C198" s="0" t="n">
        <v>17508</v>
      </c>
      <c r="D198" s="0" t="s">
        <v>72</v>
      </c>
      <c r="E198" s="0" t="n">
        <v>23</v>
      </c>
      <c r="F198" s="0" t="n">
        <v>413.56</v>
      </c>
      <c r="G198" s="0" t="s">
        <v>43</v>
      </c>
    </row>
    <row r="199" customFormat="false" ht="15" hidden="false" customHeight="false" outlineLevel="0" collapsed="false">
      <c r="A199" s="0" t="s">
        <v>244</v>
      </c>
      <c r="B199" s="6" t="n">
        <v>40311</v>
      </c>
      <c r="C199" s="0" t="n">
        <v>12997</v>
      </c>
      <c r="D199" s="0" t="s">
        <v>42</v>
      </c>
      <c r="E199" s="0" t="n">
        <v>1</v>
      </c>
      <c r="F199" s="0" t="n">
        <v>-1.25</v>
      </c>
      <c r="G199" s="0" t="s">
        <v>65</v>
      </c>
    </row>
    <row r="200" customFormat="false" ht="15" hidden="false" customHeight="false" outlineLevel="0" collapsed="false">
      <c r="A200" s="0" t="s">
        <v>245</v>
      </c>
      <c r="B200" s="6" t="n">
        <v>40314</v>
      </c>
      <c r="C200" s="0" t="n">
        <v>17581</v>
      </c>
      <c r="D200" s="0" t="s">
        <v>42</v>
      </c>
      <c r="E200" s="0" t="n">
        <v>21</v>
      </c>
      <c r="F200" s="0" t="n">
        <v>470.62</v>
      </c>
      <c r="G200" s="0" t="s">
        <v>43</v>
      </c>
    </row>
    <row r="201" customFormat="false" ht="15" hidden="false" customHeight="false" outlineLevel="0" collapsed="false">
      <c r="A201" s="0" t="s">
        <v>246</v>
      </c>
      <c r="B201" s="6" t="n">
        <v>40314</v>
      </c>
      <c r="C201" s="0" t="n">
        <v>17581</v>
      </c>
      <c r="D201" s="0" t="s">
        <v>42</v>
      </c>
      <c r="E201" s="0" t="n">
        <v>1</v>
      </c>
      <c r="F201" s="0" t="n">
        <v>10.08</v>
      </c>
      <c r="G201" s="0" t="s">
        <v>43</v>
      </c>
    </row>
    <row r="202" customFormat="false" ht="15" hidden="false" customHeight="false" outlineLevel="0" collapsed="false">
      <c r="A202" s="0" t="s">
        <v>247</v>
      </c>
      <c r="B202" s="6" t="n">
        <v>40314</v>
      </c>
      <c r="C202" s="0" t="n">
        <v>17581</v>
      </c>
      <c r="D202" s="0" t="s">
        <v>42</v>
      </c>
      <c r="E202" s="0" t="n">
        <v>6</v>
      </c>
      <c r="F202" s="0" t="n">
        <v>92.8</v>
      </c>
      <c r="G202" s="0" t="s">
        <v>43</v>
      </c>
    </row>
    <row r="203" customFormat="false" ht="15" hidden="false" customHeight="false" outlineLevel="0" collapsed="false">
      <c r="A203" s="0" t="s">
        <v>248</v>
      </c>
      <c r="B203" s="6" t="n">
        <v>40316</v>
      </c>
      <c r="C203" s="0" t="n">
        <v>15241</v>
      </c>
      <c r="D203" s="0" t="s">
        <v>42</v>
      </c>
      <c r="E203" s="0" t="n">
        <v>30</v>
      </c>
      <c r="F203" s="0" t="n">
        <v>552.62</v>
      </c>
      <c r="G203" s="0" t="s">
        <v>43</v>
      </c>
    </row>
    <row r="204" customFormat="false" ht="15" hidden="false" customHeight="false" outlineLevel="0" collapsed="false">
      <c r="A204" s="0" t="s">
        <v>249</v>
      </c>
      <c r="B204" s="6" t="n">
        <v>40316</v>
      </c>
      <c r="C204" s="0" t="n">
        <v>18223</v>
      </c>
      <c r="D204" s="0" t="s">
        <v>42</v>
      </c>
      <c r="E204" s="0" t="n">
        <v>3</v>
      </c>
      <c r="F204" s="0" t="n">
        <v>-71.9</v>
      </c>
      <c r="G204" s="0" t="s">
        <v>65</v>
      </c>
    </row>
    <row r="205" customFormat="false" ht="15" hidden="false" customHeight="false" outlineLevel="0" collapsed="false">
      <c r="A205" s="0" t="s">
        <v>250</v>
      </c>
      <c r="B205" s="6" t="n">
        <v>40316</v>
      </c>
      <c r="C205" s="0" t="n">
        <v>14201</v>
      </c>
      <c r="D205" s="0" t="s">
        <v>42</v>
      </c>
      <c r="E205" s="0" t="n">
        <v>1</v>
      </c>
      <c r="F205" s="0" t="n">
        <v>102</v>
      </c>
      <c r="G205" s="0" t="s">
        <v>43</v>
      </c>
    </row>
    <row r="206" customFormat="false" ht="15" hidden="false" customHeight="false" outlineLevel="0" collapsed="false">
      <c r="A206" s="0" t="s">
        <v>251</v>
      </c>
      <c r="B206" s="6" t="n">
        <v>40317</v>
      </c>
      <c r="C206" s="0" t="n">
        <v>16059</v>
      </c>
      <c r="D206" s="0" t="s">
        <v>42</v>
      </c>
      <c r="E206" s="0" t="n">
        <v>54</v>
      </c>
      <c r="F206" s="0" t="n">
        <v>216.9</v>
      </c>
      <c r="G206" s="0" t="s">
        <v>43</v>
      </c>
    </row>
    <row r="207" customFormat="false" ht="15" hidden="false" customHeight="false" outlineLevel="0" collapsed="false">
      <c r="A207" s="0" t="s">
        <v>252</v>
      </c>
      <c r="B207" s="6" t="n">
        <v>40317</v>
      </c>
      <c r="C207" s="0" t="n">
        <v>16564</v>
      </c>
      <c r="D207" s="0" t="s">
        <v>42</v>
      </c>
      <c r="E207" s="0" t="n">
        <v>5</v>
      </c>
      <c r="F207" s="0" t="n">
        <v>87.8</v>
      </c>
      <c r="G207" s="0" t="s">
        <v>43</v>
      </c>
    </row>
    <row r="208" customFormat="false" ht="15" hidden="false" customHeight="false" outlineLevel="0" collapsed="false">
      <c r="A208" s="0" t="s">
        <v>253</v>
      </c>
      <c r="B208" s="6" t="n">
        <v>40319</v>
      </c>
      <c r="C208" s="0" t="n">
        <v>17949</v>
      </c>
      <c r="D208" s="0" t="s">
        <v>42</v>
      </c>
      <c r="E208" s="0" t="n">
        <v>1</v>
      </c>
      <c r="F208" s="0" t="n">
        <v>216.24</v>
      </c>
      <c r="G208" s="0" t="s">
        <v>43</v>
      </c>
    </row>
    <row r="209" customFormat="false" ht="15" hidden="false" customHeight="false" outlineLevel="0" collapsed="false">
      <c r="A209" s="0" t="s">
        <v>254</v>
      </c>
      <c r="B209" s="6" t="n">
        <v>40323</v>
      </c>
      <c r="C209" s="0" t="n">
        <v>16883</v>
      </c>
      <c r="D209" s="0" t="s">
        <v>42</v>
      </c>
      <c r="E209" s="0" t="n">
        <v>23</v>
      </c>
      <c r="F209" s="0" t="n">
        <v>127.74</v>
      </c>
      <c r="G209" s="0" t="s">
        <v>43</v>
      </c>
    </row>
    <row r="210" customFormat="false" ht="15" hidden="false" customHeight="false" outlineLevel="0" collapsed="false">
      <c r="A210" s="0" t="s">
        <v>255</v>
      </c>
      <c r="B210" s="6" t="n">
        <v>40325</v>
      </c>
      <c r="C210" s="0" t="n">
        <v>16234</v>
      </c>
      <c r="D210" s="0" t="s">
        <v>42</v>
      </c>
      <c r="E210" s="0" t="n">
        <v>6</v>
      </c>
      <c r="F210" s="0" t="n">
        <v>91.36</v>
      </c>
      <c r="G210" s="0" t="s">
        <v>43</v>
      </c>
    </row>
    <row r="211" customFormat="false" ht="15" hidden="false" customHeight="false" outlineLevel="0" collapsed="false">
      <c r="A211" s="0" t="s">
        <v>256</v>
      </c>
      <c r="B211" s="6" t="n">
        <v>40326</v>
      </c>
      <c r="C211" s="0" t="n">
        <v>14894</v>
      </c>
      <c r="D211" s="0" t="s">
        <v>42</v>
      </c>
      <c r="E211" s="0" t="n">
        <v>2</v>
      </c>
      <c r="F211" s="0" t="n">
        <v>-74.25</v>
      </c>
      <c r="G211" s="0" t="s">
        <v>65</v>
      </c>
    </row>
    <row r="212" customFormat="false" ht="15" hidden="false" customHeight="false" outlineLevel="0" collapsed="false">
      <c r="A212" s="0" t="s">
        <v>257</v>
      </c>
      <c r="B212" s="6" t="n">
        <v>40326</v>
      </c>
      <c r="C212" s="0" t="n">
        <v>14543</v>
      </c>
      <c r="D212" s="0" t="s">
        <v>42</v>
      </c>
      <c r="E212" s="0" t="n">
        <v>17</v>
      </c>
      <c r="F212" s="0" t="n">
        <v>1449.75</v>
      </c>
      <c r="G212" s="0" t="s">
        <v>43</v>
      </c>
    </row>
    <row r="213" customFormat="false" ht="15" hidden="false" customHeight="false" outlineLevel="0" collapsed="false">
      <c r="A213" s="0" t="s">
        <v>258</v>
      </c>
      <c r="B213" s="6" t="n">
        <v>40326</v>
      </c>
      <c r="C213" s="0" t="n">
        <v>12499</v>
      </c>
      <c r="D213" s="0" t="s">
        <v>259</v>
      </c>
      <c r="E213" s="0" t="n">
        <v>27</v>
      </c>
      <c r="F213" s="0" t="n">
        <v>393.72</v>
      </c>
      <c r="G213" s="0" t="s">
        <v>43</v>
      </c>
    </row>
    <row r="214" customFormat="false" ht="15" hidden="false" customHeight="false" outlineLevel="0" collapsed="false">
      <c r="A214" s="0" t="s">
        <v>260</v>
      </c>
      <c r="B214" s="6" t="n">
        <v>40330</v>
      </c>
      <c r="C214" s="0" t="n">
        <v>18223</v>
      </c>
      <c r="D214" s="0" t="s">
        <v>42</v>
      </c>
      <c r="E214" s="0" t="n">
        <v>29</v>
      </c>
      <c r="F214" s="0" t="n">
        <v>639.39</v>
      </c>
      <c r="G214" s="0" t="s">
        <v>43</v>
      </c>
    </row>
    <row r="215" customFormat="false" ht="15" hidden="false" customHeight="false" outlineLevel="0" collapsed="false">
      <c r="A215" s="0" t="s">
        <v>261</v>
      </c>
      <c r="B215" s="6" t="n">
        <v>40330</v>
      </c>
      <c r="C215" s="0" t="n">
        <v>14227</v>
      </c>
      <c r="D215" s="0" t="s">
        <v>42</v>
      </c>
      <c r="E215" s="0" t="n">
        <v>91</v>
      </c>
      <c r="F215" s="0" t="n">
        <v>1303.78</v>
      </c>
      <c r="G215" s="0" t="s">
        <v>43</v>
      </c>
    </row>
    <row r="216" customFormat="false" ht="15" hidden="false" customHeight="false" outlineLevel="0" collapsed="false">
      <c r="A216" s="0" t="s">
        <v>262</v>
      </c>
      <c r="B216" s="6" t="n">
        <v>40330</v>
      </c>
      <c r="C216" s="0" t="n">
        <v>14227</v>
      </c>
      <c r="D216" s="0" t="s">
        <v>42</v>
      </c>
      <c r="E216" s="0" t="n">
        <v>16</v>
      </c>
      <c r="F216" s="0" t="n">
        <v>272.62</v>
      </c>
      <c r="G216" s="0" t="s">
        <v>43</v>
      </c>
    </row>
    <row r="217" customFormat="false" ht="15" hidden="false" customHeight="false" outlineLevel="0" collapsed="false">
      <c r="A217" s="0" t="s">
        <v>263</v>
      </c>
      <c r="B217" s="6" t="n">
        <v>40332</v>
      </c>
      <c r="C217" s="0" t="n">
        <v>18223</v>
      </c>
      <c r="D217" s="0" t="s">
        <v>42</v>
      </c>
      <c r="E217" s="0" t="n">
        <v>5</v>
      </c>
      <c r="F217" s="0" t="n">
        <v>-18.2</v>
      </c>
      <c r="G217" s="0" t="s">
        <v>65</v>
      </c>
    </row>
    <row r="218" customFormat="false" ht="15" hidden="false" customHeight="false" outlineLevel="0" collapsed="false">
      <c r="A218" s="0" t="s">
        <v>264</v>
      </c>
      <c r="B218" s="6" t="n">
        <v>40332</v>
      </c>
      <c r="C218" s="0" t="n">
        <v>17581</v>
      </c>
      <c r="D218" s="0" t="s">
        <v>42</v>
      </c>
      <c r="E218" s="0" t="n">
        <v>11</v>
      </c>
      <c r="F218" s="0" t="n">
        <v>-107.51</v>
      </c>
      <c r="G218" s="0" t="s">
        <v>65</v>
      </c>
    </row>
    <row r="219" customFormat="false" ht="15" hidden="false" customHeight="false" outlineLevel="0" collapsed="false">
      <c r="A219" s="0" t="s">
        <v>265</v>
      </c>
      <c r="B219" s="6" t="n">
        <v>40335</v>
      </c>
      <c r="C219" s="0" t="n">
        <v>16059</v>
      </c>
      <c r="D219" s="0" t="s">
        <v>42</v>
      </c>
      <c r="E219" s="0" t="n">
        <v>9</v>
      </c>
      <c r="F219" s="0" t="n">
        <v>155.15</v>
      </c>
      <c r="G219" s="0" t="s">
        <v>43</v>
      </c>
    </row>
    <row r="220" customFormat="false" ht="15" hidden="false" customHeight="false" outlineLevel="0" collapsed="false">
      <c r="A220" s="0" t="s">
        <v>266</v>
      </c>
      <c r="B220" s="6" t="n">
        <v>40335</v>
      </c>
      <c r="C220" s="0" t="n">
        <v>14573</v>
      </c>
      <c r="D220" s="0" t="s">
        <v>42</v>
      </c>
      <c r="E220" s="0" t="n">
        <v>30</v>
      </c>
      <c r="F220" s="0" t="n">
        <v>158.12</v>
      </c>
      <c r="G220" s="0" t="s">
        <v>43</v>
      </c>
    </row>
    <row r="221" customFormat="false" ht="15" hidden="false" customHeight="false" outlineLevel="0" collapsed="false">
      <c r="A221" s="0" t="s">
        <v>267</v>
      </c>
      <c r="B221" s="6" t="n">
        <v>40336</v>
      </c>
      <c r="C221" s="0" t="n">
        <v>16883</v>
      </c>
      <c r="D221" s="0" t="s">
        <v>42</v>
      </c>
      <c r="E221" s="0" t="n">
        <v>21</v>
      </c>
      <c r="F221" s="0" t="n">
        <v>118.3</v>
      </c>
      <c r="G221" s="0" t="s">
        <v>43</v>
      </c>
    </row>
    <row r="222" customFormat="false" ht="15" hidden="false" customHeight="false" outlineLevel="0" collapsed="false">
      <c r="A222" s="0" t="s">
        <v>268</v>
      </c>
      <c r="B222" s="6" t="n">
        <v>40337</v>
      </c>
      <c r="C222" s="0" t="n">
        <v>14543</v>
      </c>
      <c r="D222" s="0" t="s">
        <v>42</v>
      </c>
      <c r="E222" s="0" t="n">
        <v>5</v>
      </c>
      <c r="F222" s="0" t="n">
        <v>597</v>
      </c>
      <c r="G222" s="0" t="s">
        <v>43</v>
      </c>
    </row>
    <row r="223" customFormat="false" ht="15" hidden="false" customHeight="false" outlineLevel="0" collapsed="false">
      <c r="A223" s="0" t="s">
        <v>269</v>
      </c>
      <c r="B223" s="6" t="n">
        <v>40338</v>
      </c>
      <c r="C223" s="0" t="n">
        <v>14543</v>
      </c>
      <c r="D223" s="0" t="s">
        <v>42</v>
      </c>
      <c r="E223" s="0" t="n">
        <v>8</v>
      </c>
      <c r="F223" s="0" t="n">
        <v>-218.4</v>
      </c>
      <c r="G223" s="0" t="s">
        <v>65</v>
      </c>
    </row>
    <row r="224" customFormat="false" ht="15" hidden="false" customHeight="false" outlineLevel="0" collapsed="false">
      <c r="A224" s="0" t="s">
        <v>270</v>
      </c>
      <c r="B224" s="6" t="n">
        <v>40339</v>
      </c>
      <c r="C224" s="0" t="n">
        <v>17350</v>
      </c>
      <c r="D224" s="0" t="s">
        <v>42</v>
      </c>
      <c r="E224" s="0" t="n">
        <v>20</v>
      </c>
      <c r="F224" s="0" t="n">
        <v>114.26</v>
      </c>
      <c r="G224" s="0" t="s">
        <v>43</v>
      </c>
    </row>
    <row r="225" customFormat="false" ht="15" hidden="false" customHeight="false" outlineLevel="0" collapsed="false">
      <c r="A225" s="0" t="s">
        <v>271</v>
      </c>
      <c r="B225" s="6" t="n">
        <v>40339</v>
      </c>
      <c r="C225" s="0" t="n">
        <v>17581</v>
      </c>
      <c r="D225" s="0" t="s">
        <v>42</v>
      </c>
      <c r="E225" s="0" t="n">
        <v>33</v>
      </c>
      <c r="F225" s="0" t="n">
        <v>734.08</v>
      </c>
      <c r="G225" s="0" t="s">
        <v>43</v>
      </c>
    </row>
    <row r="226" customFormat="false" ht="15" hidden="false" customHeight="false" outlineLevel="0" collapsed="false">
      <c r="A226" s="0" t="s">
        <v>272</v>
      </c>
      <c r="B226" s="6" t="n">
        <v>40339</v>
      </c>
      <c r="C226" s="0" t="n">
        <v>17581</v>
      </c>
      <c r="D226" s="0" t="s">
        <v>42</v>
      </c>
      <c r="E226" s="0" t="n">
        <v>3</v>
      </c>
      <c r="F226" s="0" t="n">
        <v>52.2</v>
      </c>
      <c r="G226" s="0" t="s">
        <v>43</v>
      </c>
    </row>
    <row r="227" customFormat="false" ht="15" hidden="false" customHeight="false" outlineLevel="0" collapsed="false">
      <c r="A227" s="0" t="s">
        <v>273</v>
      </c>
      <c r="B227" s="6" t="n">
        <v>40340</v>
      </c>
      <c r="C227" s="0" t="n">
        <v>17949</v>
      </c>
      <c r="D227" s="0" t="s">
        <v>42</v>
      </c>
      <c r="E227" s="0" t="n">
        <v>1</v>
      </c>
      <c r="F227" s="0" t="n">
        <v>216</v>
      </c>
      <c r="G227" s="0" t="s">
        <v>43</v>
      </c>
    </row>
    <row r="228" customFormat="false" ht="15" hidden="false" customHeight="false" outlineLevel="0" collapsed="false">
      <c r="A228" s="0" t="s">
        <v>274</v>
      </c>
      <c r="B228" s="6" t="n">
        <v>40340</v>
      </c>
      <c r="C228" s="0" t="n">
        <v>17949</v>
      </c>
      <c r="D228" s="0" t="s">
        <v>42</v>
      </c>
      <c r="E228" s="0" t="n">
        <v>1</v>
      </c>
      <c r="F228" s="0" t="n">
        <v>381.6</v>
      </c>
      <c r="G228" s="0" t="s">
        <v>43</v>
      </c>
    </row>
    <row r="229" customFormat="false" ht="15" hidden="false" customHeight="false" outlineLevel="0" collapsed="false">
      <c r="A229" s="0" t="s">
        <v>275</v>
      </c>
      <c r="B229" s="6" t="n">
        <v>40342</v>
      </c>
      <c r="C229" s="0" t="n">
        <v>16883</v>
      </c>
      <c r="D229" s="0" t="s">
        <v>42</v>
      </c>
      <c r="E229" s="0" t="n">
        <v>18</v>
      </c>
      <c r="F229" s="0" t="n">
        <v>164.55</v>
      </c>
      <c r="G229" s="0" t="s">
        <v>43</v>
      </c>
    </row>
    <row r="230" customFormat="false" ht="15" hidden="false" customHeight="false" outlineLevel="0" collapsed="false">
      <c r="A230" s="0" t="s">
        <v>276</v>
      </c>
      <c r="B230" s="6" t="n">
        <v>40342</v>
      </c>
      <c r="C230" s="0" t="n">
        <v>16021</v>
      </c>
      <c r="D230" s="0" t="s">
        <v>42</v>
      </c>
      <c r="E230" s="0" t="n">
        <v>34</v>
      </c>
      <c r="F230" s="0" t="n">
        <v>151.39</v>
      </c>
      <c r="G230" s="0" t="s">
        <v>43</v>
      </c>
    </row>
    <row r="231" customFormat="false" ht="15" hidden="false" customHeight="false" outlineLevel="0" collapsed="false">
      <c r="A231" s="0" t="s">
        <v>277</v>
      </c>
      <c r="B231" s="6" t="n">
        <v>40342</v>
      </c>
      <c r="C231" s="0" t="n">
        <v>14573</v>
      </c>
      <c r="D231" s="0" t="s">
        <v>42</v>
      </c>
      <c r="E231" s="0" t="n">
        <v>28</v>
      </c>
      <c r="F231" s="0" t="n">
        <v>153.89</v>
      </c>
      <c r="G231" s="0" t="s">
        <v>43</v>
      </c>
    </row>
    <row r="232" customFormat="false" ht="15" hidden="false" customHeight="false" outlineLevel="0" collapsed="false">
      <c r="A232" s="0" t="s">
        <v>278</v>
      </c>
      <c r="B232" s="6" t="n">
        <v>40342</v>
      </c>
      <c r="C232" s="0" t="n">
        <v>14573</v>
      </c>
      <c r="D232" s="0" t="s">
        <v>42</v>
      </c>
      <c r="E232" s="0" t="n">
        <v>1</v>
      </c>
      <c r="F232" s="0" t="n">
        <v>6.09</v>
      </c>
      <c r="G232" s="0" t="s">
        <v>43</v>
      </c>
    </row>
    <row r="233" customFormat="false" ht="15" hidden="false" customHeight="false" outlineLevel="0" collapsed="false">
      <c r="A233" s="0" t="s">
        <v>279</v>
      </c>
      <c r="B233" s="6" t="n">
        <v>40345</v>
      </c>
      <c r="C233" s="0" t="n">
        <v>14543</v>
      </c>
      <c r="D233" s="0" t="s">
        <v>42</v>
      </c>
      <c r="E233" s="0" t="n">
        <v>6</v>
      </c>
      <c r="F233" s="0" t="n">
        <v>351</v>
      </c>
      <c r="G233" s="0" t="s">
        <v>43</v>
      </c>
    </row>
    <row r="234" customFormat="false" ht="15" hidden="false" customHeight="false" outlineLevel="0" collapsed="false">
      <c r="A234" s="0" t="s">
        <v>280</v>
      </c>
      <c r="B234" s="6" t="n">
        <v>40345</v>
      </c>
      <c r="C234" s="0" t="n">
        <v>15203</v>
      </c>
      <c r="D234" s="0" t="s">
        <v>42</v>
      </c>
      <c r="E234" s="0" t="n">
        <v>17</v>
      </c>
      <c r="F234" s="0" t="n">
        <v>227.52</v>
      </c>
      <c r="G234" s="0" t="s">
        <v>43</v>
      </c>
    </row>
    <row r="235" customFormat="false" ht="15" hidden="false" customHeight="false" outlineLevel="0" collapsed="false">
      <c r="A235" s="0" t="s">
        <v>281</v>
      </c>
      <c r="B235" s="6" t="n">
        <v>40347</v>
      </c>
      <c r="C235" s="0" t="n">
        <v>16883</v>
      </c>
      <c r="D235" s="0" t="s">
        <v>42</v>
      </c>
      <c r="E235" s="0" t="n">
        <v>25</v>
      </c>
      <c r="F235" s="0" t="n">
        <v>128.14</v>
      </c>
      <c r="G235" s="0" t="s">
        <v>43</v>
      </c>
    </row>
    <row r="236" customFormat="false" ht="15" hidden="false" customHeight="false" outlineLevel="0" collapsed="false">
      <c r="A236" s="0" t="s">
        <v>282</v>
      </c>
      <c r="B236" s="6" t="n">
        <v>40351</v>
      </c>
      <c r="C236" s="0" t="n">
        <v>16883</v>
      </c>
      <c r="D236" s="0" t="s">
        <v>42</v>
      </c>
      <c r="E236" s="0" t="n">
        <v>19</v>
      </c>
      <c r="F236" s="0" t="n">
        <v>172.32</v>
      </c>
      <c r="G236" s="0" t="s">
        <v>43</v>
      </c>
    </row>
    <row r="237" customFormat="false" ht="15" hidden="false" customHeight="false" outlineLevel="0" collapsed="false">
      <c r="A237" s="0" t="s">
        <v>283</v>
      </c>
      <c r="B237" s="6" t="n">
        <v>40352</v>
      </c>
      <c r="C237" s="0" t="n">
        <v>14543</v>
      </c>
      <c r="D237" s="0" t="s">
        <v>42</v>
      </c>
      <c r="E237" s="0" t="n">
        <v>8</v>
      </c>
      <c r="F237" s="0" t="n">
        <v>366.8</v>
      </c>
      <c r="G237" s="0" t="s">
        <v>43</v>
      </c>
    </row>
    <row r="238" customFormat="false" ht="15" hidden="false" customHeight="false" outlineLevel="0" collapsed="false">
      <c r="A238" s="0" t="s">
        <v>284</v>
      </c>
      <c r="B238" s="6" t="n">
        <v>40352</v>
      </c>
      <c r="C238" s="0" t="n">
        <v>15991</v>
      </c>
      <c r="D238" s="0" t="s">
        <v>42</v>
      </c>
      <c r="E238" s="0" t="n">
        <v>6</v>
      </c>
      <c r="F238" s="0" t="n">
        <v>150.55</v>
      </c>
      <c r="G238" s="0" t="s">
        <v>43</v>
      </c>
    </row>
    <row r="239" customFormat="false" ht="15" hidden="false" customHeight="false" outlineLevel="0" collapsed="false">
      <c r="A239" s="0" t="s">
        <v>285</v>
      </c>
      <c r="B239" s="6" t="n">
        <v>40354</v>
      </c>
      <c r="C239" s="0" t="n">
        <v>16883</v>
      </c>
      <c r="D239" s="0" t="s">
        <v>42</v>
      </c>
      <c r="E239" s="0" t="n">
        <v>18</v>
      </c>
      <c r="F239" s="0" t="n">
        <v>199.6</v>
      </c>
      <c r="G239" s="0" t="s">
        <v>43</v>
      </c>
    </row>
    <row r="240" customFormat="false" ht="15" hidden="false" customHeight="false" outlineLevel="0" collapsed="false">
      <c r="A240" s="0" t="s">
        <v>286</v>
      </c>
      <c r="B240" s="6" t="n">
        <v>40354</v>
      </c>
      <c r="C240" s="0" t="n">
        <v>16883</v>
      </c>
      <c r="D240" s="0" t="s">
        <v>42</v>
      </c>
      <c r="E240" s="0" t="n">
        <v>1</v>
      </c>
      <c r="F240" s="0" t="n">
        <v>19.95</v>
      </c>
      <c r="G240" s="0" t="s">
        <v>43</v>
      </c>
    </row>
    <row r="241" customFormat="false" ht="15" hidden="false" customHeight="false" outlineLevel="0" collapsed="false">
      <c r="A241" s="0" t="s">
        <v>287</v>
      </c>
      <c r="B241" s="6" t="n">
        <v>40356</v>
      </c>
      <c r="C241" s="0" t="n">
        <v>16059</v>
      </c>
      <c r="D241" s="0" t="s">
        <v>42</v>
      </c>
      <c r="E241" s="0" t="n">
        <v>60</v>
      </c>
      <c r="F241" s="0" t="n">
        <v>367.86</v>
      </c>
      <c r="G241" s="0" t="s">
        <v>43</v>
      </c>
    </row>
    <row r="242" customFormat="false" ht="15" hidden="false" customHeight="false" outlineLevel="0" collapsed="false">
      <c r="A242" s="0" t="s">
        <v>288</v>
      </c>
      <c r="B242" s="6" t="n">
        <v>40356</v>
      </c>
      <c r="C242" s="0" t="n">
        <v>16950</v>
      </c>
      <c r="D242" s="0" t="s">
        <v>42</v>
      </c>
      <c r="E242" s="0" t="n">
        <v>9</v>
      </c>
      <c r="F242" s="0" t="n">
        <v>201.25</v>
      </c>
      <c r="G242" s="0" t="s">
        <v>43</v>
      </c>
    </row>
    <row r="243" customFormat="false" ht="15" hidden="false" customHeight="false" outlineLevel="0" collapsed="false">
      <c r="A243" s="0" t="s">
        <v>289</v>
      </c>
      <c r="B243" s="6" t="n">
        <v>40358</v>
      </c>
      <c r="C243" s="0" t="n">
        <v>15430</v>
      </c>
      <c r="D243" s="0" t="s">
        <v>42</v>
      </c>
      <c r="E243" s="0" t="n">
        <v>33</v>
      </c>
      <c r="F243" s="0" t="n">
        <v>836.75</v>
      </c>
      <c r="G243" s="0" t="s">
        <v>43</v>
      </c>
    </row>
    <row r="244" customFormat="false" ht="15" hidden="false" customHeight="false" outlineLevel="0" collapsed="false">
      <c r="A244" s="0" t="s">
        <v>290</v>
      </c>
      <c r="B244" s="6" t="n">
        <v>40359</v>
      </c>
      <c r="C244" s="0" t="n">
        <v>17949</v>
      </c>
      <c r="D244" s="0" t="s">
        <v>42</v>
      </c>
      <c r="E244" s="0" t="n">
        <v>1</v>
      </c>
      <c r="F244" s="0" t="n">
        <v>318</v>
      </c>
      <c r="G244" s="0" t="s">
        <v>43</v>
      </c>
    </row>
    <row r="245" customFormat="false" ht="15" hidden="false" customHeight="false" outlineLevel="0" collapsed="false">
      <c r="A245" s="0" t="s">
        <v>291</v>
      </c>
      <c r="B245" s="6" t="n">
        <v>40359</v>
      </c>
      <c r="C245" s="0" t="n">
        <v>17508</v>
      </c>
      <c r="D245" s="0" t="s">
        <v>72</v>
      </c>
      <c r="E245" s="0" t="n">
        <v>9</v>
      </c>
      <c r="F245" s="0" t="n">
        <v>302.4</v>
      </c>
      <c r="G245" s="0" t="s">
        <v>43</v>
      </c>
    </row>
    <row r="246" customFormat="false" ht="15" hidden="false" customHeight="false" outlineLevel="0" collapsed="false">
      <c r="A246" s="0" t="s">
        <v>292</v>
      </c>
      <c r="B246" s="6" t="n">
        <v>40360</v>
      </c>
      <c r="C246" s="0" t="n">
        <v>16883</v>
      </c>
      <c r="D246" s="0" t="s">
        <v>42</v>
      </c>
      <c r="E246" s="0" t="n">
        <v>11</v>
      </c>
      <c r="F246" s="0" t="n">
        <v>141.25</v>
      </c>
      <c r="G246" s="0" t="s">
        <v>43</v>
      </c>
    </row>
    <row r="247" customFormat="false" ht="15" hidden="false" customHeight="false" outlineLevel="0" collapsed="false">
      <c r="A247" s="0" t="s">
        <v>293</v>
      </c>
      <c r="B247" s="6" t="n">
        <v>40360</v>
      </c>
      <c r="C247" s="0" t="n">
        <v>12765</v>
      </c>
      <c r="D247" s="0" t="s">
        <v>106</v>
      </c>
      <c r="E247" s="0" t="n">
        <v>8</v>
      </c>
      <c r="F247" s="0" t="n">
        <v>222.4</v>
      </c>
      <c r="G247" s="0" t="s">
        <v>43</v>
      </c>
    </row>
    <row r="248" customFormat="false" ht="15" hidden="false" customHeight="false" outlineLevel="0" collapsed="false">
      <c r="A248" s="0" t="s">
        <v>294</v>
      </c>
      <c r="B248" s="6" t="n">
        <v>40360</v>
      </c>
      <c r="C248" s="0" t="n">
        <v>16907</v>
      </c>
      <c r="D248" s="0" t="s">
        <v>42</v>
      </c>
      <c r="E248" s="0" t="n">
        <v>15</v>
      </c>
      <c r="F248" s="0" t="n">
        <v>104.65</v>
      </c>
      <c r="G248" s="0" t="s">
        <v>43</v>
      </c>
    </row>
    <row r="249" customFormat="false" ht="15" hidden="false" customHeight="false" outlineLevel="0" collapsed="false">
      <c r="A249" s="0" t="s">
        <v>295</v>
      </c>
      <c r="B249" s="6" t="n">
        <v>40361</v>
      </c>
      <c r="C249" s="0" t="n">
        <v>17949</v>
      </c>
      <c r="D249" s="0" t="s">
        <v>42</v>
      </c>
      <c r="E249" s="0" t="n">
        <v>1</v>
      </c>
      <c r="F249" s="0" t="n">
        <v>788.4</v>
      </c>
      <c r="G249" s="0" t="s">
        <v>43</v>
      </c>
    </row>
    <row r="250" customFormat="false" ht="15" hidden="false" customHeight="false" outlineLevel="0" collapsed="false">
      <c r="A250" s="0" t="s">
        <v>296</v>
      </c>
      <c r="B250" s="6" t="n">
        <v>40364</v>
      </c>
      <c r="C250" s="0" t="n">
        <v>15430</v>
      </c>
      <c r="D250" s="0" t="s">
        <v>42</v>
      </c>
      <c r="E250" s="0" t="n">
        <v>5</v>
      </c>
      <c r="F250" s="0" t="n">
        <v>-51</v>
      </c>
      <c r="G250" s="0" t="s">
        <v>65</v>
      </c>
    </row>
    <row r="251" customFormat="false" ht="15" hidden="false" customHeight="false" outlineLevel="0" collapsed="false">
      <c r="A251" s="0" t="s">
        <v>297</v>
      </c>
      <c r="B251" s="6" t="n">
        <v>40364</v>
      </c>
      <c r="C251" s="0" t="n">
        <v>17949</v>
      </c>
      <c r="D251" s="0" t="s">
        <v>42</v>
      </c>
      <c r="E251" s="0" t="n">
        <v>1</v>
      </c>
      <c r="F251" s="0" t="n">
        <v>466.2</v>
      </c>
      <c r="G251" s="0" t="s">
        <v>43</v>
      </c>
    </row>
    <row r="252" customFormat="false" ht="15" hidden="false" customHeight="false" outlineLevel="0" collapsed="false">
      <c r="A252" s="0" t="s">
        <v>298</v>
      </c>
      <c r="B252" s="6" t="n">
        <v>40366</v>
      </c>
      <c r="C252" s="0" t="n">
        <v>16883</v>
      </c>
      <c r="D252" s="0" t="s">
        <v>42</v>
      </c>
      <c r="E252" s="0" t="n">
        <v>15</v>
      </c>
      <c r="F252" s="0" t="n">
        <v>117.42</v>
      </c>
      <c r="G252" s="0" t="s">
        <v>43</v>
      </c>
    </row>
    <row r="253" customFormat="false" ht="15" hidden="false" customHeight="false" outlineLevel="0" collapsed="false">
      <c r="A253" s="0" t="s">
        <v>299</v>
      </c>
      <c r="B253" s="6" t="n">
        <v>40367</v>
      </c>
      <c r="C253" s="0" t="n">
        <v>12592</v>
      </c>
      <c r="D253" s="0" t="s">
        <v>259</v>
      </c>
      <c r="E253" s="0" t="n">
        <v>31</v>
      </c>
      <c r="F253" s="0" t="n">
        <v>715.02</v>
      </c>
      <c r="G253" s="0" t="s">
        <v>43</v>
      </c>
    </row>
    <row r="254" customFormat="false" ht="15" hidden="false" customHeight="false" outlineLevel="0" collapsed="false">
      <c r="A254" s="0" t="s">
        <v>300</v>
      </c>
      <c r="B254" s="6" t="n">
        <v>40367</v>
      </c>
      <c r="C254" s="0" t="n">
        <v>12592</v>
      </c>
      <c r="D254" s="0" t="s">
        <v>259</v>
      </c>
      <c r="E254" s="0" t="n">
        <v>1</v>
      </c>
      <c r="F254" s="0" t="n">
        <v>-715.02</v>
      </c>
      <c r="G254" s="0" t="s">
        <v>65</v>
      </c>
    </row>
    <row r="255" customFormat="false" ht="15" hidden="false" customHeight="false" outlineLevel="0" collapsed="false">
      <c r="A255" s="0" t="s">
        <v>301</v>
      </c>
      <c r="B255" s="6" t="n">
        <v>40367</v>
      </c>
      <c r="C255" s="0" t="n">
        <v>12592</v>
      </c>
      <c r="D255" s="0" t="s">
        <v>259</v>
      </c>
      <c r="E255" s="0" t="n">
        <v>1</v>
      </c>
      <c r="F255" s="0" t="n">
        <v>715.02</v>
      </c>
      <c r="G255" s="0" t="s">
        <v>43</v>
      </c>
    </row>
    <row r="256" customFormat="false" ht="15" hidden="false" customHeight="false" outlineLevel="0" collapsed="false">
      <c r="A256" s="0" t="s">
        <v>302</v>
      </c>
      <c r="B256" s="6" t="n">
        <v>40367</v>
      </c>
      <c r="C256" s="0" t="n">
        <v>12592</v>
      </c>
      <c r="D256" s="0" t="s">
        <v>259</v>
      </c>
      <c r="E256" s="0" t="n">
        <v>1</v>
      </c>
      <c r="F256" s="0" t="n">
        <v>-661.02</v>
      </c>
      <c r="G256" s="0" t="s">
        <v>65</v>
      </c>
    </row>
    <row r="257" customFormat="false" ht="15" hidden="false" customHeight="false" outlineLevel="0" collapsed="false">
      <c r="A257" s="0" t="s">
        <v>303</v>
      </c>
      <c r="B257" s="6" t="n">
        <v>40367</v>
      </c>
      <c r="C257" s="0" t="n">
        <v>12592</v>
      </c>
      <c r="D257" s="0" t="s">
        <v>259</v>
      </c>
      <c r="E257" s="0" t="n">
        <v>1</v>
      </c>
      <c r="F257" s="0" t="n">
        <v>-54</v>
      </c>
      <c r="G257" s="0" t="s">
        <v>65</v>
      </c>
    </row>
    <row r="258" customFormat="false" ht="15" hidden="false" customHeight="false" outlineLevel="0" collapsed="false">
      <c r="A258" s="0" t="s">
        <v>304</v>
      </c>
      <c r="B258" s="6" t="n">
        <v>40367</v>
      </c>
      <c r="C258" s="0" t="n">
        <v>12592</v>
      </c>
      <c r="D258" s="0" t="s">
        <v>259</v>
      </c>
      <c r="E258" s="0" t="n">
        <v>31</v>
      </c>
      <c r="F258" s="0" t="n">
        <v>715.02</v>
      </c>
      <c r="G258" s="0" t="s">
        <v>43</v>
      </c>
    </row>
    <row r="259" customFormat="false" ht="15" hidden="false" customHeight="false" outlineLevel="0" collapsed="false">
      <c r="A259" s="0" t="s">
        <v>305</v>
      </c>
      <c r="B259" s="6" t="n">
        <v>40371</v>
      </c>
      <c r="C259" s="0" t="n">
        <v>16883</v>
      </c>
      <c r="D259" s="0" t="s">
        <v>42</v>
      </c>
      <c r="E259" s="0" t="n">
        <v>1</v>
      </c>
      <c r="F259" s="0" t="n">
        <v>-9.95</v>
      </c>
      <c r="G259" s="0" t="s">
        <v>65</v>
      </c>
    </row>
    <row r="260" customFormat="false" ht="15" hidden="false" customHeight="false" outlineLevel="0" collapsed="false">
      <c r="A260" s="0" t="s">
        <v>306</v>
      </c>
      <c r="B260" s="6" t="n">
        <v>40371</v>
      </c>
      <c r="C260" s="0" t="n">
        <v>16883</v>
      </c>
      <c r="D260" s="0" t="s">
        <v>42</v>
      </c>
      <c r="E260" s="0" t="n">
        <v>6</v>
      </c>
      <c r="F260" s="0" t="n">
        <v>78.55</v>
      </c>
      <c r="G260" s="0" t="s">
        <v>43</v>
      </c>
    </row>
    <row r="261" customFormat="false" ht="15" hidden="false" customHeight="false" outlineLevel="0" collapsed="false">
      <c r="A261" s="0" t="s">
        <v>307</v>
      </c>
      <c r="B261" s="6" t="n">
        <v>40372</v>
      </c>
      <c r="C261" s="0" t="n">
        <v>17949</v>
      </c>
      <c r="D261" s="0" t="s">
        <v>42</v>
      </c>
      <c r="E261" s="0" t="n">
        <v>1</v>
      </c>
      <c r="F261" s="0" t="n">
        <v>362.88</v>
      </c>
      <c r="G261" s="0" t="s">
        <v>43</v>
      </c>
    </row>
    <row r="262" customFormat="false" ht="15" hidden="false" customHeight="false" outlineLevel="0" collapsed="false">
      <c r="A262" s="0" t="s">
        <v>308</v>
      </c>
      <c r="B262" s="6" t="n">
        <v>40372</v>
      </c>
      <c r="C262" s="0" t="n">
        <v>14543</v>
      </c>
      <c r="D262" s="0" t="s">
        <v>42</v>
      </c>
      <c r="E262" s="0" t="n">
        <v>1</v>
      </c>
      <c r="F262" s="0" t="n">
        <v>131.4</v>
      </c>
      <c r="G262" s="0" t="s">
        <v>43</v>
      </c>
    </row>
    <row r="263" customFormat="false" ht="15" hidden="false" customHeight="false" outlineLevel="0" collapsed="false">
      <c r="A263" s="0" t="s">
        <v>309</v>
      </c>
      <c r="B263" s="6" t="n">
        <v>40372</v>
      </c>
      <c r="C263" s="0" t="n">
        <v>16234</v>
      </c>
      <c r="D263" s="0" t="s">
        <v>42</v>
      </c>
      <c r="E263" s="0" t="n">
        <v>2</v>
      </c>
      <c r="F263" s="0" t="n">
        <v>105.5</v>
      </c>
      <c r="G263" s="0" t="s">
        <v>43</v>
      </c>
    </row>
    <row r="264" customFormat="false" ht="15" hidden="false" customHeight="false" outlineLevel="0" collapsed="false">
      <c r="A264" s="0" t="s">
        <v>310</v>
      </c>
      <c r="B264" s="6" t="n">
        <v>40372</v>
      </c>
      <c r="C264" s="0" t="n">
        <v>17949</v>
      </c>
      <c r="D264" s="0" t="s">
        <v>42</v>
      </c>
      <c r="E264" s="0" t="n">
        <v>1</v>
      </c>
      <c r="F264" s="0" t="n">
        <v>-197.1</v>
      </c>
      <c r="G264" s="0" t="s">
        <v>65</v>
      </c>
    </row>
    <row r="265" customFormat="false" ht="15" hidden="false" customHeight="false" outlineLevel="0" collapsed="false">
      <c r="A265" s="0" t="s">
        <v>311</v>
      </c>
      <c r="B265" s="6" t="n">
        <v>40373</v>
      </c>
      <c r="C265" s="0" t="n">
        <v>14543</v>
      </c>
      <c r="D265" s="0" t="s">
        <v>42</v>
      </c>
      <c r="E265" s="0" t="n">
        <v>1</v>
      </c>
      <c r="F265" s="0" t="n">
        <v>55.65</v>
      </c>
      <c r="G265" s="0" t="s">
        <v>43</v>
      </c>
    </row>
    <row r="266" customFormat="false" ht="15" hidden="false" customHeight="false" outlineLevel="0" collapsed="false">
      <c r="A266" s="0" t="s">
        <v>312</v>
      </c>
      <c r="B266" s="6" t="n">
        <v>40373</v>
      </c>
      <c r="C266" s="0" t="n">
        <v>14543</v>
      </c>
      <c r="D266" s="0" t="s">
        <v>42</v>
      </c>
      <c r="E266" s="0" t="n">
        <v>1</v>
      </c>
      <c r="F266" s="0" t="n">
        <v>-109</v>
      </c>
      <c r="G266" s="0" t="s">
        <v>65</v>
      </c>
    </row>
    <row r="267" customFormat="false" ht="15" hidden="false" customHeight="false" outlineLevel="0" collapsed="false">
      <c r="A267" s="0" t="s">
        <v>313</v>
      </c>
      <c r="B267" s="6" t="n">
        <v>40374</v>
      </c>
      <c r="C267" s="0" t="n">
        <v>16883</v>
      </c>
      <c r="D267" s="0" t="s">
        <v>42</v>
      </c>
      <c r="E267" s="0" t="n">
        <v>7</v>
      </c>
      <c r="F267" s="0" t="n">
        <v>145.55</v>
      </c>
      <c r="G267" s="0" t="s">
        <v>43</v>
      </c>
    </row>
    <row r="268" customFormat="false" ht="15" hidden="false" customHeight="false" outlineLevel="0" collapsed="false">
      <c r="A268" s="0" t="s">
        <v>314</v>
      </c>
      <c r="B268" s="6" t="n">
        <v>40374</v>
      </c>
      <c r="C268" s="0" t="n">
        <v>14543</v>
      </c>
      <c r="D268" s="0" t="s">
        <v>42</v>
      </c>
      <c r="E268" s="0" t="n">
        <v>2</v>
      </c>
      <c r="F268" s="0" t="n">
        <v>104.25</v>
      </c>
      <c r="G268" s="0" t="s">
        <v>43</v>
      </c>
    </row>
    <row r="269" customFormat="false" ht="15" hidden="false" customHeight="false" outlineLevel="0" collapsed="false">
      <c r="A269" s="0" t="s">
        <v>315</v>
      </c>
      <c r="B269" s="6" t="n">
        <v>40374</v>
      </c>
      <c r="C269" s="0" t="n">
        <v>14543</v>
      </c>
      <c r="D269" s="0" t="s">
        <v>42</v>
      </c>
      <c r="E269" s="0" t="n">
        <v>1</v>
      </c>
      <c r="F269" s="0" t="n">
        <v>29.85</v>
      </c>
      <c r="G269" s="0" t="s">
        <v>43</v>
      </c>
    </row>
    <row r="270" customFormat="false" ht="15" hidden="false" customHeight="false" outlineLevel="0" collapsed="false">
      <c r="A270" s="0" t="s">
        <v>316</v>
      </c>
      <c r="B270" s="6" t="n">
        <v>40374</v>
      </c>
      <c r="C270" s="0" t="n">
        <v>16251</v>
      </c>
      <c r="D270" s="0" t="s">
        <v>42</v>
      </c>
      <c r="E270" s="0" t="n">
        <v>20</v>
      </c>
      <c r="F270" s="0" t="n">
        <v>128.31</v>
      </c>
      <c r="G270" s="0" t="s">
        <v>43</v>
      </c>
    </row>
    <row r="271" customFormat="false" ht="15" hidden="false" customHeight="false" outlineLevel="0" collapsed="false">
      <c r="A271" s="0" t="s">
        <v>317</v>
      </c>
      <c r="B271" s="6" t="n">
        <v>40374</v>
      </c>
      <c r="C271" s="0" t="n">
        <v>18223</v>
      </c>
      <c r="D271" s="0" t="s">
        <v>42</v>
      </c>
      <c r="E271" s="0" t="n">
        <v>14</v>
      </c>
      <c r="F271" s="0" t="n">
        <v>443.39</v>
      </c>
      <c r="G271" s="0" t="s">
        <v>43</v>
      </c>
    </row>
    <row r="272" customFormat="false" ht="15" hidden="false" customHeight="false" outlineLevel="0" collapsed="false">
      <c r="A272" s="0" t="s">
        <v>318</v>
      </c>
      <c r="B272" s="6" t="n">
        <v>40375</v>
      </c>
      <c r="C272" s="0" t="n">
        <v>17581</v>
      </c>
      <c r="D272" s="0" t="s">
        <v>42</v>
      </c>
      <c r="E272" s="0" t="n">
        <v>3</v>
      </c>
      <c r="F272" s="0" t="n">
        <v>-20.7</v>
      </c>
      <c r="G272" s="0" t="s">
        <v>65</v>
      </c>
    </row>
    <row r="273" customFormat="false" ht="15" hidden="false" customHeight="false" outlineLevel="0" collapsed="false">
      <c r="A273" s="0" t="s">
        <v>319</v>
      </c>
      <c r="B273" s="6" t="n">
        <v>40377</v>
      </c>
      <c r="C273" s="0" t="n">
        <v>16950</v>
      </c>
      <c r="D273" s="0" t="s">
        <v>42</v>
      </c>
      <c r="E273" s="0" t="n">
        <v>14</v>
      </c>
      <c r="F273" s="0" t="n">
        <v>385.1</v>
      </c>
      <c r="G273" s="0" t="s">
        <v>43</v>
      </c>
    </row>
    <row r="274" customFormat="false" ht="15" hidden="false" customHeight="false" outlineLevel="0" collapsed="false">
      <c r="A274" s="0" t="s">
        <v>320</v>
      </c>
      <c r="B274" s="6" t="n">
        <v>40377</v>
      </c>
      <c r="C274" s="0" t="n">
        <v>16950</v>
      </c>
      <c r="D274" s="0" t="s">
        <v>42</v>
      </c>
      <c r="E274" s="0" t="n">
        <v>1</v>
      </c>
      <c r="F274" s="0" t="n">
        <v>-8</v>
      </c>
      <c r="G274" s="0" t="s">
        <v>65</v>
      </c>
    </row>
    <row r="275" customFormat="false" ht="15" hidden="false" customHeight="false" outlineLevel="0" collapsed="false">
      <c r="A275" s="0" t="s">
        <v>321</v>
      </c>
      <c r="B275" s="6" t="n">
        <v>40378</v>
      </c>
      <c r="C275" s="0" t="n">
        <v>14543</v>
      </c>
      <c r="D275" s="0" t="s">
        <v>42</v>
      </c>
      <c r="E275" s="0" t="n">
        <v>4</v>
      </c>
      <c r="F275" s="0" t="n">
        <v>294.95</v>
      </c>
      <c r="G275" s="0" t="s">
        <v>43</v>
      </c>
    </row>
    <row r="276" customFormat="false" ht="15" hidden="false" customHeight="false" outlineLevel="0" collapsed="false">
      <c r="A276" s="0" t="s">
        <v>322</v>
      </c>
      <c r="B276" s="6" t="n">
        <v>40380</v>
      </c>
      <c r="C276" s="0" t="n">
        <v>16883</v>
      </c>
      <c r="D276" s="0" t="s">
        <v>42</v>
      </c>
      <c r="E276" s="0" t="n">
        <v>16</v>
      </c>
      <c r="F276" s="0" t="n">
        <v>134.7</v>
      </c>
      <c r="G276" s="0" t="s">
        <v>43</v>
      </c>
    </row>
    <row r="277" customFormat="false" ht="15" hidden="false" customHeight="false" outlineLevel="0" collapsed="false">
      <c r="A277" s="0" t="s">
        <v>323</v>
      </c>
      <c r="B277" s="6" t="n">
        <v>40380</v>
      </c>
      <c r="C277" s="0" t="n">
        <v>18223</v>
      </c>
      <c r="D277" s="0" t="s">
        <v>42</v>
      </c>
      <c r="E277" s="0" t="n">
        <v>2</v>
      </c>
      <c r="F277" s="0" t="n">
        <v>-10.72</v>
      </c>
      <c r="G277" s="0" t="s">
        <v>65</v>
      </c>
    </row>
    <row r="278" customFormat="false" ht="15" hidden="false" customHeight="false" outlineLevel="0" collapsed="false">
      <c r="A278" s="0" t="s">
        <v>324</v>
      </c>
      <c r="B278" s="6" t="n">
        <v>40382</v>
      </c>
      <c r="C278" s="0" t="n">
        <v>17949</v>
      </c>
      <c r="D278" s="0" t="s">
        <v>42</v>
      </c>
      <c r="E278" s="0" t="n">
        <v>2</v>
      </c>
      <c r="F278" s="0" t="n">
        <v>1151.28</v>
      </c>
      <c r="G278" s="0" t="s">
        <v>43</v>
      </c>
    </row>
    <row r="279" customFormat="false" ht="15" hidden="false" customHeight="false" outlineLevel="0" collapsed="false">
      <c r="A279" s="0" t="s">
        <v>325</v>
      </c>
      <c r="B279" s="6" t="n">
        <v>40385</v>
      </c>
      <c r="C279" s="0" t="n">
        <v>12813</v>
      </c>
      <c r="D279" s="0" t="s">
        <v>106</v>
      </c>
      <c r="E279" s="0" t="n">
        <v>24</v>
      </c>
      <c r="F279" s="0" t="n">
        <v>622</v>
      </c>
      <c r="G279" s="0" t="s">
        <v>43</v>
      </c>
    </row>
    <row r="280" customFormat="false" ht="15" hidden="false" customHeight="false" outlineLevel="0" collapsed="false">
      <c r="A280" s="0" t="s">
        <v>326</v>
      </c>
      <c r="B280" s="6" t="n">
        <v>40386</v>
      </c>
      <c r="C280" s="0" t="n">
        <v>16059</v>
      </c>
      <c r="D280" s="0" t="s">
        <v>42</v>
      </c>
      <c r="E280" s="0" t="n">
        <v>23</v>
      </c>
      <c r="F280" s="0" t="n">
        <v>180.15</v>
      </c>
      <c r="G280" s="0" t="s">
        <v>43</v>
      </c>
    </row>
    <row r="281" customFormat="false" ht="15" hidden="false" customHeight="false" outlineLevel="0" collapsed="false">
      <c r="A281" s="0" t="s">
        <v>327</v>
      </c>
      <c r="B281" s="6" t="n">
        <v>40388</v>
      </c>
      <c r="C281" s="0" t="n">
        <v>17949</v>
      </c>
      <c r="D281" s="0" t="s">
        <v>42</v>
      </c>
      <c r="E281" s="0" t="n">
        <v>1</v>
      </c>
      <c r="F281" s="0" t="n">
        <v>2496.6</v>
      </c>
      <c r="G281" s="0" t="s">
        <v>43</v>
      </c>
    </row>
    <row r="282" customFormat="false" ht="15" hidden="false" customHeight="false" outlineLevel="0" collapsed="false">
      <c r="A282" s="0" t="s">
        <v>328</v>
      </c>
      <c r="B282" s="6" t="n">
        <v>40388</v>
      </c>
      <c r="C282" s="0" t="n">
        <v>16883</v>
      </c>
      <c r="D282" s="0" t="s">
        <v>42</v>
      </c>
      <c r="E282" s="0" t="n">
        <v>14</v>
      </c>
      <c r="F282" s="0" t="n">
        <v>120.75</v>
      </c>
      <c r="G282" s="0" t="s">
        <v>43</v>
      </c>
    </row>
    <row r="283" customFormat="false" ht="15" hidden="false" customHeight="false" outlineLevel="0" collapsed="false">
      <c r="A283" s="0" t="s">
        <v>329</v>
      </c>
      <c r="B283" s="6" t="n">
        <v>40388</v>
      </c>
      <c r="C283" s="0" t="n">
        <v>14543</v>
      </c>
      <c r="D283" s="0" t="s">
        <v>42</v>
      </c>
      <c r="E283" s="0" t="n">
        <v>1</v>
      </c>
      <c r="F283" s="0" t="n">
        <v>-24</v>
      </c>
      <c r="G283" s="0" t="s">
        <v>65</v>
      </c>
    </row>
    <row r="284" customFormat="false" ht="15" hidden="false" customHeight="false" outlineLevel="0" collapsed="false">
      <c r="A284" s="0" t="s">
        <v>330</v>
      </c>
      <c r="B284" s="6" t="n">
        <v>40388</v>
      </c>
      <c r="C284" s="0" t="n">
        <v>14543</v>
      </c>
      <c r="D284" s="0" t="s">
        <v>42</v>
      </c>
      <c r="E284" s="0" t="n">
        <v>1</v>
      </c>
      <c r="F284" s="0" t="n">
        <v>76.5</v>
      </c>
      <c r="G284" s="0" t="s">
        <v>43</v>
      </c>
    </row>
    <row r="285" customFormat="false" ht="15" hidden="false" customHeight="false" outlineLevel="0" collapsed="false">
      <c r="A285" s="0" t="s">
        <v>331</v>
      </c>
      <c r="B285" s="6" t="n">
        <v>40394</v>
      </c>
      <c r="C285" s="0" t="n">
        <v>16883</v>
      </c>
      <c r="D285" s="0" t="s">
        <v>42</v>
      </c>
      <c r="E285" s="0" t="n">
        <v>10</v>
      </c>
      <c r="F285" s="0" t="n">
        <v>116.1</v>
      </c>
      <c r="G285" s="0" t="s">
        <v>43</v>
      </c>
    </row>
    <row r="286" customFormat="false" ht="15" hidden="false" customHeight="false" outlineLevel="0" collapsed="false">
      <c r="A286" s="0" t="s">
        <v>332</v>
      </c>
      <c r="B286" s="6" t="n">
        <v>40394</v>
      </c>
      <c r="C286" s="0" t="n">
        <v>12765</v>
      </c>
      <c r="D286" s="0" t="s">
        <v>106</v>
      </c>
      <c r="E286" s="0" t="n">
        <v>20</v>
      </c>
      <c r="F286" s="0" t="n">
        <v>359.88</v>
      </c>
      <c r="G286" s="0" t="s">
        <v>43</v>
      </c>
    </row>
    <row r="287" customFormat="false" ht="15" hidden="false" customHeight="false" outlineLevel="0" collapsed="false">
      <c r="A287" s="0" t="s">
        <v>333</v>
      </c>
      <c r="B287" s="6" t="n">
        <v>40395</v>
      </c>
      <c r="C287" s="0" t="n">
        <v>17581</v>
      </c>
      <c r="D287" s="0" t="s">
        <v>42</v>
      </c>
      <c r="E287" s="0" t="n">
        <v>41</v>
      </c>
      <c r="F287" s="0" t="n">
        <v>759.35</v>
      </c>
      <c r="G287" s="0" t="s">
        <v>43</v>
      </c>
    </row>
    <row r="288" customFormat="false" ht="15" hidden="false" customHeight="false" outlineLevel="0" collapsed="false">
      <c r="A288" s="0" t="s">
        <v>334</v>
      </c>
      <c r="B288" s="6" t="n">
        <v>40398</v>
      </c>
      <c r="C288" s="0" t="n">
        <v>17393</v>
      </c>
      <c r="D288" s="0" t="s">
        <v>42</v>
      </c>
      <c r="E288" s="0" t="n">
        <v>27</v>
      </c>
      <c r="F288" s="0" t="n">
        <v>194.6</v>
      </c>
      <c r="G288" s="0" t="s">
        <v>43</v>
      </c>
    </row>
    <row r="289" customFormat="false" ht="15" hidden="false" customHeight="false" outlineLevel="0" collapsed="false">
      <c r="A289" s="0" t="s">
        <v>335</v>
      </c>
      <c r="B289" s="6" t="n">
        <v>40399</v>
      </c>
      <c r="C289" s="0" t="n">
        <v>16282</v>
      </c>
      <c r="D289" s="0" t="s">
        <v>42</v>
      </c>
      <c r="E289" s="0" t="n">
        <v>14</v>
      </c>
      <c r="F289" s="0" t="n">
        <v>869.28</v>
      </c>
      <c r="G289" s="0" t="s">
        <v>43</v>
      </c>
    </row>
    <row r="290" customFormat="false" ht="15" hidden="false" customHeight="false" outlineLevel="0" collapsed="false">
      <c r="A290" s="0" t="s">
        <v>336</v>
      </c>
      <c r="B290" s="6" t="n">
        <v>40400</v>
      </c>
      <c r="C290" s="0" t="n">
        <v>15032</v>
      </c>
      <c r="D290" s="0" t="s">
        <v>42</v>
      </c>
      <c r="E290" s="0" t="n">
        <v>3</v>
      </c>
      <c r="F290" s="0" t="n">
        <v>660</v>
      </c>
      <c r="G290" s="0" t="s">
        <v>43</v>
      </c>
    </row>
    <row r="291" customFormat="false" ht="15" hidden="false" customHeight="false" outlineLevel="0" collapsed="false">
      <c r="A291" s="0" t="s">
        <v>337</v>
      </c>
      <c r="B291" s="6" t="n">
        <v>40402</v>
      </c>
      <c r="C291" s="0" t="n">
        <v>17949</v>
      </c>
      <c r="D291" s="0" t="s">
        <v>42</v>
      </c>
      <c r="E291" s="0" t="n">
        <v>1</v>
      </c>
      <c r="F291" s="0" t="n">
        <v>-190.8</v>
      </c>
      <c r="G291" s="0" t="s">
        <v>65</v>
      </c>
    </row>
    <row r="292" customFormat="false" ht="15" hidden="false" customHeight="false" outlineLevel="0" collapsed="false">
      <c r="A292" s="0" t="s">
        <v>338</v>
      </c>
      <c r="B292" s="6" t="n">
        <v>40403</v>
      </c>
      <c r="C292" s="0" t="n">
        <v>15203</v>
      </c>
      <c r="D292" s="0" t="s">
        <v>42</v>
      </c>
      <c r="E292" s="0" t="n">
        <v>35</v>
      </c>
      <c r="F292" s="0" t="n">
        <v>472.68</v>
      </c>
      <c r="G292" s="0" t="s">
        <v>43</v>
      </c>
    </row>
    <row r="293" customFormat="false" ht="15" hidden="false" customHeight="false" outlineLevel="0" collapsed="false">
      <c r="A293" s="0" t="s">
        <v>339</v>
      </c>
      <c r="B293" s="6" t="n">
        <v>40403</v>
      </c>
      <c r="C293" s="0" t="n">
        <v>17949</v>
      </c>
      <c r="D293" s="0" t="s">
        <v>42</v>
      </c>
      <c r="E293" s="0" t="n">
        <v>1</v>
      </c>
      <c r="F293" s="0" t="n">
        <v>293.76</v>
      </c>
      <c r="G293" s="0" t="s">
        <v>43</v>
      </c>
    </row>
    <row r="294" customFormat="false" ht="15" hidden="false" customHeight="false" outlineLevel="0" collapsed="false">
      <c r="A294" s="0" t="s">
        <v>340</v>
      </c>
      <c r="B294" s="6" t="n">
        <v>40403</v>
      </c>
      <c r="C294" s="0" t="n">
        <v>17949</v>
      </c>
      <c r="D294" s="0" t="s">
        <v>42</v>
      </c>
      <c r="E294" s="0" t="n">
        <v>2</v>
      </c>
      <c r="F294" s="0" t="n">
        <v>1497.6</v>
      </c>
      <c r="G294" s="0" t="s">
        <v>43</v>
      </c>
    </row>
    <row r="295" customFormat="false" ht="15" hidden="false" customHeight="false" outlineLevel="0" collapsed="false">
      <c r="A295" s="0" t="s">
        <v>341</v>
      </c>
      <c r="B295" s="6" t="n">
        <v>40403</v>
      </c>
      <c r="C295" s="0" t="n">
        <v>14153</v>
      </c>
      <c r="D295" s="0" t="s">
        <v>42</v>
      </c>
      <c r="E295" s="0" t="n">
        <v>17</v>
      </c>
      <c r="F295" s="0" t="n">
        <v>233.4</v>
      </c>
      <c r="G295" s="0" t="s">
        <v>43</v>
      </c>
    </row>
    <row r="296" customFormat="false" ht="15" hidden="false" customHeight="false" outlineLevel="0" collapsed="false">
      <c r="A296" s="0" t="s">
        <v>342</v>
      </c>
      <c r="B296" s="6" t="n">
        <v>40405</v>
      </c>
      <c r="C296" s="0" t="n">
        <v>16883</v>
      </c>
      <c r="D296" s="0" t="s">
        <v>42</v>
      </c>
      <c r="E296" s="0" t="n">
        <v>1</v>
      </c>
      <c r="F296" s="0" t="n">
        <v>7.95</v>
      </c>
      <c r="G296" s="0" t="s">
        <v>43</v>
      </c>
    </row>
    <row r="297" customFormat="false" ht="15" hidden="false" customHeight="false" outlineLevel="0" collapsed="false">
      <c r="A297" s="0" t="s">
        <v>343</v>
      </c>
      <c r="B297" s="6" t="n">
        <v>40405</v>
      </c>
      <c r="C297" s="0" t="n">
        <v>17299</v>
      </c>
      <c r="D297" s="0" t="s">
        <v>42</v>
      </c>
      <c r="E297" s="0" t="n">
        <v>39</v>
      </c>
      <c r="F297" s="0" t="n">
        <v>227.72</v>
      </c>
      <c r="G297" s="0" t="s">
        <v>43</v>
      </c>
    </row>
    <row r="298" customFormat="false" ht="15" hidden="false" customHeight="false" outlineLevel="0" collapsed="false">
      <c r="A298" s="0" t="s">
        <v>344</v>
      </c>
      <c r="B298" s="6" t="n">
        <v>40407</v>
      </c>
      <c r="C298" s="0" t="n">
        <v>13945</v>
      </c>
      <c r="D298" s="0" t="s">
        <v>42</v>
      </c>
      <c r="E298" s="0" t="n">
        <v>37</v>
      </c>
      <c r="F298" s="0" t="n">
        <v>515.65</v>
      </c>
      <c r="G298" s="0" t="s">
        <v>43</v>
      </c>
    </row>
    <row r="299" customFormat="false" ht="15" hidden="false" customHeight="false" outlineLevel="0" collapsed="false">
      <c r="A299" s="0" t="s">
        <v>345</v>
      </c>
      <c r="B299" s="6" t="n">
        <v>40410</v>
      </c>
      <c r="C299" s="0" t="n">
        <v>16562</v>
      </c>
      <c r="D299" s="0" t="s">
        <v>42</v>
      </c>
      <c r="E299" s="0" t="n">
        <v>34</v>
      </c>
      <c r="F299" s="0" t="n">
        <v>223.86</v>
      </c>
      <c r="G299" s="0" t="s">
        <v>43</v>
      </c>
    </row>
    <row r="300" customFormat="false" ht="15" hidden="false" customHeight="false" outlineLevel="0" collapsed="false">
      <c r="A300" s="0" t="s">
        <v>346</v>
      </c>
      <c r="B300" s="6" t="n">
        <v>40410</v>
      </c>
      <c r="C300" s="0" t="n">
        <v>15124</v>
      </c>
      <c r="D300" s="0" t="s">
        <v>42</v>
      </c>
      <c r="E300" s="0" t="n">
        <v>9</v>
      </c>
      <c r="F300" s="0" t="n">
        <v>132.6</v>
      </c>
      <c r="G300" s="0" t="s">
        <v>43</v>
      </c>
    </row>
    <row r="301" customFormat="false" ht="15" hidden="false" customHeight="false" outlineLevel="0" collapsed="false">
      <c r="A301" s="0" t="s">
        <v>347</v>
      </c>
      <c r="B301" s="6" t="n">
        <v>40410</v>
      </c>
      <c r="C301" s="0" t="n">
        <v>14243</v>
      </c>
      <c r="D301" s="0" t="s">
        <v>42</v>
      </c>
      <c r="E301" s="0" t="n">
        <v>110</v>
      </c>
      <c r="F301" s="0" t="n">
        <v>2560.4</v>
      </c>
      <c r="G301" s="0" t="s">
        <v>43</v>
      </c>
    </row>
    <row r="302" customFormat="false" ht="15" hidden="false" customHeight="false" outlineLevel="0" collapsed="false">
      <c r="A302" s="0" t="s">
        <v>348</v>
      </c>
      <c r="B302" s="6" t="n">
        <v>40410</v>
      </c>
      <c r="C302" s="0" t="n">
        <v>16234</v>
      </c>
      <c r="D302" s="0" t="s">
        <v>42</v>
      </c>
      <c r="E302" s="0" t="n">
        <v>7</v>
      </c>
      <c r="F302" s="0" t="n">
        <v>136.32</v>
      </c>
      <c r="G302" s="0" t="s">
        <v>43</v>
      </c>
    </row>
    <row r="303" customFormat="false" ht="15" hidden="false" customHeight="false" outlineLevel="0" collapsed="false">
      <c r="A303" s="0" t="s">
        <v>349</v>
      </c>
      <c r="B303" s="6" t="n">
        <v>40413</v>
      </c>
      <c r="C303" s="0" t="n">
        <v>17508</v>
      </c>
      <c r="D303" s="0" t="s">
        <v>72</v>
      </c>
      <c r="E303" s="0" t="n">
        <v>33</v>
      </c>
      <c r="F303" s="0" t="n">
        <v>721.71</v>
      </c>
      <c r="G303" s="0" t="s">
        <v>43</v>
      </c>
    </row>
    <row r="304" customFormat="false" ht="15" hidden="false" customHeight="false" outlineLevel="0" collapsed="false">
      <c r="A304" s="0" t="s">
        <v>350</v>
      </c>
      <c r="B304" s="6" t="n">
        <v>40413</v>
      </c>
      <c r="C304" s="0" t="n">
        <v>16234</v>
      </c>
      <c r="D304" s="0" t="s">
        <v>42</v>
      </c>
      <c r="E304" s="0" t="n">
        <v>1</v>
      </c>
      <c r="F304" s="0" t="n">
        <v>-20.4</v>
      </c>
      <c r="G304" s="0" t="s">
        <v>65</v>
      </c>
    </row>
    <row r="305" customFormat="false" ht="15" hidden="false" customHeight="false" outlineLevel="0" collapsed="false">
      <c r="A305" s="0" t="s">
        <v>351</v>
      </c>
      <c r="B305" s="6" t="n">
        <v>40413</v>
      </c>
      <c r="C305" s="0" t="n">
        <v>18223</v>
      </c>
      <c r="D305" s="0" t="s">
        <v>42</v>
      </c>
      <c r="E305" s="0" t="n">
        <v>19</v>
      </c>
      <c r="F305" s="0" t="n">
        <v>379.93</v>
      </c>
      <c r="G305" s="0" t="s">
        <v>43</v>
      </c>
    </row>
    <row r="306" customFormat="false" ht="15" hidden="false" customHeight="false" outlineLevel="0" collapsed="false">
      <c r="A306" s="0" t="s">
        <v>352</v>
      </c>
      <c r="B306" s="6" t="n">
        <v>40413</v>
      </c>
      <c r="C306" s="0" t="n">
        <v>12997</v>
      </c>
      <c r="D306" s="0" t="s">
        <v>42</v>
      </c>
      <c r="E306" s="0" t="n">
        <v>18</v>
      </c>
      <c r="F306" s="0" t="n">
        <v>303.78</v>
      </c>
      <c r="G306" s="0" t="s">
        <v>43</v>
      </c>
    </row>
    <row r="307" customFormat="false" ht="15" hidden="false" customHeight="false" outlineLevel="0" collapsed="false">
      <c r="A307" s="0" t="s">
        <v>353</v>
      </c>
      <c r="B307" s="6" t="n">
        <v>40414</v>
      </c>
      <c r="C307" s="0" t="n">
        <v>12765</v>
      </c>
      <c r="D307" s="0" t="s">
        <v>106</v>
      </c>
      <c r="E307" s="0" t="n">
        <v>13</v>
      </c>
      <c r="F307" s="0" t="n">
        <v>294</v>
      </c>
      <c r="G307" s="0" t="s">
        <v>43</v>
      </c>
    </row>
    <row r="308" customFormat="false" ht="15" hidden="false" customHeight="false" outlineLevel="0" collapsed="false">
      <c r="A308" s="0" t="s">
        <v>354</v>
      </c>
      <c r="B308" s="6" t="n">
        <v>40415</v>
      </c>
      <c r="C308" s="0" t="n">
        <v>17949</v>
      </c>
      <c r="D308" s="0" t="s">
        <v>42</v>
      </c>
      <c r="E308" s="0" t="n">
        <v>1</v>
      </c>
      <c r="F308" s="0" t="n">
        <v>362.88</v>
      </c>
      <c r="G308" s="0" t="s">
        <v>43</v>
      </c>
    </row>
    <row r="309" customFormat="false" ht="15" hidden="false" customHeight="false" outlineLevel="0" collapsed="false">
      <c r="A309" s="0" t="s">
        <v>355</v>
      </c>
      <c r="B309" s="6" t="n">
        <v>40415</v>
      </c>
      <c r="C309" s="0" t="n">
        <v>12875</v>
      </c>
      <c r="D309" s="0" t="s">
        <v>42</v>
      </c>
      <c r="E309" s="0" t="n">
        <v>2</v>
      </c>
      <c r="F309" s="0" t="n">
        <v>354.24</v>
      </c>
      <c r="G309" s="0" t="s">
        <v>43</v>
      </c>
    </row>
    <row r="310" customFormat="false" ht="15" hidden="false" customHeight="false" outlineLevel="0" collapsed="false">
      <c r="A310" s="0" t="s">
        <v>356</v>
      </c>
      <c r="B310" s="6" t="n">
        <v>40415</v>
      </c>
      <c r="C310" s="0" t="n">
        <v>16950</v>
      </c>
      <c r="D310" s="0" t="s">
        <v>42</v>
      </c>
      <c r="E310" s="0" t="n">
        <v>19</v>
      </c>
      <c r="F310" s="0" t="n">
        <v>428.09</v>
      </c>
      <c r="G310" s="0" t="s">
        <v>43</v>
      </c>
    </row>
    <row r="311" customFormat="false" ht="15" hidden="false" customHeight="false" outlineLevel="0" collapsed="false">
      <c r="A311" s="0" t="s">
        <v>357</v>
      </c>
      <c r="B311" s="6" t="n">
        <v>40419</v>
      </c>
      <c r="C311" s="0" t="n">
        <v>15430</v>
      </c>
      <c r="D311" s="0" t="s">
        <v>42</v>
      </c>
      <c r="E311" s="0" t="n">
        <v>3</v>
      </c>
      <c r="F311" s="0" t="n">
        <v>118</v>
      </c>
      <c r="G311" s="0" t="s">
        <v>43</v>
      </c>
    </row>
    <row r="312" customFormat="false" ht="15" hidden="false" customHeight="false" outlineLevel="0" collapsed="false">
      <c r="A312" s="0" t="s">
        <v>358</v>
      </c>
      <c r="B312" s="6" t="n">
        <v>40421</v>
      </c>
      <c r="C312" s="0" t="n">
        <v>17126</v>
      </c>
      <c r="D312" s="0" t="s">
        <v>42</v>
      </c>
      <c r="E312" s="0" t="n">
        <v>41</v>
      </c>
      <c r="F312" s="0" t="n">
        <v>282.05</v>
      </c>
      <c r="G312" s="0" t="s">
        <v>43</v>
      </c>
    </row>
    <row r="313" customFormat="false" ht="15" hidden="false" customHeight="false" outlineLevel="0" collapsed="false">
      <c r="A313" s="0" t="s">
        <v>359</v>
      </c>
      <c r="B313" s="6" t="n">
        <v>40421</v>
      </c>
      <c r="C313" s="0" t="n">
        <v>14543</v>
      </c>
      <c r="D313" s="0" t="s">
        <v>42</v>
      </c>
      <c r="E313" s="0" t="n">
        <v>11</v>
      </c>
      <c r="F313" s="0" t="n">
        <v>874.89</v>
      </c>
      <c r="G313" s="0" t="s">
        <v>43</v>
      </c>
    </row>
    <row r="314" customFormat="false" ht="15" hidden="false" customHeight="false" outlineLevel="0" collapsed="false">
      <c r="A314" s="0" t="s">
        <v>360</v>
      </c>
      <c r="B314" s="6" t="n">
        <v>40422</v>
      </c>
      <c r="C314" s="0" t="n">
        <v>18223</v>
      </c>
      <c r="D314" s="0" t="s">
        <v>42</v>
      </c>
      <c r="E314" s="0" t="n">
        <v>2</v>
      </c>
      <c r="F314" s="0" t="n">
        <v>-2.8</v>
      </c>
      <c r="G314" s="0" t="s">
        <v>65</v>
      </c>
    </row>
    <row r="315" customFormat="false" ht="15" hidden="false" customHeight="false" outlineLevel="0" collapsed="false">
      <c r="A315" s="0" t="s">
        <v>361</v>
      </c>
      <c r="B315" s="6" t="n">
        <v>40422</v>
      </c>
      <c r="C315" s="0" t="n">
        <v>12997</v>
      </c>
      <c r="D315" s="0" t="s">
        <v>42</v>
      </c>
      <c r="E315" s="0" t="n">
        <v>1</v>
      </c>
      <c r="F315" s="0" t="n">
        <v>-2.5</v>
      </c>
      <c r="G315" s="0" t="s">
        <v>65</v>
      </c>
    </row>
    <row r="316" customFormat="false" ht="15" hidden="false" customHeight="false" outlineLevel="0" collapsed="false">
      <c r="A316" s="0" t="s">
        <v>362</v>
      </c>
      <c r="B316" s="6" t="n">
        <v>40423</v>
      </c>
      <c r="C316" s="0" t="n">
        <v>15191</v>
      </c>
      <c r="D316" s="0" t="s">
        <v>42</v>
      </c>
      <c r="E316" s="0" t="n">
        <v>14</v>
      </c>
      <c r="F316" s="0" t="n">
        <v>245.3</v>
      </c>
      <c r="G316" s="0" t="s">
        <v>43</v>
      </c>
    </row>
    <row r="317" customFormat="false" ht="15" hidden="false" customHeight="false" outlineLevel="0" collapsed="false">
      <c r="A317" s="0" t="s">
        <v>363</v>
      </c>
      <c r="B317" s="6" t="n">
        <v>40423</v>
      </c>
      <c r="C317" s="0" t="n">
        <v>14908</v>
      </c>
      <c r="D317" s="0" t="s">
        <v>42</v>
      </c>
      <c r="E317" s="0" t="n">
        <v>5</v>
      </c>
      <c r="F317" s="0" t="n">
        <v>104.1</v>
      </c>
      <c r="G317" s="0" t="s">
        <v>43</v>
      </c>
    </row>
    <row r="318" customFormat="false" ht="15" hidden="false" customHeight="false" outlineLevel="0" collapsed="false">
      <c r="A318" s="0" t="s">
        <v>364</v>
      </c>
      <c r="B318" s="6" t="n">
        <v>40424</v>
      </c>
      <c r="C318" s="0" t="n">
        <v>17949</v>
      </c>
      <c r="D318" s="0" t="s">
        <v>42</v>
      </c>
      <c r="E318" s="0" t="n">
        <v>1</v>
      </c>
      <c r="F318" s="0" t="n">
        <v>788.4</v>
      </c>
      <c r="G318" s="0" t="s">
        <v>43</v>
      </c>
    </row>
    <row r="319" customFormat="false" ht="15" hidden="false" customHeight="false" outlineLevel="0" collapsed="false">
      <c r="A319" s="0" t="s">
        <v>365</v>
      </c>
      <c r="B319" s="6" t="n">
        <v>40433</v>
      </c>
      <c r="C319" s="0" t="n">
        <v>14243</v>
      </c>
      <c r="D319" s="0" t="s">
        <v>42</v>
      </c>
      <c r="E319" s="0" t="n">
        <v>20</v>
      </c>
      <c r="F319" s="0" t="n">
        <v>349.28</v>
      </c>
      <c r="G319" s="0" t="s">
        <v>43</v>
      </c>
    </row>
    <row r="320" customFormat="false" ht="15" hidden="false" customHeight="false" outlineLevel="0" collapsed="false">
      <c r="A320" s="0" t="s">
        <v>366</v>
      </c>
      <c r="B320" s="6" t="n">
        <v>40436</v>
      </c>
      <c r="C320" s="0" t="n">
        <v>16589</v>
      </c>
      <c r="D320" s="0" t="s">
        <v>42</v>
      </c>
      <c r="E320" s="0" t="n">
        <v>11</v>
      </c>
      <c r="F320" s="0" t="n">
        <v>153.12</v>
      </c>
      <c r="G320" s="0" t="s">
        <v>43</v>
      </c>
    </row>
    <row r="321" customFormat="false" ht="15" hidden="false" customHeight="false" outlineLevel="0" collapsed="false">
      <c r="A321" s="0" t="s">
        <v>367</v>
      </c>
      <c r="B321" s="6" t="n">
        <v>40438</v>
      </c>
      <c r="C321" s="0" t="n">
        <v>15514</v>
      </c>
      <c r="D321" s="0" t="s">
        <v>42</v>
      </c>
      <c r="E321" s="0" t="n">
        <v>28</v>
      </c>
      <c r="F321" s="0" t="n">
        <v>308.19</v>
      </c>
      <c r="G321" s="0" t="s">
        <v>43</v>
      </c>
    </row>
    <row r="322" customFormat="false" ht="15" hidden="false" customHeight="false" outlineLevel="0" collapsed="false">
      <c r="A322" s="0" t="s">
        <v>368</v>
      </c>
      <c r="B322" s="6" t="n">
        <v>40438</v>
      </c>
      <c r="C322" s="0" t="n">
        <v>17949</v>
      </c>
      <c r="D322" s="0" t="s">
        <v>42</v>
      </c>
      <c r="E322" s="0" t="n">
        <v>1</v>
      </c>
      <c r="F322" s="0" t="n">
        <v>26.4</v>
      </c>
      <c r="G322" s="0" t="s">
        <v>43</v>
      </c>
    </row>
    <row r="323" customFormat="false" ht="15" hidden="false" customHeight="false" outlineLevel="0" collapsed="false">
      <c r="A323" s="0" t="s">
        <v>369</v>
      </c>
      <c r="B323" s="6" t="n">
        <v>40438</v>
      </c>
      <c r="C323" s="0" t="n">
        <v>17949</v>
      </c>
      <c r="D323" s="0" t="s">
        <v>42</v>
      </c>
      <c r="E323" s="0" t="n">
        <v>1</v>
      </c>
      <c r="F323" s="0" t="n">
        <v>1512</v>
      </c>
      <c r="G323" s="0" t="s">
        <v>43</v>
      </c>
    </row>
    <row r="324" customFormat="false" ht="15" hidden="false" customHeight="false" outlineLevel="0" collapsed="false">
      <c r="A324" s="0" t="s">
        <v>370</v>
      </c>
      <c r="B324" s="6" t="n">
        <v>40438</v>
      </c>
      <c r="C324" s="0" t="n">
        <v>17949</v>
      </c>
      <c r="D324" s="0" t="s">
        <v>42</v>
      </c>
      <c r="E324" s="0" t="n">
        <v>1</v>
      </c>
      <c r="F324" s="0" t="n">
        <v>306</v>
      </c>
      <c r="G324" s="0" t="s">
        <v>43</v>
      </c>
    </row>
    <row r="325" customFormat="false" ht="15" hidden="false" customHeight="false" outlineLevel="0" collapsed="false">
      <c r="A325" s="0" t="s">
        <v>371</v>
      </c>
      <c r="B325" s="6" t="n">
        <v>40441</v>
      </c>
      <c r="C325" s="0" t="n">
        <v>17949</v>
      </c>
      <c r="D325" s="0" t="s">
        <v>42</v>
      </c>
      <c r="E325" s="0" t="n">
        <v>3</v>
      </c>
      <c r="F325" s="0" t="n">
        <v>108.6</v>
      </c>
      <c r="G325" s="0" t="s">
        <v>43</v>
      </c>
    </row>
    <row r="326" customFormat="false" ht="15" hidden="false" customHeight="false" outlineLevel="0" collapsed="false">
      <c r="A326" s="0" t="s">
        <v>372</v>
      </c>
      <c r="B326" s="6" t="n">
        <v>40442</v>
      </c>
      <c r="C326" s="0" t="n">
        <v>14227</v>
      </c>
      <c r="D326" s="0" t="s">
        <v>42</v>
      </c>
      <c r="E326" s="0" t="n">
        <v>33</v>
      </c>
      <c r="F326" s="0" t="n">
        <v>581.45</v>
      </c>
      <c r="G326" s="0" t="s">
        <v>43</v>
      </c>
    </row>
    <row r="327" customFormat="false" ht="15" hidden="false" customHeight="false" outlineLevel="0" collapsed="false">
      <c r="A327" s="0" t="s">
        <v>373</v>
      </c>
      <c r="B327" s="6" t="n">
        <v>40442</v>
      </c>
      <c r="C327" s="0" t="n">
        <v>15032</v>
      </c>
      <c r="D327" s="0" t="s">
        <v>42</v>
      </c>
      <c r="E327" s="0" t="n">
        <v>9</v>
      </c>
      <c r="F327" s="0" t="n">
        <v>1980</v>
      </c>
      <c r="G327" s="0" t="s">
        <v>43</v>
      </c>
    </row>
    <row r="328" customFormat="false" ht="15" hidden="false" customHeight="false" outlineLevel="0" collapsed="false">
      <c r="A328" s="0" t="s">
        <v>374</v>
      </c>
      <c r="B328" s="6" t="n">
        <v>40442</v>
      </c>
      <c r="C328" s="0" t="n">
        <v>18223</v>
      </c>
      <c r="D328" s="0" t="s">
        <v>42</v>
      </c>
      <c r="E328" s="0" t="n">
        <v>5</v>
      </c>
      <c r="F328" s="0" t="n">
        <v>-56.1</v>
      </c>
      <c r="G328" s="0" t="s">
        <v>65</v>
      </c>
    </row>
    <row r="329" customFormat="false" ht="15" hidden="false" customHeight="false" outlineLevel="0" collapsed="false">
      <c r="A329" s="0" t="s">
        <v>375</v>
      </c>
      <c r="B329" s="6" t="n">
        <v>40443</v>
      </c>
      <c r="C329" s="0" t="n">
        <v>17002</v>
      </c>
      <c r="D329" s="0" t="s">
        <v>42</v>
      </c>
      <c r="E329" s="0" t="n">
        <v>15</v>
      </c>
      <c r="F329" s="0" t="n">
        <v>643.86</v>
      </c>
      <c r="G329" s="0" t="s">
        <v>43</v>
      </c>
    </row>
    <row r="330" customFormat="false" ht="15" hidden="false" customHeight="false" outlineLevel="0" collapsed="false">
      <c r="A330" s="0" t="s">
        <v>376</v>
      </c>
      <c r="B330" s="6" t="n">
        <v>40443</v>
      </c>
      <c r="C330" s="0" t="n">
        <v>14894</v>
      </c>
      <c r="D330" s="0" t="s">
        <v>42</v>
      </c>
      <c r="E330" s="0" t="n">
        <v>20</v>
      </c>
      <c r="F330" s="0" t="n">
        <v>537.36</v>
      </c>
      <c r="G330" s="0" t="s">
        <v>43</v>
      </c>
    </row>
    <row r="331" customFormat="false" ht="15" hidden="false" customHeight="false" outlineLevel="0" collapsed="false">
      <c r="A331" s="0" t="s">
        <v>377</v>
      </c>
      <c r="B331" s="6" t="n">
        <v>40443</v>
      </c>
      <c r="C331" s="0" t="n">
        <v>17949</v>
      </c>
      <c r="D331" s="0" t="s">
        <v>42</v>
      </c>
      <c r="E331" s="0" t="n">
        <v>1</v>
      </c>
      <c r="F331" s="0" t="n">
        <v>1088.64</v>
      </c>
      <c r="G331" s="0" t="s">
        <v>43</v>
      </c>
    </row>
    <row r="332" customFormat="false" ht="15" hidden="false" customHeight="false" outlineLevel="0" collapsed="false">
      <c r="A332" s="0" t="s">
        <v>378</v>
      </c>
      <c r="B332" s="6" t="n">
        <v>40443</v>
      </c>
      <c r="C332" s="0" t="n">
        <v>17949</v>
      </c>
      <c r="D332" s="0" t="s">
        <v>42</v>
      </c>
      <c r="E332" s="0" t="n">
        <v>2</v>
      </c>
      <c r="F332" s="0" t="n">
        <v>1101.6</v>
      </c>
      <c r="G332" s="0" t="s">
        <v>43</v>
      </c>
    </row>
    <row r="333" customFormat="false" ht="15" hidden="false" customHeight="false" outlineLevel="0" collapsed="false">
      <c r="A333" s="0" t="s">
        <v>379</v>
      </c>
      <c r="B333" s="6" t="n">
        <v>40443</v>
      </c>
      <c r="C333" s="0" t="n">
        <v>17949</v>
      </c>
      <c r="D333" s="0" t="s">
        <v>42</v>
      </c>
      <c r="E333" s="0" t="n">
        <v>1</v>
      </c>
      <c r="F333" s="0" t="n">
        <v>1576.8</v>
      </c>
      <c r="G333" s="0" t="s">
        <v>43</v>
      </c>
    </row>
    <row r="334" customFormat="false" ht="15" hidden="false" customHeight="false" outlineLevel="0" collapsed="false">
      <c r="A334" s="0" t="s">
        <v>380</v>
      </c>
      <c r="B334" s="6" t="n">
        <v>40445</v>
      </c>
      <c r="C334" s="0" t="n">
        <v>16692</v>
      </c>
      <c r="D334" s="0" t="s">
        <v>42</v>
      </c>
      <c r="E334" s="0" t="n">
        <v>1</v>
      </c>
      <c r="F334" s="0" t="n">
        <v>571.2</v>
      </c>
      <c r="G334" s="0" t="s">
        <v>43</v>
      </c>
    </row>
    <row r="335" customFormat="false" ht="15" hidden="false" customHeight="false" outlineLevel="0" collapsed="false">
      <c r="A335" s="0" t="s">
        <v>381</v>
      </c>
      <c r="B335" s="6" t="n">
        <v>40447</v>
      </c>
      <c r="C335" s="0" t="n">
        <v>17299</v>
      </c>
      <c r="D335" s="0" t="s">
        <v>42</v>
      </c>
      <c r="E335" s="0" t="n">
        <v>24</v>
      </c>
      <c r="F335" s="0" t="n">
        <v>119.25</v>
      </c>
      <c r="G335" s="0" t="s">
        <v>43</v>
      </c>
    </row>
    <row r="336" customFormat="false" ht="15" hidden="false" customHeight="false" outlineLevel="0" collapsed="false">
      <c r="A336" s="0" t="s">
        <v>382</v>
      </c>
      <c r="B336" s="6" t="n">
        <v>40448</v>
      </c>
      <c r="C336" s="0" t="n">
        <v>17949</v>
      </c>
      <c r="D336" s="0" t="s">
        <v>42</v>
      </c>
      <c r="E336" s="0" t="n">
        <v>1</v>
      </c>
      <c r="F336" s="0" t="n">
        <v>282.24</v>
      </c>
      <c r="G336" s="0" t="s">
        <v>43</v>
      </c>
    </row>
    <row r="337" customFormat="false" ht="15" hidden="false" customHeight="false" outlineLevel="0" collapsed="false">
      <c r="A337" s="0" t="s">
        <v>383</v>
      </c>
      <c r="B337" s="6" t="n">
        <v>40449</v>
      </c>
      <c r="C337" s="0" t="n">
        <v>14243</v>
      </c>
      <c r="D337" s="0" t="s">
        <v>42</v>
      </c>
      <c r="E337" s="0" t="n">
        <v>10</v>
      </c>
      <c r="F337" s="0" t="n">
        <v>194.5</v>
      </c>
      <c r="G337" s="0" t="s">
        <v>43</v>
      </c>
    </row>
    <row r="338" customFormat="false" ht="15" hidden="false" customHeight="false" outlineLevel="0" collapsed="false">
      <c r="A338" s="0" t="s">
        <v>384</v>
      </c>
      <c r="B338" s="6" t="n">
        <v>40450</v>
      </c>
      <c r="C338" s="0" t="n">
        <v>14543</v>
      </c>
      <c r="D338" s="0" t="s">
        <v>42</v>
      </c>
      <c r="E338" s="0" t="n">
        <v>10</v>
      </c>
      <c r="F338" s="0" t="n">
        <v>704.85</v>
      </c>
      <c r="G338" s="0" t="s">
        <v>43</v>
      </c>
    </row>
    <row r="339" customFormat="false" ht="15" hidden="false" customHeight="false" outlineLevel="0" collapsed="false">
      <c r="A339" s="0" t="s">
        <v>385</v>
      </c>
      <c r="B339" s="6" t="n">
        <v>40451</v>
      </c>
      <c r="C339" s="0" t="n">
        <v>14543</v>
      </c>
      <c r="D339" s="0" t="s">
        <v>42</v>
      </c>
      <c r="E339" s="0" t="n">
        <v>7</v>
      </c>
      <c r="F339" s="0" t="n">
        <v>-84</v>
      </c>
      <c r="G339" s="0" t="s">
        <v>65</v>
      </c>
    </row>
    <row r="340" customFormat="false" ht="15" hidden="false" customHeight="false" outlineLevel="0" collapsed="false">
      <c r="A340" s="0" t="s">
        <v>386</v>
      </c>
      <c r="B340" s="6" t="n">
        <v>40451</v>
      </c>
      <c r="C340" s="0" t="n">
        <v>17581</v>
      </c>
      <c r="D340" s="0" t="s">
        <v>42</v>
      </c>
      <c r="E340" s="0" t="n">
        <v>65</v>
      </c>
      <c r="F340" s="0" t="n">
        <v>1233.61</v>
      </c>
      <c r="G340" s="0" t="s">
        <v>43</v>
      </c>
    </row>
    <row r="341" customFormat="false" ht="15" hidden="false" customHeight="false" outlineLevel="0" collapsed="false">
      <c r="A341" s="0" t="s">
        <v>387</v>
      </c>
      <c r="B341" s="6" t="n">
        <v>40451</v>
      </c>
      <c r="C341" s="0" t="n">
        <v>16907</v>
      </c>
      <c r="D341" s="0" t="s">
        <v>42</v>
      </c>
      <c r="E341" s="0" t="n">
        <v>18</v>
      </c>
      <c r="F341" s="0" t="n">
        <v>156.1</v>
      </c>
      <c r="G341" s="0" t="s">
        <v>43</v>
      </c>
    </row>
    <row r="342" customFormat="false" ht="15" hidden="false" customHeight="false" outlineLevel="0" collapsed="false">
      <c r="A342" s="0" t="s">
        <v>388</v>
      </c>
      <c r="B342" s="6" t="n">
        <v>40454</v>
      </c>
      <c r="C342" s="0" t="n">
        <v>17126</v>
      </c>
      <c r="D342" s="0" t="s">
        <v>42</v>
      </c>
      <c r="E342" s="0" t="n">
        <v>92</v>
      </c>
      <c r="F342" s="0" t="n">
        <v>349.74</v>
      </c>
      <c r="G342" s="0" t="s">
        <v>43</v>
      </c>
    </row>
    <row r="343" customFormat="false" ht="15" hidden="false" customHeight="false" outlineLevel="0" collapsed="false">
      <c r="A343" s="0" t="s">
        <v>389</v>
      </c>
      <c r="B343" s="6" t="n">
        <v>40456</v>
      </c>
      <c r="C343" s="0" t="n">
        <v>15241</v>
      </c>
      <c r="D343" s="0" t="s">
        <v>42</v>
      </c>
      <c r="E343" s="0" t="n">
        <v>21</v>
      </c>
      <c r="F343" s="0" t="n">
        <v>445.46</v>
      </c>
      <c r="G343" s="0" t="s">
        <v>43</v>
      </c>
    </row>
    <row r="344" customFormat="false" ht="15" hidden="false" customHeight="false" outlineLevel="0" collapsed="false">
      <c r="A344" s="0" t="s">
        <v>390</v>
      </c>
      <c r="B344" s="6" t="n">
        <v>40458</v>
      </c>
      <c r="C344" s="0" t="n">
        <v>13382</v>
      </c>
      <c r="D344" s="0" t="s">
        <v>42</v>
      </c>
      <c r="E344" s="0" t="n">
        <v>31</v>
      </c>
      <c r="F344" s="0" t="n">
        <v>508.94</v>
      </c>
      <c r="G344" s="0" t="s">
        <v>43</v>
      </c>
    </row>
    <row r="345" customFormat="false" ht="15" hidden="false" customHeight="false" outlineLevel="0" collapsed="false">
      <c r="A345" s="0" t="s">
        <v>391</v>
      </c>
      <c r="B345" s="6" t="n">
        <v>40458</v>
      </c>
      <c r="C345" s="0" t="n">
        <v>14243</v>
      </c>
      <c r="D345" s="0" t="s">
        <v>42</v>
      </c>
      <c r="E345" s="0" t="n">
        <v>3</v>
      </c>
      <c r="F345" s="0" t="n">
        <v>-7.85</v>
      </c>
      <c r="G345" s="0" t="s">
        <v>65</v>
      </c>
    </row>
    <row r="346" customFormat="false" ht="15" hidden="false" customHeight="false" outlineLevel="0" collapsed="false">
      <c r="A346" s="0" t="s">
        <v>392</v>
      </c>
      <c r="B346" s="6" t="n">
        <v>40458</v>
      </c>
      <c r="C346" s="0" t="n">
        <v>12393</v>
      </c>
      <c r="D346" s="0" t="s">
        <v>393</v>
      </c>
      <c r="E346" s="0" t="n">
        <v>16</v>
      </c>
      <c r="F346" s="0" t="n">
        <v>303.8</v>
      </c>
      <c r="G346" s="0" t="s">
        <v>43</v>
      </c>
    </row>
    <row r="347" customFormat="false" ht="15" hidden="false" customHeight="false" outlineLevel="0" collapsed="false">
      <c r="A347" s="0" t="s">
        <v>394</v>
      </c>
      <c r="B347" s="6" t="n">
        <v>40458</v>
      </c>
      <c r="C347" s="0" t="n">
        <v>18223</v>
      </c>
      <c r="D347" s="0" t="s">
        <v>42</v>
      </c>
      <c r="E347" s="0" t="n">
        <v>42</v>
      </c>
      <c r="F347" s="0" t="n">
        <v>1115.87</v>
      </c>
      <c r="G347" s="0" t="s">
        <v>43</v>
      </c>
    </row>
    <row r="348" customFormat="false" ht="15" hidden="false" customHeight="false" outlineLevel="0" collapsed="false">
      <c r="A348" s="0" t="s">
        <v>395</v>
      </c>
      <c r="B348" s="6" t="n">
        <v>40458</v>
      </c>
      <c r="C348" s="0" t="n">
        <v>16059</v>
      </c>
      <c r="D348" s="0" t="s">
        <v>42</v>
      </c>
      <c r="E348" s="0" t="n">
        <v>45</v>
      </c>
      <c r="F348" s="0" t="n">
        <v>524.15</v>
      </c>
      <c r="G348" s="0" t="s">
        <v>43</v>
      </c>
    </row>
    <row r="349" customFormat="false" ht="15" hidden="false" customHeight="false" outlineLevel="0" collapsed="false">
      <c r="A349" s="0" t="s">
        <v>396</v>
      </c>
      <c r="B349" s="6" t="n">
        <v>40459</v>
      </c>
      <c r="C349" s="0" t="n">
        <v>14243</v>
      </c>
      <c r="D349" s="0" t="s">
        <v>42</v>
      </c>
      <c r="E349" s="0" t="n">
        <v>24</v>
      </c>
      <c r="F349" s="0" t="n">
        <v>498.05</v>
      </c>
      <c r="G349" s="0" t="s">
        <v>43</v>
      </c>
    </row>
    <row r="350" customFormat="false" ht="15" hidden="false" customHeight="false" outlineLevel="0" collapsed="false">
      <c r="A350" s="0" t="s">
        <v>397</v>
      </c>
      <c r="B350" s="6" t="n">
        <v>40459</v>
      </c>
      <c r="C350" s="0" t="n">
        <v>18095</v>
      </c>
      <c r="D350" s="0" t="s">
        <v>42</v>
      </c>
      <c r="E350" s="0" t="n">
        <v>7</v>
      </c>
      <c r="F350" s="0" t="n">
        <v>295.68</v>
      </c>
      <c r="G350" s="0" t="s">
        <v>43</v>
      </c>
    </row>
    <row r="351" customFormat="false" ht="15" hidden="false" customHeight="false" outlineLevel="0" collapsed="false">
      <c r="A351" s="0" t="s">
        <v>398</v>
      </c>
      <c r="B351" s="6" t="n">
        <v>40459</v>
      </c>
      <c r="C351" s="0" t="n">
        <v>14846</v>
      </c>
      <c r="D351" s="0" t="s">
        <v>42</v>
      </c>
      <c r="E351" s="0" t="n">
        <v>12</v>
      </c>
      <c r="F351" s="0" t="n">
        <v>437.4</v>
      </c>
      <c r="G351" s="0" t="s">
        <v>43</v>
      </c>
    </row>
    <row r="352" customFormat="false" ht="15" hidden="false" customHeight="false" outlineLevel="0" collapsed="false">
      <c r="A352" s="0" t="s">
        <v>399</v>
      </c>
      <c r="B352" s="6" t="n">
        <v>40463</v>
      </c>
      <c r="C352" s="0" t="n">
        <v>14243</v>
      </c>
      <c r="D352" s="0" t="s">
        <v>42</v>
      </c>
      <c r="E352" s="0" t="n">
        <v>1</v>
      </c>
      <c r="F352" s="0" t="n">
        <v>-4.95</v>
      </c>
      <c r="G352" s="0" t="s">
        <v>65</v>
      </c>
    </row>
    <row r="353" customFormat="false" ht="15" hidden="false" customHeight="false" outlineLevel="0" collapsed="false">
      <c r="A353" s="0" t="s">
        <v>400</v>
      </c>
      <c r="B353" s="6" t="n">
        <v>40463</v>
      </c>
      <c r="C353" s="0" t="n">
        <v>14846</v>
      </c>
      <c r="D353" s="0" t="s">
        <v>42</v>
      </c>
      <c r="E353" s="0" t="n">
        <v>1</v>
      </c>
      <c r="F353" s="0" t="n">
        <v>-30.6</v>
      </c>
      <c r="G353" s="0" t="s">
        <v>65</v>
      </c>
    </row>
    <row r="354" customFormat="false" ht="15" hidden="false" customHeight="false" outlineLevel="0" collapsed="false">
      <c r="A354" s="0" t="s">
        <v>401</v>
      </c>
      <c r="B354" s="6" t="n">
        <v>40464</v>
      </c>
      <c r="C354" s="0" t="n">
        <v>17182</v>
      </c>
      <c r="D354" s="0" t="s">
        <v>42</v>
      </c>
      <c r="E354" s="0" t="n">
        <v>4</v>
      </c>
      <c r="F354" s="0" t="n">
        <v>142.8</v>
      </c>
      <c r="G354" s="0" t="s">
        <v>43</v>
      </c>
    </row>
    <row r="355" customFormat="false" ht="15" hidden="false" customHeight="false" outlineLevel="0" collapsed="false">
      <c r="A355" s="0" t="s">
        <v>402</v>
      </c>
      <c r="B355" s="6" t="n">
        <v>40464</v>
      </c>
      <c r="C355" s="0" t="n">
        <v>15203</v>
      </c>
      <c r="D355" s="0" t="s">
        <v>42</v>
      </c>
      <c r="E355" s="0" t="n">
        <v>25</v>
      </c>
      <c r="F355" s="0" t="n">
        <v>290.93</v>
      </c>
      <c r="G355" s="0" t="s">
        <v>43</v>
      </c>
    </row>
    <row r="356" customFormat="false" ht="15" hidden="false" customHeight="false" outlineLevel="0" collapsed="false">
      <c r="A356" s="0" t="s">
        <v>403</v>
      </c>
      <c r="B356" s="6" t="n">
        <v>40464</v>
      </c>
      <c r="C356" s="0" t="n">
        <v>15032</v>
      </c>
      <c r="D356" s="0" t="s">
        <v>42</v>
      </c>
      <c r="E356" s="0" t="n">
        <v>15</v>
      </c>
      <c r="F356" s="0" t="n">
        <v>1287</v>
      </c>
      <c r="G356" s="0" t="s">
        <v>43</v>
      </c>
    </row>
    <row r="357" customFormat="false" ht="15" hidden="false" customHeight="false" outlineLevel="0" collapsed="false">
      <c r="A357" s="0" t="s">
        <v>404</v>
      </c>
      <c r="B357" s="6" t="n">
        <v>40466</v>
      </c>
      <c r="C357" s="0" t="n">
        <v>13233</v>
      </c>
      <c r="D357" s="0" t="s">
        <v>42</v>
      </c>
      <c r="E357" s="0" t="n">
        <v>16</v>
      </c>
      <c r="F357" s="0" t="n">
        <v>280.71</v>
      </c>
      <c r="G357" s="0" t="s">
        <v>43</v>
      </c>
    </row>
    <row r="358" customFormat="false" ht="15" hidden="false" customHeight="false" outlineLevel="0" collapsed="false">
      <c r="A358" s="0" t="s">
        <v>405</v>
      </c>
      <c r="B358" s="6" t="n">
        <v>40466</v>
      </c>
      <c r="C358" s="0" t="n">
        <v>13085</v>
      </c>
      <c r="D358" s="0" t="s">
        <v>42</v>
      </c>
      <c r="E358" s="0" t="n">
        <v>1</v>
      </c>
      <c r="F358" s="0" t="n">
        <v>-830.12</v>
      </c>
      <c r="G358" s="0" t="s">
        <v>65</v>
      </c>
    </row>
    <row r="359" customFormat="false" ht="15" hidden="false" customHeight="false" outlineLevel="0" collapsed="false">
      <c r="A359" s="0" t="s">
        <v>406</v>
      </c>
      <c r="B359" s="6" t="n">
        <v>40469</v>
      </c>
      <c r="C359" s="0" t="n">
        <v>12376</v>
      </c>
      <c r="D359" s="0" t="s">
        <v>407</v>
      </c>
      <c r="E359" s="0" t="n">
        <v>11</v>
      </c>
      <c r="F359" s="0" t="n">
        <v>432.55</v>
      </c>
      <c r="G359" s="0" t="s">
        <v>43</v>
      </c>
    </row>
    <row r="360" customFormat="false" ht="15" hidden="false" customHeight="false" outlineLevel="0" collapsed="false">
      <c r="A360" s="0" t="s">
        <v>408</v>
      </c>
      <c r="B360" s="6" t="n">
        <v>40470</v>
      </c>
      <c r="C360" s="0" t="n">
        <v>16950</v>
      </c>
      <c r="D360" s="0" t="s">
        <v>42</v>
      </c>
      <c r="E360" s="0" t="n">
        <v>22</v>
      </c>
      <c r="F360" s="0" t="n">
        <v>523.89</v>
      </c>
      <c r="G360" s="0" t="s">
        <v>43</v>
      </c>
    </row>
    <row r="361" customFormat="false" ht="15" hidden="false" customHeight="false" outlineLevel="0" collapsed="false">
      <c r="A361" s="0" t="s">
        <v>409</v>
      </c>
      <c r="B361" s="6" t="n">
        <v>40471</v>
      </c>
      <c r="C361" s="0" t="n">
        <v>14543</v>
      </c>
      <c r="D361" s="0" t="s">
        <v>42</v>
      </c>
      <c r="E361" s="0" t="n">
        <v>5</v>
      </c>
      <c r="F361" s="0" t="n">
        <v>1543.2</v>
      </c>
      <c r="G361" s="0" t="s">
        <v>43</v>
      </c>
    </row>
    <row r="362" customFormat="false" ht="15" hidden="false" customHeight="false" outlineLevel="0" collapsed="false">
      <c r="A362" s="0" t="s">
        <v>410</v>
      </c>
      <c r="B362" s="6" t="n">
        <v>40471</v>
      </c>
      <c r="C362" s="0" t="n">
        <v>14543</v>
      </c>
      <c r="D362" s="0" t="s">
        <v>42</v>
      </c>
      <c r="E362" s="0" t="n">
        <v>6</v>
      </c>
      <c r="F362" s="0" t="n">
        <v>369.4</v>
      </c>
      <c r="G362" s="0" t="s">
        <v>43</v>
      </c>
    </row>
    <row r="363" customFormat="false" ht="15" hidden="false" customHeight="false" outlineLevel="0" collapsed="false">
      <c r="A363" s="0" t="s">
        <v>411</v>
      </c>
      <c r="B363" s="6" t="n">
        <v>40471</v>
      </c>
      <c r="C363" s="0" t="n">
        <v>17322</v>
      </c>
      <c r="D363" s="0" t="s">
        <v>42</v>
      </c>
      <c r="E363" s="0" t="n">
        <v>38</v>
      </c>
      <c r="F363" s="0" t="n">
        <v>214.54</v>
      </c>
      <c r="G363" s="0" t="s">
        <v>43</v>
      </c>
    </row>
    <row r="364" customFormat="false" ht="15" hidden="false" customHeight="false" outlineLevel="0" collapsed="false">
      <c r="A364" s="0" t="s">
        <v>412</v>
      </c>
      <c r="B364" s="6" t="n">
        <v>40472</v>
      </c>
      <c r="C364" s="0" t="n">
        <v>14227</v>
      </c>
      <c r="D364" s="0" t="s">
        <v>42</v>
      </c>
      <c r="E364" s="0" t="n">
        <v>31</v>
      </c>
      <c r="F364" s="0" t="n">
        <v>421.87</v>
      </c>
      <c r="G364" s="0" t="s">
        <v>43</v>
      </c>
    </row>
    <row r="365" customFormat="false" ht="15" hidden="false" customHeight="false" outlineLevel="0" collapsed="false">
      <c r="A365" s="0" t="s">
        <v>413</v>
      </c>
      <c r="B365" s="6" t="n">
        <v>40473</v>
      </c>
      <c r="C365" s="0" t="n">
        <v>18223</v>
      </c>
      <c r="D365" s="0" t="s">
        <v>42</v>
      </c>
      <c r="E365" s="0" t="n">
        <v>1</v>
      </c>
      <c r="F365" s="0" t="n">
        <v>-1.95</v>
      </c>
      <c r="G365" s="0" t="s">
        <v>65</v>
      </c>
    </row>
    <row r="366" customFormat="false" ht="15" hidden="false" customHeight="false" outlineLevel="0" collapsed="false">
      <c r="A366" s="0" t="s">
        <v>414</v>
      </c>
      <c r="B366" s="6" t="n">
        <v>40473</v>
      </c>
      <c r="C366" s="0" t="n">
        <v>18223</v>
      </c>
      <c r="D366" s="0" t="s">
        <v>42</v>
      </c>
      <c r="E366" s="0" t="n">
        <v>5</v>
      </c>
      <c r="F366" s="0" t="n">
        <v>199.85</v>
      </c>
      <c r="G366" s="0" t="s">
        <v>43</v>
      </c>
    </row>
    <row r="367" customFormat="false" ht="15" hidden="false" customHeight="false" outlineLevel="0" collapsed="false">
      <c r="A367" s="0" t="s">
        <v>415</v>
      </c>
      <c r="B367" s="6" t="n">
        <v>40475</v>
      </c>
      <c r="C367" s="0" t="n">
        <v>16445</v>
      </c>
      <c r="D367" s="0" t="s">
        <v>42</v>
      </c>
      <c r="E367" s="0" t="n">
        <v>64</v>
      </c>
      <c r="F367" s="0" t="n">
        <v>168.07</v>
      </c>
      <c r="G367" s="0" t="s">
        <v>43</v>
      </c>
    </row>
    <row r="368" customFormat="false" ht="15" hidden="false" customHeight="false" outlineLevel="0" collapsed="false">
      <c r="A368" s="0" t="s">
        <v>416</v>
      </c>
      <c r="B368" s="6" t="n">
        <v>40475</v>
      </c>
      <c r="C368" s="0" t="n">
        <v>14243</v>
      </c>
      <c r="D368" s="0" t="s">
        <v>42</v>
      </c>
      <c r="E368" s="0" t="n">
        <v>17</v>
      </c>
      <c r="F368" s="0" t="n">
        <v>267.4</v>
      </c>
      <c r="G368" s="0" t="s">
        <v>43</v>
      </c>
    </row>
    <row r="369" customFormat="false" ht="15" hidden="false" customHeight="false" outlineLevel="0" collapsed="false">
      <c r="A369" s="0" t="s">
        <v>417</v>
      </c>
      <c r="B369" s="6" t="n">
        <v>40476</v>
      </c>
      <c r="C369" s="0" t="n">
        <v>17981</v>
      </c>
      <c r="D369" s="0" t="s">
        <v>42</v>
      </c>
      <c r="E369" s="0" t="n">
        <v>17</v>
      </c>
      <c r="F369" s="0" t="n">
        <v>239.12</v>
      </c>
      <c r="G369" s="0" t="s">
        <v>43</v>
      </c>
    </row>
    <row r="370" customFormat="false" ht="15" hidden="false" customHeight="false" outlineLevel="0" collapsed="false">
      <c r="A370" s="0" t="s">
        <v>418</v>
      </c>
      <c r="B370" s="6" t="n">
        <v>40476</v>
      </c>
      <c r="C370" s="0" t="n">
        <v>17393</v>
      </c>
      <c r="D370" s="0" t="s">
        <v>42</v>
      </c>
      <c r="E370" s="0" t="n">
        <v>21</v>
      </c>
      <c r="F370" s="0" t="n">
        <v>186.55</v>
      </c>
      <c r="G370" s="0" t="s">
        <v>43</v>
      </c>
    </row>
    <row r="371" customFormat="false" ht="15" hidden="false" customHeight="false" outlineLevel="0" collapsed="false">
      <c r="A371" s="0" t="s">
        <v>419</v>
      </c>
      <c r="B371" s="6" t="n">
        <v>40476</v>
      </c>
      <c r="C371" s="0" t="n">
        <v>15370</v>
      </c>
      <c r="D371" s="0" t="s">
        <v>42</v>
      </c>
      <c r="E371" s="0" t="n">
        <v>50</v>
      </c>
      <c r="F371" s="0" t="n">
        <v>1352.96</v>
      </c>
      <c r="G371" s="0" t="s">
        <v>43</v>
      </c>
    </row>
    <row r="372" customFormat="false" ht="15" hidden="false" customHeight="false" outlineLevel="0" collapsed="false">
      <c r="A372" s="0" t="s">
        <v>420</v>
      </c>
      <c r="B372" s="6" t="n">
        <v>40476</v>
      </c>
      <c r="C372" s="0" t="n">
        <v>13733</v>
      </c>
      <c r="D372" s="0" t="s">
        <v>42</v>
      </c>
      <c r="E372" s="0" t="n">
        <v>19</v>
      </c>
      <c r="F372" s="0" t="n">
        <v>337.93</v>
      </c>
      <c r="G372" s="0" t="s">
        <v>43</v>
      </c>
    </row>
    <row r="373" customFormat="false" ht="15" hidden="false" customHeight="false" outlineLevel="0" collapsed="false">
      <c r="A373" s="0" t="s">
        <v>421</v>
      </c>
      <c r="B373" s="6" t="n">
        <v>40476</v>
      </c>
      <c r="C373" s="0" t="n">
        <v>14413</v>
      </c>
      <c r="D373" s="0" t="s">
        <v>42</v>
      </c>
      <c r="E373" s="0" t="n">
        <v>66</v>
      </c>
      <c r="F373" s="0" t="n">
        <v>182.17</v>
      </c>
      <c r="G373" s="0" t="s">
        <v>43</v>
      </c>
    </row>
    <row r="374" customFormat="false" ht="15" hidden="false" customHeight="false" outlineLevel="0" collapsed="false">
      <c r="A374" s="0" t="s">
        <v>422</v>
      </c>
      <c r="B374" s="6" t="n">
        <v>40477</v>
      </c>
      <c r="C374" s="0" t="n">
        <v>16950</v>
      </c>
      <c r="D374" s="0" t="s">
        <v>42</v>
      </c>
      <c r="E374" s="0" t="n">
        <v>2</v>
      </c>
      <c r="F374" s="0" t="n">
        <v>-51.18</v>
      </c>
      <c r="G374" s="0" t="s">
        <v>65</v>
      </c>
    </row>
    <row r="375" customFormat="false" ht="15" hidden="false" customHeight="false" outlineLevel="0" collapsed="false">
      <c r="A375" s="0" t="s">
        <v>423</v>
      </c>
      <c r="B375" s="6" t="n">
        <v>40477</v>
      </c>
      <c r="C375" s="0" t="n">
        <v>14201</v>
      </c>
      <c r="D375" s="0" t="s">
        <v>42</v>
      </c>
      <c r="E375" s="0" t="n">
        <v>8</v>
      </c>
      <c r="F375" s="0" t="n">
        <v>162.15</v>
      </c>
      <c r="G375" s="0" t="s">
        <v>43</v>
      </c>
    </row>
    <row r="376" customFormat="false" ht="15" hidden="false" customHeight="false" outlineLevel="0" collapsed="false">
      <c r="A376" s="0" t="s">
        <v>424</v>
      </c>
      <c r="B376" s="6" t="n">
        <v>40478</v>
      </c>
      <c r="C376" s="0" t="n">
        <v>16692</v>
      </c>
      <c r="D376" s="0" t="s">
        <v>42</v>
      </c>
      <c r="E376" s="0" t="n">
        <v>1</v>
      </c>
      <c r="F376" s="0" t="n">
        <v>67.5</v>
      </c>
      <c r="G376" s="0" t="s">
        <v>43</v>
      </c>
    </row>
    <row r="377" customFormat="false" ht="15" hidden="false" customHeight="false" outlineLevel="0" collapsed="false">
      <c r="A377" s="0" t="s">
        <v>425</v>
      </c>
      <c r="B377" s="6" t="n">
        <v>40478</v>
      </c>
      <c r="C377" s="0" t="n">
        <v>17478</v>
      </c>
      <c r="D377" s="0" t="s">
        <v>42</v>
      </c>
      <c r="E377" s="0" t="n">
        <v>14</v>
      </c>
      <c r="F377" s="0" t="n">
        <v>566.6</v>
      </c>
      <c r="G377" s="0" t="s">
        <v>43</v>
      </c>
    </row>
    <row r="378" customFormat="false" ht="15" hidden="false" customHeight="false" outlineLevel="0" collapsed="false">
      <c r="A378" s="0" t="s">
        <v>426</v>
      </c>
      <c r="B378" s="6" t="n">
        <v>40478</v>
      </c>
      <c r="C378" s="0" t="n">
        <v>17322</v>
      </c>
      <c r="D378" s="0" t="s">
        <v>42</v>
      </c>
      <c r="E378" s="0" t="n">
        <v>45</v>
      </c>
      <c r="F378" s="0" t="n">
        <v>261.45</v>
      </c>
      <c r="G378" s="0" t="s">
        <v>43</v>
      </c>
    </row>
    <row r="379" customFormat="false" ht="15" hidden="false" customHeight="false" outlineLevel="0" collapsed="false">
      <c r="A379" s="0" t="s">
        <v>427</v>
      </c>
      <c r="B379" s="6" t="n">
        <v>40478</v>
      </c>
      <c r="C379" s="0" t="n">
        <v>17322</v>
      </c>
      <c r="D379" s="0" t="s">
        <v>42</v>
      </c>
      <c r="E379" s="0" t="n">
        <v>1</v>
      </c>
      <c r="F379" s="0" t="n">
        <v>-4.25</v>
      </c>
      <c r="G379" s="0" t="s">
        <v>65</v>
      </c>
    </row>
    <row r="380" customFormat="false" ht="15" hidden="false" customHeight="false" outlineLevel="0" collapsed="false">
      <c r="A380" s="0" t="s">
        <v>428</v>
      </c>
      <c r="B380" s="6" t="n">
        <v>40479</v>
      </c>
      <c r="C380" s="0" t="n">
        <v>16628</v>
      </c>
      <c r="D380" s="0" t="s">
        <v>42</v>
      </c>
      <c r="E380" s="0" t="n">
        <v>4</v>
      </c>
      <c r="F380" s="0" t="n">
        <v>52.05</v>
      </c>
      <c r="G380" s="0" t="s">
        <v>43</v>
      </c>
    </row>
    <row r="381" customFormat="false" ht="15" hidden="false" customHeight="false" outlineLevel="0" collapsed="false">
      <c r="A381" s="0" t="s">
        <v>429</v>
      </c>
      <c r="B381" s="6" t="n">
        <v>40479</v>
      </c>
      <c r="C381" s="0" t="n">
        <v>16634</v>
      </c>
      <c r="D381" s="0" t="s">
        <v>42</v>
      </c>
      <c r="E381" s="0" t="n">
        <v>18</v>
      </c>
      <c r="F381" s="0" t="n">
        <v>375.3</v>
      </c>
      <c r="G381" s="0" t="s">
        <v>43</v>
      </c>
    </row>
    <row r="382" customFormat="false" ht="15" hidden="false" customHeight="false" outlineLevel="0" collapsed="false">
      <c r="A382" s="0" t="s">
        <v>430</v>
      </c>
      <c r="B382" s="6" t="n">
        <v>40479</v>
      </c>
      <c r="C382" s="0" t="n">
        <v>16907</v>
      </c>
      <c r="D382" s="0" t="s">
        <v>42</v>
      </c>
      <c r="E382" s="0" t="n">
        <v>12</v>
      </c>
      <c r="F382" s="0" t="n">
        <v>118.2</v>
      </c>
      <c r="G382" s="0" t="s">
        <v>43</v>
      </c>
    </row>
    <row r="383" customFormat="false" ht="15" hidden="false" customHeight="false" outlineLevel="0" collapsed="false">
      <c r="A383" s="0" t="s">
        <v>431</v>
      </c>
      <c r="B383" s="6" t="n">
        <v>40479</v>
      </c>
      <c r="C383" s="0" t="n">
        <v>18223</v>
      </c>
      <c r="D383" s="0" t="s">
        <v>42</v>
      </c>
      <c r="E383" s="0" t="n">
        <v>3</v>
      </c>
      <c r="F383" s="0" t="n">
        <v>-47.5</v>
      </c>
      <c r="G383" s="0" t="s">
        <v>65</v>
      </c>
    </row>
    <row r="384" customFormat="false" ht="15" hidden="false" customHeight="false" outlineLevel="0" collapsed="false">
      <c r="A384" s="0" t="s">
        <v>432</v>
      </c>
      <c r="B384" s="6" t="n">
        <v>40480</v>
      </c>
      <c r="C384" s="0" t="n">
        <v>14543</v>
      </c>
      <c r="D384" s="0" t="s">
        <v>42</v>
      </c>
      <c r="E384" s="0" t="n">
        <v>5</v>
      </c>
      <c r="F384" s="0" t="n">
        <v>-1543.2</v>
      </c>
      <c r="G384" s="0" t="s">
        <v>65</v>
      </c>
    </row>
    <row r="385" customFormat="false" ht="15" hidden="false" customHeight="false" outlineLevel="0" collapsed="false">
      <c r="A385" s="0" t="s">
        <v>433</v>
      </c>
      <c r="B385" s="6" t="n">
        <v>40480</v>
      </c>
      <c r="C385" s="0" t="n">
        <v>17949</v>
      </c>
      <c r="D385" s="0" t="s">
        <v>42</v>
      </c>
      <c r="E385" s="0" t="n">
        <v>1</v>
      </c>
      <c r="F385" s="0" t="n">
        <v>3942</v>
      </c>
      <c r="G385" s="0" t="s">
        <v>43</v>
      </c>
    </row>
    <row r="386" customFormat="false" ht="15" hidden="false" customHeight="false" outlineLevel="0" collapsed="false">
      <c r="A386" s="0" t="s">
        <v>434</v>
      </c>
      <c r="B386" s="6" t="n">
        <v>40480</v>
      </c>
      <c r="C386" s="0" t="n">
        <v>17949</v>
      </c>
      <c r="D386" s="0" t="s">
        <v>42</v>
      </c>
      <c r="E386" s="0" t="n">
        <v>1</v>
      </c>
      <c r="F386" s="0" t="n">
        <v>1088.64</v>
      </c>
      <c r="G386" s="0" t="s">
        <v>43</v>
      </c>
    </row>
    <row r="387" customFormat="false" ht="15" hidden="false" customHeight="false" outlineLevel="0" collapsed="false">
      <c r="A387" s="0" t="s">
        <v>435</v>
      </c>
      <c r="B387" s="6" t="n">
        <v>40480</v>
      </c>
      <c r="C387" s="0" t="n">
        <v>17949</v>
      </c>
      <c r="D387" s="0" t="s">
        <v>42</v>
      </c>
      <c r="E387" s="0" t="n">
        <v>1</v>
      </c>
      <c r="F387" s="0" t="n">
        <v>639.36</v>
      </c>
      <c r="G387" s="0" t="s">
        <v>43</v>
      </c>
    </row>
    <row r="388" customFormat="false" ht="15" hidden="false" customHeight="false" outlineLevel="0" collapsed="false">
      <c r="A388" s="0" t="s">
        <v>436</v>
      </c>
      <c r="B388" s="6" t="n">
        <v>40484</v>
      </c>
      <c r="C388" s="0" t="n">
        <v>17949</v>
      </c>
      <c r="D388" s="0" t="s">
        <v>42</v>
      </c>
      <c r="E388" s="0" t="n">
        <v>1</v>
      </c>
      <c r="F388" s="0" t="n">
        <v>732.6</v>
      </c>
      <c r="G388" s="0" t="s">
        <v>43</v>
      </c>
    </row>
    <row r="389" customFormat="false" ht="15" hidden="false" customHeight="false" outlineLevel="0" collapsed="false">
      <c r="A389" s="0" t="s">
        <v>437</v>
      </c>
      <c r="B389" s="6" t="n">
        <v>40484</v>
      </c>
      <c r="C389" s="0" t="n">
        <v>13215</v>
      </c>
      <c r="D389" s="0" t="s">
        <v>42</v>
      </c>
      <c r="E389" s="0" t="n">
        <v>1</v>
      </c>
      <c r="F389" s="0" t="n">
        <v>81.6</v>
      </c>
      <c r="G389" s="0" t="s">
        <v>43</v>
      </c>
    </row>
    <row r="390" customFormat="false" ht="15" hidden="false" customHeight="false" outlineLevel="0" collapsed="false">
      <c r="A390" s="0" t="s">
        <v>438</v>
      </c>
      <c r="B390" s="6" t="n">
        <v>40485</v>
      </c>
      <c r="C390" s="0" t="n">
        <v>17126</v>
      </c>
      <c r="D390" s="0" t="s">
        <v>42</v>
      </c>
      <c r="E390" s="0" t="n">
        <v>53</v>
      </c>
      <c r="F390" s="0" t="n">
        <v>319.19</v>
      </c>
      <c r="G390" s="0" t="s">
        <v>43</v>
      </c>
    </row>
    <row r="391" customFormat="false" ht="15" hidden="false" customHeight="false" outlineLevel="0" collapsed="false">
      <c r="A391" s="0" t="s">
        <v>439</v>
      </c>
      <c r="B391" s="6" t="n">
        <v>40485</v>
      </c>
      <c r="C391" s="0" t="n">
        <v>17949</v>
      </c>
      <c r="D391" s="0" t="s">
        <v>42</v>
      </c>
      <c r="E391" s="0" t="n">
        <v>1</v>
      </c>
      <c r="F391" s="0" t="n">
        <v>648</v>
      </c>
      <c r="G391" s="0" t="s">
        <v>43</v>
      </c>
    </row>
    <row r="392" customFormat="false" ht="15" hidden="false" customHeight="false" outlineLevel="0" collapsed="false">
      <c r="A392" s="0" t="s">
        <v>440</v>
      </c>
      <c r="B392" s="6" t="n">
        <v>40486</v>
      </c>
      <c r="C392" s="0" t="n">
        <v>18259</v>
      </c>
      <c r="D392" s="0" t="s">
        <v>42</v>
      </c>
      <c r="E392" s="0" t="n">
        <v>21</v>
      </c>
      <c r="F392" s="0" t="n">
        <v>486.4</v>
      </c>
      <c r="G392" s="0" t="s">
        <v>43</v>
      </c>
    </row>
    <row r="393" customFormat="false" ht="15" hidden="false" customHeight="false" outlineLevel="0" collapsed="false">
      <c r="A393" s="0" t="s">
        <v>441</v>
      </c>
      <c r="B393" s="6" t="n">
        <v>40486</v>
      </c>
      <c r="C393" s="0" t="n">
        <v>12393</v>
      </c>
      <c r="D393" s="0" t="s">
        <v>393</v>
      </c>
      <c r="E393" s="0" t="n">
        <v>5</v>
      </c>
      <c r="F393" s="0" t="n">
        <v>-22.7</v>
      </c>
      <c r="G393" s="0" t="s">
        <v>65</v>
      </c>
    </row>
    <row r="394" customFormat="false" ht="15" hidden="false" customHeight="false" outlineLevel="0" collapsed="false">
      <c r="A394" s="0" t="s">
        <v>442</v>
      </c>
      <c r="B394" s="6" t="n">
        <v>40487</v>
      </c>
      <c r="C394" s="0" t="n">
        <v>17949</v>
      </c>
      <c r="D394" s="0" t="s">
        <v>42</v>
      </c>
      <c r="E394" s="0" t="n">
        <v>2</v>
      </c>
      <c r="F394" s="0" t="n">
        <v>2496.96</v>
      </c>
      <c r="G394" s="0" t="s">
        <v>43</v>
      </c>
    </row>
    <row r="395" customFormat="false" ht="15" hidden="false" customHeight="false" outlineLevel="0" collapsed="false">
      <c r="A395" s="0" t="s">
        <v>443</v>
      </c>
      <c r="B395" s="6" t="n">
        <v>40489</v>
      </c>
      <c r="C395" s="0" t="n">
        <v>17041</v>
      </c>
      <c r="D395" s="0" t="s">
        <v>42</v>
      </c>
      <c r="E395" s="0" t="n">
        <v>34</v>
      </c>
      <c r="F395" s="0" t="n">
        <v>384.3</v>
      </c>
      <c r="G395" s="0" t="s">
        <v>43</v>
      </c>
    </row>
    <row r="396" customFormat="false" ht="15" hidden="false" customHeight="false" outlineLevel="0" collapsed="false">
      <c r="A396" s="0" t="s">
        <v>444</v>
      </c>
      <c r="B396" s="6" t="n">
        <v>40491</v>
      </c>
      <c r="C396" s="0" t="n">
        <v>14243</v>
      </c>
      <c r="D396" s="0" t="s">
        <v>42</v>
      </c>
      <c r="E396" s="0" t="n">
        <v>24</v>
      </c>
      <c r="F396" s="0" t="n">
        <v>443.1</v>
      </c>
      <c r="G396" s="0" t="s">
        <v>43</v>
      </c>
    </row>
    <row r="397" customFormat="false" ht="15" hidden="false" customHeight="false" outlineLevel="0" collapsed="false">
      <c r="A397" s="0" t="s">
        <v>445</v>
      </c>
      <c r="B397" s="6" t="n">
        <v>40491</v>
      </c>
      <c r="C397" s="0" t="n">
        <v>16740</v>
      </c>
      <c r="D397" s="0" t="s">
        <v>42</v>
      </c>
      <c r="E397" s="0" t="n">
        <v>33</v>
      </c>
      <c r="F397" s="0" t="n">
        <v>236.81</v>
      </c>
      <c r="G397" s="0" t="s">
        <v>43</v>
      </c>
    </row>
    <row r="398" customFormat="false" ht="15" hidden="false" customHeight="false" outlineLevel="0" collapsed="false">
      <c r="A398" s="0" t="s">
        <v>446</v>
      </c>
      <c r="B398" s="6" t="n">
        <v>40491</v>
      </c>
      <c r="C398" s="0" t="n">
        <v>16021</v>
      </c>
      <c r="D398" s="0" t="s">
        <v>42</v>
      </c>
      <c r="E398" s="0" t="n">
        <v>111</v>
      </c>
      <c r="F398" s="0" t="n">
        <v>380.86</v>
      </c>
      <c r="G398" s="0" t="s">
        <v>43</v>
      </c>
    </row>
    <row r="399" customFormat="false" ht="15" hidden="false" customHeight="false" outlineLevel="0" collapsed="false">
      <c r="A399" s="0" t="s">
        <v>447</v>
      </c>
      <c r="B399" s="6" t="n">
        <v>40492</v>
      </c>
      <c r="C399" s="0" t="n">
        <v>13945</v>
      </c>
      <c r="D399" s="0" t="s">
        <v>42</v>
      </c>
      <c r="E399" s="0" t="n">
        <v>14</v>
      </c>
      <c r="F399" s="0" t="n">
        <v>338.5</v>
      </c>
      <c r="G399" s="0" t="s">
        <v>43</v>
      </c>
    </row>
    <row r="400" customFormat="false" ht="15" hidden="false" customHeight="false" outlineLevel="0" collapsed="false">
      <c r="A400" s="0" t="s">
        <v>448</v>
      </c>
      <c r="B400" s="6" t="n">
        <v>40492</v>
      </c>
      <c r="C400" s="0" t="n">
        <v>12997</v>
      </c>
      <c r="D400" s="0" t="s">
        <v>42</v>
      </c>
      <c r="E400" s="0" t="n">
        <v>15</v>
      </c>
      <c r="F400" s="0" t="n">
        <v>305.54</v>
      </c>
      <c r="G400" s="0" t="s">
        <v>43</v>
      </c>
    </row>
    <row r="401" customFormat="false" ht="15" hidden="false" customHeight="false" outlineLevel="0" collapsed="false">
      <c r="A401" s="0" t="s">
        <v>449</v>
      </c>
      <c r="B401" s="6" t="n">
        <v>40492</v>
      </c>
      <c r="C401" s="0" t="n">
        <v>17350</v>
      </c>
      <c r="D401" s="0" t="s">
        <v>42</v>
      </c>
      <c r="E401" s="0" t="n">
        <v>34</v>
      </c>
      <c r="F401" s="0" t="n">
        <v>163.46</v>
      </c>
      <c r="G401" s="0" t="s">
        <v>43</v>
      </c>
    </row>
    <row r="402" customFormat="false" ht="15" hidden="false" customHeight="false" outlineLevel="0" collapsed="false">
      <c r="A402" s="0" t="s">
        <v>450</v>
      </c>
      <c r="B402" s="6" t="n">
        <v>40493</v>
      </c>
      <c r="C402" s="0" t="n">
        <v>17581</v>
      </c>
      <c r="D402" s="0" t="s">
        <v>42</v>
      </c>
      <c r="E402" s="0" t="n">
        <v>30</v>
      </c>
      <c r="F402" s="0" t="n">
        <v>609.95</v>
      </c>
      <c r="G402" s="0" t="s">
        <v>43</v>
      </c>
    </row>
    <row r="403" customFormat="false" ht="15" hidden="false" customHeight="false" outlineLevel="0" collapsed="false">
      <c r="A403" s="0" t="s">
        <v>451</v>
      </c>
      <c r="B403" s="6" t="n">
        <v>40494</v>
      </c>
      <c r="C403" s="0" t="n">
        <v>12352</v>
      </c>
      <c r="D403" s="0" t="s">
        <v>452</v>
      </c>
      <c r="E403" s="0" t="n">
        <v>6</v>
      </c>
      <c r="F403" s="0" t="n">
        <v>143.75</v>
      </c>
      <c r="G403" s="0" t="s">
        <v>43</v>
      </c>
    </row>
    <row r="404" customFormat="false" ht="15" hidden="false" customHeight="false" outlineLevel="0" collapsed="false">
      <c r="A404" s="0" t="s">
        <v>453</v>
      </c>
      <c r="B404" s="6" t="n">
        <v>40496</v>
      </c>
      <c r="C404" s="0" t="n">
        <v>18063</v>
      </c>
      <c r="D404" s="0" t="s">
        <v>42</v>
      </c>
      <c r="E404" s="0" t="n">
        <v>2</v>
      </c>
      <c r="F404" s="0" t="n">
        <v>84.6</v>
      </c>
      <c r="G404" s="0" t="s">
        <v>43</v>
      </c>
    </row>
    <row r="405" customFormat="false" ht="15" hidden="false" customHeight="false" outlineLevel="0" collapsed="false">
      <c r="A405" s="0" t="s">
        <v>454</v>
      </c>
      <c r="B405" s="6" t="n">
        <v>40496</v>
      </c>
      <c r="C405" s="0" t="n">
        <v>15203</v>
      </c>
      <c r="D405" s="0" t="s">
        <v>42</v>
      </c>
      <c r="E405" s="0" t="n">
        <v>21</v>
      </c>
      <c r="F405" s="0" t="n">
        <v>344</v>
      </c>
      <c r="G405" s="0" t="s">
        <v>43</v>
      </c>
    </row>
    <row r="406" customFormat="false" ht="15" hidden="false" customHeight="false" outlineLevel="0" collapsed="false">
      <c r="A406" s="0" t="s">
        <v>455</v>
      </c>
      <c r="B406" s="6" t="n">
        <v>40496</v>
      </c>
      <c r="C406" s="0" t="n">
        <v>16950</v>
      </c>
      <c r="D406" s="0" t="s">
        <v>42</v>
      </c>
      <c r="E406" s="0" t="n">
        <v>15</v>
      </c>
      <c r="F406" s="0" t="n">
        <v>254.91</v>
      </c>
      <c r="G406" s="0" t="s">
        <v>43</v>
      </c>
    </row>
    <row r="407" customFormat="false" ht="15" hidden="false" customHeight="false" outlineLevel="0" collapsed="false">
      <c r="A407" s="0" t="s">
        <v>456</v>
      </c>
      <c r="B407" s="6" t="n">
        <v>40497</v>
      </c>
      <c r="C407" s="0" t="n">
        <v>12376</v>
      </c>
      <c r="D407" s="0" t="s">
        <v>407</v>
      </c>
      <c r="E407" s="0" t="n">
        <v>2</v>
      </c>
      <c r="F407" s="0" t="n">
        <v>70.6</v>
      </c>
      <c r="G407" s="0" t="s">
        <v>43</v>
      </c>
    </row>
    <row r="408" customFormat="false" ht="15" hidden="false" customHeight="false" outlineLevel="0" collapsed="false">
      <c r="A408" s="0" t="s">
        <v>457</v>
      </c>
      <c r="B408" s="6" t="n">
        <v>40498</v>
      </c>
      <c r="C408" s="0" t="n">
        <v>12997</v>
      </c>
      <c r="D408" s="0" t="s">
        <v>42</v>
      </c>
      <c r="E408" s="0" t="n">
        <v>2</v>
      </c>
      <c r="F408" s="0" t="n">
        <v>-5.2</v>
      </c>
      <c r="G408" s="0" t="s">
        <v>65</v>
      </c>
    </row>
    <row r="409" customFormat="false" ht="15" hidden="false" customHeight="false" outlineLevel="0" collapsed="false">
      <c r="A409" s="0" t="s">
        <v>458</v>
      </c>
      <c r="B409" s="6" t="n">
        <v>40499</v>
      </c>
      <c r="C409" s="0" t="n">
        <v>18223</v>
      </c>
      <c r="D409" s="0" t="s">
        <v>42</v>
      </c>
      <c r="E409" s="0" t="n">
        <v>24</v>
      </c>
      <c r="F409" s="0" t="n">
        <v>883.54</v>
      </c>
      <c r="G409" s="0" t="s">
        <v>43</v>
      </c>
    </row>
    <row r="410" customFormat="false" ht="15" hidden="false" customHeight="false" outlineLevel="0" collapsed="false">
      <c r="A410" s="0" t="s">
        <v>459</v>
      </c>
      <c r="B410" s="6" t="n">
        <v>40499</v>
      </c>
      <c r="C410" s="0" t="n">
        <v>18101</v>
      </c>
      <c r="D410" s="0" t="s">
        <v>42</v>
      </c>
      <c r="E410" s="0" t="n">
        <v>23</v>
      </c>
      <c r="F410" s="0" t="n">
        <v>134.95</v>
      </c>
      <c r="G410" s="0" t="s">
        <v>43</v>
      </c>
    </row>
    <row r="411" customFormat="false" ht="15" hidden="false" customHeight="false" outlineLevel="0" collapsed="false">
      <c r="A411" s="0" t="s">
        <v>460</v>
      </c>
      <c r="B411" s="6" t="n">
        <v>40499</v>
      </c>
      <c r="C411" s="0" t="n">
        <v>16059</v>
      </c>
      <c r="D411" s="0" t="s">
        <v>42</v>
      </c>
      <c r="E411" s="0" t="n">
        <v>33</v>
      </c>
      <c r="F411" s="0" t="n">
        <v>195.45</v>
      </c>
      <c r="G411" s="0" t="s">
        <v>43</v>
      </c>
    </row>
    <row r="412" customFormat="false" ht="15" hidden="false" customHeight="false" outlineLevel="0" collapsed="false">
      <c r="A412" s="0" t="s">
        <v>461</v>
      </c>
      <c r="B412" s="6" t="n">
        <v>40499</v>
      </c>
      <c r="C412" s="0" t="n">
        <v>16634</v>
      </c>
      <c r="D412" s="0" t="s">
        <v>42</v>
      </c>
      <c r="E412" s="0" t="n">
        <v>19</v>
      </c>
      <c r="F412" s="0" t="n">
        <v>437.41</v>
      </c>
      <c r="G412" s="0" t="s">
        <v>43</v>
      </c>
    </row>
    <row r="413" customFormat="false" ht="15" hidden="false" customHeight="false" outlineLevel="0" collapsed="false">
      <c r="A413" s="0" t="s">
        <v>462</v>
      </c>
      <c r="B413" s="6" t="n">
        <v>40500</v>
      </c>
      <c r="C413" s="0" t="n">
        <v>15482</v>
      </c>
      <c r="D413" s="0" t="s">
        <v>42</v>
      </c>
      <c r="E413" s="0" t="n">
        <v>20</v>
      </c>
      <c r="F413" s="0" t="n">
        <v>695.17</v>
      </c>
      <c r="G413" s="0" t="s">
        <v>43</v>
      </c>
    </row>
    <row r="414" customFormat="false" ht="15" hidden="false" customHeight="false" outlineLevel="0" collapsed="false">
      <c r="A414" s="0" t="s">
        <v>463</v>
      </c>
      <c r="B414" s="6" t="n">
        <v>40500</v>
      </c>
      <c r="C414" s="0" t="n">
        <v>16445</v>
      </c>
      <c r="D414" s="0" t="s">
        <v>42</v>
      </c>
      <c r="E414" s="0" t="n">
        <v>64</v>
      </c>
      <c r="F414" s="0" t="n">
        <v>192.25</v>
      </c>
      <c r="G414" s="0" t="s">
        <v>43</v>
      </c>
    </row>
    <row r="415" customFormat="false" ht="15" hidden="false" customHeight="false" outlineLevel="0" collapsed="false">
      <c r="A415" s="0" t="s">
        <v>464</v>
      </c>
      <c r="B415" s="6" t="n">
        <v>40500</v>
      </c>
      <c r="C415" s="0" t="n">
        <v>16445</v>
      </c>
      <c r="D415" s="0" t="s">
        <v>42</v>
      </c>
      <c r="E415" s="0" t="n">
        <v>1</v>
      </c>
      <c r="F415" s="0" t="n">
        <v>11.9</v>
      </c>
      <c r="G415" s="0" t="s">
        <v>43</v>
      </c>
    </row>
    <row r="416" customFormat="false" ht="15" hidden="false" customHeight="false" outlineLevel="0" collapsed="false">
      <c r="A416" s="0" t="s">
        <v>465</v>
      </c>
      <c r="B416" s="6" t="n">
        <v>40500</v>
      </c>
      <c r="C416" s="0" t="n">
        <v>16634</v>
      </c>
      <c r="D416" s="0" t="s">
        <v>42</v>
      </c>
      <c r="E416" s="0" t="n">
        <v>1</v>
      </c>
      <c r="F416" s="0" t="n">
        <v>-17</v>
      </c>
      <c r="G416" s="0" t="s">
        <v>65</v>
      </c>
    </row>
    <row r="417" customFormat="false" ht="15" hidden="false" customHeight="false" outlineLevel="0" collapsed="false">
      <c r="A417" s="0" t="s">
        <v>466</v>
      </c>
      <c r="B417" s="6" t="n">
        <v>40500</v>
      </c>
      <c r="C417" s="0" t="n">
        <v>16907</v>
      </c>
      <c r="D417" s="0" t="s">
        <v>42</v>
      </c>
      <c r="E417" s="0" t="n">
        <v>25</v>
      </c>
      <c r="F417" s="0" t="n">
        <v>165.28</v>
      </c>
      <c r="G417" s="0" t="s">
        <v>43</v>
      </c>
    </row>
    <row r="418" customFormat="false" ht="15" hidden="false" customHeight="false" outlineLevel="0" collapsed="false">
      <c r="A418" s="0" t="s">
        <v>467</v>
      </c>
      <c r="B418" s="6" t="n">
        <v>40501</v>
      </c>
      <c r="C418" s="0" t="n">
        <v>18259</v>
      </c>
      <c r="D418" s="0" t="s">
        <v>42</v>
      </c>
      <c r="E418" s="0" t="n">
        <v>7</v>
      </c>
      <c r="F418" s="0" t="n">
        <v>454.2</v>
      </c>
      <c r="G418" s="0" t="s">
        <v>43</v>
      </c>
    </row>
    <row r="419" customFormat="false" ht="15" hidden="false" customHeight="false" outlineLevel="0" collapsed="false">
      <c r="A419" s="0" t="s">
        <v>468</v>
      </c>
      <c r="B419" s="6" t="n">
        <v>40501</v>
      </c>
      <c r="C419" s="0" t="n">
        <v>18223</v>
      </c>
      <c r="D419" s="0" t="s">
        <v>42</v>
      </c>
      <c r="E419" s="0" t="n">
        <v>4</v>
      </c>
      <c r="F419" s="0" t="n">
        <v>-11.1</v>
      </c>
      <c r="G419" s="0" t="s">
        <v>65</v>
      </c>
    </row>
    <row r="420" customFormat="false" ht="15" hidden="false" customHeight="false" outlineLevel="0" collapsed="false">
      <c r="A420" s="0" t="s">
        <v>469</v>
      </c>
      <c r="B420" s="6" t="n">
        <v>40501</v>
      </c>
      <c r="C420" s="0" t="n">
        <v>17581</v>
      </c>
      <c r="D420" s="0" t="s">
        <v>42</v>
      </c>
      <c r="E420" s="0" t="n">
        <v>1</v>
      </c>
      <c r="F420" s="0" t="n">
        <v>-39.04</v>
      </c>
      <c r="G420" s="0" t="s">
        <v>65</v>
      </c>
    </row>
    <row r="421" customFormat="false" ht="15" hidden="false" customHeight="false" outlineLevel="0" collapsed="false">
      <c r="A421" s="0" t="s">
        <v>470</v>
      </c>
      <c r="B421" s="6" t="n">
        <v>40503</v>
      </c>
      <c r="C421" s="0" t="n">
        <v>17322</v>
      </c>
      <c r="D421" s="0" t="s">
        <v>42</v>
      </c>
      <c r="E421" s="0" t="n">
        <v>38</v>
      </c>
      <c r="F421" s="0" t="n">
        <v>167.85</v>
      </c>
      <c r="G421" s="0" t="s">
        <v>43</v>
      </c>
    </row>
    <row r="422" customFormat="false" ht="15" hidden="false" customHeight="false" outlineLevel="0" collapsed="false">
      <c r="A422" s="0" t="s">
        <v>471</v>
      </c>
      <c r="B422" s="6" t="n">
        <v>40504</v>
      </c>
      <c r="C422" s="0" t="n">
        <v>12393</v>
      </c>
      <c r="D422" s="0" t="s">
        <v>393</v>
      </c>
      <c r="E422" s="0" t="n">
        <v>27</v>
      </c>
      <c r="F422" s="0" t="n">
        <v>513.05</v>
      </c>
      <c r="G422" s="0" t="s">
        <v>43</v>
      </c>
    </row>
    <row r="423" customFormat="false" ht="15" hidden="false" customHeight="false" outlineLevel="0" collapsed="false">
      <c r="A423" s="0" t="s">
        <v>472</v>
      </c>
      <c r="B423" s="6" t="n">
        <v>40505</v>
      </c>
      <c r="C423" s="0" t="n">
        <v>17126</v>
      </c>
      <c r="D423" s="0" t="s">
        <v>42</v>
      </c>
      <c r="E423" s="0" t="n">
        <v>29</v>
      </c>
      <c r="F423" s="0" t="n">
        <v>114.71</v>
      </c>
      <c r="G423" s="0" t="s">
        <v>43</v>
      </c>
    </row>
    <row r="424" customFormat="false" ht="15" hidden="false" customHeight="false" outlineLevel="0" collapsed="false">
      <c r="A424" s="0" t="s">
        <v>473</v>
      </c>
      <c r="B424" s="6" t="n">
        <v>40505</v>
      </c>
      <c r="C424" s="0" t="n">
        <v>17508</v>
      </c>
      <c r="D424" s="0" t="s">
        <v>72</v>
      </c>
      <c r="E424" s="0" t="n">
        <v>38</v>
      </c>
      <c r="F424" s="0" t="n">
        <v>761.3</v>
      </c>
      <c r="G424" s="0" t="s">
        <v>43</v>
      </c>
    </row>
    <row r="425" customFormat="false" ht="15" hidden="false" customHeight="false" outlineLevel="0" collapsed="false">
      <c r="A425" s="0" t="s">
        <v>474</v>
      </c>
      <c r="B425" s="6" t="n">
        <v>40505</v>
      </c>
      <c r="C425" s="0" t="n">
        <v>13843</v>
      </c>
      <c r="D425" s="0" t="s">
        <v>42</v>
      </c>
      <c r="E425" s="0" t="n">
        <v>18</v>
      </c>
      <c r="F425" s="0" t="n">
        <v>319.75</v>
      </c>
      <c r="G425" s="0" t="s">
        <v>43</v>
      </c>
    </row>
    <row r="426" customFormat="false" ht="15" hidden="false" customHeight="false" outlineLevel="0" collapsed="false">
      <c r="A426" s="0" t="s">
        <v>475</v>
      </c>
      <c r="B426" s="6" t="n">
        <v>40506</v>
      </c>
      <c r="C426" s="0" t="n">
        <v>14543</v>
      </c>
      <c r="D426" s="0" t="s">
        <v>42</v>
      </c>
      <c r="E426" s="0" t="n">
        <v>5</v>
      </c>
      <c r="F426" s="0" t="n">
        <v>302.8</v>
      </c>
      <c r="G426" s="0" t="s">
        <v>43</v>
      </c>
    </row>
    <row r="427" customFormat="false" ht="15" hidden="false" customHeight="false" outlineLevel="0" collapsed="false">
      <c r="A427" s="0" t="s">
        <v>476</v>
      </c>
      <c r="B427" s="6" t="n">
        <v>40506</v>
      </c>
      <c r="C427" s="0" t="n">
        <v>16634</v>
      </c>
      <c r="D427" s="0" t="s">
        <v>42</v>
      </c>
      <c r="E427" s="0" t="n">
        <v>2</v>
      </c>
      <c r="F427" s="0" t="n">
        <v>-120.96</v>
      </c>
      <c r="G427" s="0" t="s">
        <v>65</v>
      </c>
    </row>
    <row r="428" customFormat="false" ht="15" hidden="false" customHeight="false" outlineLevel="0" collapsed="false">
      <c r="A428" s="0" t="s">
        <v>477</v>
      </c>
      <c r="B428" s="6" t="n">
        <v>40507</v>
      </c>
      <c r="C428" s="0" t="n">
        <v>15514</v>
      </c>
      <c r="D428" s="0" t="s">
        <v>42</v>
      </c>
      <c r="E428" s="0" t="n">
        <v>21</v>
      </c>
      <c r="F428" s="0" t="n">
        <v>379.95</v>
      </c>
      <c r="G428" s="0" t="s">
        <v>43</v>
      </c>
    </row>
    <row r="429" customFormat="false" ht="15" hidden="false" customHeight="false" outlineLevel="0" collapsed="false">
      <c r="A429" s="0" t="s">
        <v>478</v>
      </c>
      <c r="B429" s="6" t="n">
        <v>40510</v>
      </c>
      <c r="C429" s="0" t="n">
        <v>17322</v>
      </c>
      <c r="D429" s="0" t="s">
        <v>42</v>
      </c>
      <c r="E429" s="0" t="n">
        <v>2</v>
      </c>
      <c r="F429" s="0" t="n">
        <v>-17.7</v>
      </c>
      <c r="G429" s="0" t="s">
        <v>65</v>
      </c>
    </row>
    <row r="430" customFormat="false" ht="15" hidden="false" customHeight="false" outlineLevel="0" collapsed="false">
      <c r="A430" s="0" t="s">
        <v>479</v>
      </c>
      <c r="B430" s="6" t="n">
        <v>40510</v>
      </c>
      <c r="C430" s="0" t="n">
        <v>17322</v>
      </c>
      <c r="D430" s="0" t="s">
        <v>42</v>
      </c>
      <c r="E430" s="0" t="n">
        <v>28</v>
      </c>
      <c r="F430" s="0" t="n">
        <v>164.2</v>
      </c>
      <c r="G430" s="0" t="s">
        <v>43</v>
      </c>
    </row>
    <row r="431" customFormat="false" ht="15" hidden="false" customHeight="false" outlineLevel="0" collapsed="false">
      <c r="A431" s="0" t="s">
        <v>480</v>
      </c>
      <c r="B431" s="6" t="n">
        <v>40511</v>
      </c>
      <c r="C431" s="0" t="n">
        <v>12352</v>
      </c>
      <c r="D431" s="0" t="s">
        <v>452</v>
      </c>
      <c r="E431" s="0" t="n">
        <v>12</v>
      </c>
      <c r="F431" s="0" t="n">
        <v>200.05</v>
      </c>
      <c r="G431" s="0" t="s">
        <v>43</v>
      </c>
    </row>
    <row r="432" customFormat="false" ht="15" hidden="false" customHeight="false" outlineLevel="0" collapsed="false">
      <c r="A432" s="0" t="s">
        <v>481</v>
      </c>
      <c r="B432" s="6" t="n">
        <v>40511</v>
      </c>
      <c r="C432" s="0" t="n">
        <v>14243</v>
      </c>
      <c r="D432" s="0" t="s">
        <v>42</v>
      </c>
      <c r="E432" s="0" t="n">
        <v>17</v>
      </c>
      <c r="F432" s="0" t="n">
        <v>316.25</v>
      </c>
      <c r="G432" s="0" t="s">
        <v>43</v>
      </c>
    </row>
    <row r="433" customFormat="false" ht="15" hidden="false" customHeight="false" outlineLevel="0" collapsed="false">
      <c r="A433" s="0" t="s">
        <v>482</v>
      </c>
      <c r="B433" s="6" t="n">
        <v>40512</v>
      </c>
      <c r="C433" s="0" t="n">
        <v>18101</v>
      </c>
      <c r="D433" s="0" t="s">
        <v>42</v>
      </c>
      <c r="E433" s="0" t="n">
        <v>25</v>
      </c>
      <c r="F433" s="0" t="n">
        <v>158.06</v>
      </c>
      <c r="G433" s="0" t="s">
        <v>43</v>
      </c>
    </row>
    <row r="434" customFormat="false" ht="15" hidden="false" customHeight="false" outlineLevel="0" collapsed="false">
      <c r="A434" s="0" t="s">
        <v>483</v>
      </c>
      <c r="B434" s="6" t="n">
        <v>40513</v>
      </c>
      <c r="C434" s="0" t="n">
        <v>14594</v>
      </c>
      <c r="D434" s="0" t="s">
        <v>42</v>
      </c>
      <c r="E434" s="0" t="n">
        <v>31</v>
      </c>
      <c r="F434" s="0" t="n">
        <v>255</v>
      </c>
      <c r="G434" s="0" t="s">
        <v>43</v>
      </c>
    </row>
    <row r="435" customFormat="false" ht="15" hidden="false" customHeight="false" outlineLevel="0" collapsed="false">
      <c r="A435" s="0" t="s">
        <v>484</v>
      </c>
      <c r="B435" s="6" t="n">
        <v>40514</v>
      </c>
      <c r="C435" s="0" t="n">
        <v>17581</v>
      </c>
      <c r="D435" s="0" t="s">
        <v>42</v>
      </c>
      <c r="E435" s="0" t="n">
        <v>31</v>
      </c>
      <c r="F435" s="0" t="n">
        <v>668.4</v>
      </c>
      <c r="G435" s="0" t="s">
        <v>43</v>
      </c>
    </row>
    <row r="436" customFormat="false" ht="15" hidden="false" customHeight="false" outlineLevel="0" collapsed="false">
      <c r="A436" s="0" t="s">
        <v>485</v>
      </c>
      <c r="B436" s="6" t="n">
        <v>40514</v>
      </c>
      <c r="C436" s="0" t="n">
        <v>17581</v>
      </c>
      <c r="D436" s="0" t="s">
        <v>42</v>
      </c>
      <c r="E436" s="0" t="n">
        <v>7</v>
      </c>
      <c r="F436" s="0" t="n">
        <v>118.38</v>
      </c>
      <c r="G436" s="0" t="s">
        <v>43</v>
      </c>
    </row>
    <row r="437" customFormat="false" ht="15" hidden="false" customHeight="false" outlineLevel="0" collapsed="false">
      <c r="A437" s="0" t="s">
        <v>486</v>
      </c>
      <c r="B437" s="6" t="n">
        <v>40514</v>
      </c>
      <c r="C437" s="0" t="n">
        <v>16634</v>
      </c>
      <c r="D437" s="0" t="s">
        <v>42</v>
      </c>
      <c r="E437" s="0" t="n">
        <v>8</v>
      </c>
      <c r="F437" s="0" t="n">
        <v>164.8</v>
      </c>
      <c r="G437" s="0" t="s">
        <v>43</v>
      </c>
    </row>
    <row r="438" customFormat="false" ht="15" hidden="false" customHeight="false" outlineLevel="0" collapsed="false">
      <c r="A438" s="0" t="s">
        <v>487</v>
      </c>
      <c r="B438" s="6" t="n">
        <v>40514</v>
      </c>
      <c r="C438" s="0" t="n">
        <v>14573</v>
      </c>
      <c r="D438" s="0" t="s">
        <v>42</v>
      </c>
      <c r="E438" s="0" t="n">
        <v>76</v>
      </c>
      <c r="F438" s="0" t="n">
        <v>413.1</v>
      </c>
      <c r="G438" s="0" t="s">
        <v>43</v>
      </c>
    </row>
    <row r="439" customFormat="false" ht="15" hidden="false" customHeight="false" outlineLevel="0" collapsed="false">
      <c r="A439" s="0" t="s">
        <v>488</v>
      </c>
      <c r="B439" s="6" t="n">
        <v>40515</v>
      </c>
      <c r="C439" s="0" t="n">
        <v>16883</v>
      </c>
      <c r="D439" s="0" t="s">
        <v>42</v>
      </c>
      <c r="E439" s="0" t="n">
        <v>17</v>
      </c>
      <c r="F439" s="0" t="n">
        <v>128.03</v>
      </c>
      <c r="G439" s="0" t="s">
        <v>43</v>
      </c>
    </row>
    <row r="440" customFormat="false" ht="15" hidden="false" customHeight="false" outlineLevel="0" collapsed="false">
      <c r="A440" s="0" t="s">
        <v>489</v>
      </c>
      <c r="B440" s="6" t="n">
        <v>40515</v>
      </c>
      <c r="C440" s="0" t="n">
        <v>17949</v>
      </c>
      <c r="D440" s="0" t="s">
        <v>42</v>
      </c>
      <c r="E440" s="0" t="n">
        <v>1</v>
      </c>
      <c r="F440" s="0" t="n">
        <v>1314</v>
      </c>
      <c r="G440" s="0" t="s">
        <v>43</v>
      </c>
    </row>
    <row r="441" customFormat="false" ht="15" hidden="false" customHeight="false" outlineLevel="0" collapsed="false">
      <c r="A441" s="0" t="s">
        <v>490</v>
      </c>
      <c r="B441" s="6" t="n">
        <v>40515</v>
      </c>
      <c r="C441" s="0" t="n">
        <v>17198</v>
      </c>
      <c r="D441" s="0" t="s">
        <v>42</v>
      </c>
      <c r="E441" s="0" t="n">
        <v>53</v>
      </c>
      <c r="F441" s="0" t="n">
        <v>272.01</v>
      </c>
      <c r="G441" s="0" t="s">
        <v>43</v>
      </c>
    </row>
    <row r="442" customFormat="false" ht="15" hidden="false" customHeight="false" outlineLevel="0" collapsed="false">
      <c r="A442" s="0" t="s">
        <v>491</v>
      </c>
      <c r="B442" s="6" t="n">
        <v>40519</v>
      </c>
      <c r="C442" s="0" t="n">
        <v>16059</v>
      </c>
      <c r="D442" s="0" t="s">
        <v>42</v>
      </c>
      <c r="E442" s="0" t="n">
        <v>18</v>
      </c>
      <c r="F442" s="0" t="n">
        <v>118.25</v>
      </c>
      <c r="G442" s="0" t="s">
        <v>43</v>
      </c>
    </row>
    <row r="443" customFormat="false" ht="15" hidden="false" customHeight="false" outlineLevel="0" collapsed="false">
      <c r="A443" s="0" t="s">
        <v>492</v>
      </c>
      <c r="B443" s="6" t="n">
        <v>40519</v>
      </c>
      <c r="C443" s="0" t="n">
        <v>16950</v>
      </c>
      <c r="D443" s="0" t="s">
        <v>42</v>
      </c>
      <c r="E443" s="0" t="n">
        <v>3</v>
      </c>
      <c r="F443" s="0" t="n">
        <v>172</v>
      </c>
      <c r="G443" s="0" t="s">
        <v>43</v>
      </c>
    </row>
    <row r="444" customFormat="false" ht="15" hidden="false" customHeight="false" outlineLevel="0" collapsed="false">
      <c r="A444" s="0" t="s">
        <v>493</v>
      </c>
      <c r="B444" s="6" t="n">
        <v>40520</v>
      </c>
      <c r="C444" s="0" t="n">
        <v>15032</v>
      </c>
      <c r="D444" s="0" t="s">
        <v>42</v>
      </c>
      <c r="E444" s="0" t="n">
        <v>29</v>
      </c>
      <c r="F444" s="0" t="n">
        <v>2746.75</v>
      </c>
      <c r="G444" s="0" t="s">
        <v>43</v>
      </c>
    </row>
    <row r="445" customFormat="false" ht="15" hidden="false" customHeight="false" outlineLevel="0" collapsed="false">
      <c r="A445" s="0" t="s">
        <v>494</v>
      </c>
      <c r="B445" s="6" t="n">
        <v>40520</v>
      </c>
      <c r="C445" s="0" t="n">
        <v>15032</v>
      </c>
      <c r="D445" s="0" t="s">
        <v>42</v>
      </c>
      <c r="E445" s="0" t="n">
        <v>1</v>
      </c>
      <c r="F445" s="0" t="n">
        <v>23.85</v>
      </c>
      <c r="G445" s="0" t="s">
        <v>43</v>
      </c>
    </row>
    <row r="446" customFormat="false" ht="15" hidden="false" customHeight="false" outlineLevel="0" collapsed="false">
      <c r="A446" s="0" t="s">
        <v>495</v>
      </c>
      <c r="B446" s="6" t="n">
        <v>40520</v>
      </c>
      <c r="C446" s="0" t="n">
        <v>18259</v>
      </c>
      <c r="D446" s="0" t="s">
        <v>42</v>
      </c>
      <c r="E446" s="0" t="n">
        <v>7</v>
      </c>
      <c r="F446" s="0" t="n">
        <v>376.3</v>
      </c>
      <c r="G446" s="0" t="s">
        <v>43</v>
      </c>
    </row>
    <row r="447" customFormat="false" ht="15" hidden="false" customHeight="false" outlineLevel="0" collapsed="false">
      <c r="A447" s="0" t="s">
        <v>496</v>
      </c>
      <c r="B447" s="6" t="n">
        <v>40521</v>
      </c>
      <c r="C447" s="0" t="n">
        <v>14243</v>
      </c>
      <c r="D447" s="0" t="s">
        <v>42</v>
      </c>
      <c r="E447" s="0" t="n">
        <v>8</v>
      </c>
      <c r="F447" s="0" t="n">
        <v>213.3</v>
      </c>
      <c r="G447" s="0" t="s">
        <v>43</v>
      </c>
    </row>
    <row r="448" customFormat="false" ht="15" hidden="false" customHeight="false" outlineLevel="0" collapsed="false">
      <c r="A448" s="0" t="s">
        <v>497</v>
      </c>
      <c r="B448" s="6" t="n">
        <v>40521</v>
      </c>
      <c r="C448" s="0" t="n">
        <v>17198</v>
      </c>
      <c r="D448" s="0" t="s">
        <v>42</v>
      </c>
      <c r="E448" s="0" t="n">
        <v>24</v>
      </c>
      <c r="F448" s="0" t="n">
        <v>249.65</v>
      </c>
      <c r="G448" s="0" t="s">
        <v>43</v>
      </c>
    </row>
    <row r="449" customFormat="false" ht="15" hidden="false" customHeight="false" outlineLevel="0" collapsed="false">
      <c r="A449" s="0" t="s">
        <v>498</v>
      </c>
      <c r="B449" s="6" t="n">
        <v>40521</v>
      </c>
      <c r="C449" s="0" t="n">
        <v>16907</v>
      </c>
      <c r="D449" s="0" t="s">
        <v>42</v>
      </c>
      <c r="E449" s="0" t="n">
        <v>34</v>
      </c>
      <c r="F449" s="0" t="n">
        <v>182.02</v>
      </c>
      <c r="G449" s="0" t="s">
        <v>43</v>
      </c>
    </row>
    <row r="450" customFormat="false" ht="15" hidden="false" customHeight="false" outlineLevel="0" collapsed="false">
      <c r="A450" s="0" t="s">
        <v>499</v>
      </c>
      <c r="B450" s="6" t="n">
        <v>40522</v>
      </c>
      <c r="C450" s="0" t="n">
        <v>14543</v>
      </c>
      <c r="D450" s="0" t="s">
        <v>42</v>
      </c>
      <c r="E450" s="0" t="n">
        <v>5</v>
      </c>
      <c r="F450" s="0" t="n">
        <v>254.4</v>
      </c>
      <c r="G450" s="0" t="s">
        <v>43</v>
      </c>
    </row>
    <row r="451" customFormat="false" ht="15" hidden="false" customHeight="false" outlineLevel="0" collapsed="false">
      <c r="A451" s="0" t="s">
        <v>500</v>
      </c>
      <c r="B451" s="6" t="n">
        <v>40522</v>
      </c>
      <c r="C451" s="0" t="n">
        <v>15514</v>
      </c>
      <c r="D451" s="0" t="s">
        <v>42</v>
      </c>
      <c r="E451" s="0" t="n">
        <v>39</v>
      </c>
      <c r="F451" s="0" t="n">
        <v>1136.32</v>
      </c>
      <c r="G451" s="0" t="s">
        <v>43</v>
      </c>
    </row>
    <row r="452" customFormat="false" ht="15" hidden="false" customHeight="false" outlineLevel="0" collapsed="false">
      <c r="A452" s="0" t="s">
        <v>501</v>
      </c>
      <c r="B452" s="6" t="n">
        <v>40522</v>
      </c>
      <c r="C452" s="0" t="n">
        <v>15514</v>
      </c>
      <c r="D452" s="0" t="s">
        <v>42</v>
      </c>
      <c r="E452" s="0" t="n">
        <v>1</v>
      </c>
      <c r="F452" s="0" t="n">
        <v>-39.95</v>
      </c>
      <c r="G452" s="0" t="s">
        <v>65</v>
      </c>
    </row>
    <row r="453" customFormat="false" ht="15" hidden="false" customHeight="false" outlineLevel="0" collapsed="false">
      <c r="A453" s="0" t="s">
        <v>502</v>
      </c>
      <c r="B453" s="6" t="n">
        <v>40522</v>
      </c>
      <c r="C453" s="0" t="n">
        <v>15514</v>
      </c>
      <c r="D453" s="0" t="s">
        <v>42</v>
      </c>
      <c r="E453" s="0" t="n">
        <v>22</v>
      </c>
      <c r="F453" s="0" t="n">
        <v>401.92</v>
      </c>
      <c r="G453" s="0" t="s">
        <v>43</v>
      </c>
    </row>
    <row r="454" customFormat="false" ht="15" hidden="false" customHeight="false" outlineLevel="0" collapsed="false">
      <c r="A454" s="0" t="s">
        <v>503</v>
      </c>
      <c r="B454" s="6" t="n">
        <v>40522</v>
      </c>
      <c r="C454" s="0" t="n">
        <v>15514</v>
      </c>
      <c r="D454" s="0" t="s">
        <v>42</v>
      </c>
      <c r="E454" s="0" t="n">
        <v>39</v>
      </c>
      <c r="F454" s="0" t="n">
        <v>-1136.32</v>
      </c>
      <c r="G454" s="0" t="s">
        <v>65</v>
      </c>
    </row>
    <row r="455" customFormat="false" ht="15" hidden="false" customHeight="false" outlineLevel="0" collapsed="false">
      <c r="A455" s="0" t="s">
        <v>504</v>
      </c>
      <c r="B455" s="6" t="n">
        <v>40522</v>
      </c>
      <c r="C455" s="0" t="n">
        <v>15514</v>
      </c>
      <c r="D455" s="0" t="s">
        <v>42</v>
      </c>
      <c r="E455" s="0" t="n">
        <v>1</v>
      </c>
      <c r="F455" s="0" t="n">
        <v>39.95</v>
      </c>
      <c r="G455" s="0" t="s">
        <v>43</v>
      </c>
    </row>
    <row r="456" customFormat="false" ht="15" hidden="false" customHeight="false" outlineLevel="0" collapsed="false">
      <c r="A456" s="0" t="s">
        <v>505</v>
      </c>
      <c r="B456" s="6" t="n">
        <v>40524</v>
      </c>
      <c r="C456" s="0" t="n">
        <v>17126</v>
      </c>
      <c r="D456" s="0" t="s">
        <v>42</v>
      </c>
      <c r="E456" s="0" t="n">
        <v>1</v>
      </c>
      <c r="F456" s="0" t="n">
        <v>-9.95</v>
      </c>
      <c r="G456" s="0" t="s">
        <v>65</v>
      </c>
    </row>
    <row r="457" customFormat="false" ht="15" hidden="false" customHeight="false" outlineLevel="0" collapsed="false">
      <c r="A457" s="0" t="s">
        <v>506</v>
      </c>
      <c r="B457" s="6" t="n">
        <v>40524</v>
      </c>
      <c r="C457" s="0" t="n">
        <v>17126</v>
      </c>
      <c r="D457" s="0" t="s">
        <v>42</v>
      </c>
      <c r="E457" s="0" t="n">
        <v>62</v>
      </c>
      <c r="F457" s="0" t="n">
        <v>212.6</v>
      </c>
      <c r="G457" s="0" t="s">
        <v>43</v>
      </c>
    </row>
    <row r="458" customFormat="false" ht="15" hidden="false" customHeight="false" outlineLevel="0" collapsed="false">
      <c r="A458" s="0" t="s">
        <v>507</v>
      </c>
      <c r="B458" s="6" t="n">
        <v>40524</v>
      </c>
      <c r="C458" s="0" t="n">
        <v>12875</v>
      </c>
      <c r="D458" s="0" t="s">
        <v>42</v>
      </c>
      <c r="E458" s="0" t="n">
        <v>1</v>
      </c>
      <c r="F458" s="0" t="n">
        <v>293.76</v>
      </c>
      <c r="G458" s="0" t="s">
        <v>43</v>
      </c>
    </row>
    <row r="459" customFormat="false" ht="15" hidden="false" customHeight="false" outlineLevel="0" collapsed="false">
      <c r="A459" s="0" t="s">
        <v>508</v>
      </c>
      <c r="B459" s="6" t="n">
        <v>40524</v>
      </c>
      <c r="C459" s="0" t="n">
        <v>14413</v>
      </c>
      <c r="D459" s="0" t="s">
        <v>42</v>
      </c>
      <c r="E459" s="0" t="n">
        <v>23</v>
      </c>
      <c r="F459" s="0" t="n">
        <v>122.7</v>
      </c>
      <c r="G459" s="0" t="s">
        <v>43</v>
      </c>
    </row>
    <row r="460" customFormat="false" ht="15" hidden="false" customHeight="false" outlineLevel="0" collapsed="false">
      <c r="A460" s="0" t="s">
        <v>509</v>
      </c>
      <c r="B460" s="6" t="n">
        <v>40526</v>
      </c>
      <c r="C460" s="0" t="n">
        <v>17041</v>
      </c>
      <c r="D460" s="0" t="s">
        <v>42</v>
      </c>
      <c r="E460" s="0" t="n">
        <v>17</v>
      </c>
      <c r="F460" s="0" t="n">
        <v>304.5</v>
      </c>
      <c r="G460" s="0" t="s">
        <v>43</v>
      </c>
    </row>
    <row r="461" customFormat="false" ht="15" hidden="false" customHeight="false" outlineLevel="0" collapsed="false">
      <c r="A461" s="0" t="s">
        <v>510</v>
      </c>
      <c r="B461" s="6" t="n">
        <v>40526</v>
      </c>
      <c r="C461" s="0" t="n">
        <v>17041</v>
      </c>
      <c r="D461" s="0" t="s">
        <v>42</v>
      </c>
      <c r="E461" s="0" t="n">
        <v>1</v>
      </c>
      <c r="F461" s="0" t="n">
        <v>-15.8</v>
      </c>
      <c r="G461" s="0" t="s">
        <v>65</v>
      </c>
    </row>
    <row r="462" customFormat="false" ht="15" hidden="false" customHeight="false" outlineLevel="0" collapsed="false">
      <c r="A462" s="0" t="s">
        <v>511</v>
      </c>
      <c r="B462" s="6" t="n">
        <v>40526</v>
      </c>
      <c r="C462" s="0" t="n">
        <v>15514</v>
      </c>
      <c r="D462" s="0" t="s">
        <v>42</v>
      </c>
      <c r="E462" s="0" t="n">
        <v>11</v>
      </c>
      <c r="F462" s="0" t="n">
        <v>306.52</v>
      </c>
      <c r="G462" s="0" t="s">
        <v>43</v>
      </c>
    </row>
    <row r="463" customFormat="false" ht="15" hidden="false" customHeight="false" outlineLevel="0" collapsed="false">
      <c r="A463" s="0" t="s">
        <v>512</v>
      </c>
      <c r="B463" s="6" t="n">
        <v>40527</v>
      </c>
      <c r="C463" s="0" t="n">
        <v>14201</v>
      </c>
      <c r="D463" s="0" t="s">
        <v>42</v>
      </c>
      <c r="E463" s="0" t="n">
        <v>4</v>
      </c>
      <c r="F463" s="0" t="n">
        <v>67.24</v>
      </c>
      <c r="G463" s="0" t="s">
        <v>43</v>
      </c>
    </row>
    <row r="464" customFormat="false" ht="15" hidden="false" customHeight="false" outlineLevel="0" collapsed="false">
      <c r="A464" s="0" t="s">
        <v>513</v>
      </c>
      <c r="B464" s="6" t="n">
        <v>40528</v>
      </c>
      <c r="C464" s="0" t="n">
        <v>15482</v>
      </c>
      <c r="D464" s="0" t="s">
        <v>42</v>
      </c>
      <c r="E464" s="0" t="n">
        <v>6</v>
      </c>
      <c r="F464" s="0" t="n">
        <v>527.04</v>
      </c>
      <c r="G464" s="0" t="s">
        <v>43</v>
      </c>
    </row>
    <row r="465" customFormat="false" ht="15" hidden="false" customHeight="false" outlineLevel="0" collapsed="false">
      <c r="A465" s="0" t="s">
        <v>514</v>
      </c>
      <c r="B465" s="6" t="n">
        <v>40528</v>
      </c>
      <c r="C465" s="0" t="n">
        <v>15482</v>
      </c>
      <c r="D465" s="0" t="s">
        <v>42</v>
      </c>
      <c r="E465" s="0" t="n">
        <v>2</v>
      </c>
      <c r="F465" s="0" t="n">
        <v>196.6</v>
      </c>
      <c r="G465" s="0" t="s">
        <v>43</v>
      </c>
    </row>
    <row r="466" customFormat="false" ht="15" hidden="false" customHeight="false" outlineLevel="0" collapsed="false">
      <c r="A466" s="0" t="s">
        <v>515</v>
      </c>
      <c r="B466" s="6" t="n">
        <v>40528</v>
      </c>
      <c r="C466" s="0" t="n">
        <v>18223</v>
      </c>
      <c r="D466" s="0" t="s">
        <v>42</v>
      </c>
      <c r="E466" s="0" t="n">
        <v>21</v>
      </c>
      <c r="F466" s="0" t="n">
        <v>501.69</v>
      </c>
      <c r="G466" s="0" t="s">
        <v>43</v>
      </c>
    </row>
    <row r="467" customFormat="false" ht="15" hidden="false" customHeight="false" outlineLevel="0" collapsed="false">
      <c r="A467" s="0" t="s">
        <v>516</v>
      </c>
      <c r="B467" s="6" t="n">
        <v>40529</v>
      </c>
      <c r="C467" s="0" t="n">
        <v>14243</v>
      </c>
      <c r="D467" s="0" t="s">
        <v>42</v>
      </c>
      <c r="E467" s="0" t="n">
        <v>11</v>
      </c>
      <c r="F467" s="0" t="n">
        <v>258.7</v>
      </c>
      <c r="G467" s="0" t="s">
        <v>43</v>
      </c>
    </row>
    <row r="468" customFormat="false" ht="15" hidden="false" customHeight="false" outlineLevel="0" collapsed="false">
      <c r="A468" s="0" t="s">
        <v>517</v>
      </c>
      <c r="B468" s="6" t="n">
        <v>40533</v>
      </c>
      <c r="C468" s="0" t="n">
        <v>18223</v>
      </c>
      <c r="D468" s="0" t="s">
        <v>42</v>
      </c>
      <c r="E468" s="0" t="n">
        <v>1</v>
      </c>
      <c r="F468" s="0" t="n">
        <v>-19.9</v>
      </c>
      <c r="G468" s="0" t="s">
        <v>65</v>
      </c>
    </row>
    <row r="469" customFormat="false" ht="15" hidden="false" customHeight="false" outlineLevel="0" collapsed="false">
      <c r="A469" s="0" t="s">
        <v>518</v>
      </c>
      <c r="B469" s="6" t="n">
        <v>40535</v>
      </c>
      <c r="C469" s="0" t="n">
        <v>17581</v>
      </c>
      <c r="D469" s="0" t="s">
        <v>42</v>
      </c>
      <c r="E469" s="0" t="n">
        <v>1</v>
      </c>
      <c r="F469" s="0" t="n">
        <v>-17.7</v>
      </c>
      <c r="G469" s="0" t="s">
        <v>65</v>
      </c>
    </row>
    <row r="470" customFormat="false" ht="15" hidden="false" customHeight="false" outlineLevel="0" collapsed="false">
      <c r="A470" s="0" t="s">
        <v>519</v>
      </c>
      <c r="B470" s="6" t="n">
        <v>40547</v>
      </c>
      <c r="C470" s="0" t="n">
        <v>16282</v>
      </c>
      <c r="D470" s="0" t="s">
        <v>42</v>
      </c>
      <c r="E470" s="0" t="n">
        <v>11</v>
      </c>
      <c r="F470" s="0" t="n">
        <v>168.3</v>
      </c>
      <c r="G470" s="0" t="s">
        <v>43</v>
      </c>
    </row>
    <row r="471" customFormat="false" ht="15" hidden="false" customHeight="false" outlineLevel="0" collapsed="false">
      <c r="A471" s="0" t="s">
        <v>520</v>
      </c>
      <c r="B471" s="6" t="n">
        <v>40549</v>
      </c>
      <c r="C471" s="0" t="n">
        <v>17949</v>
      </c>
      <c r="D471" s="0" t="s">
        <v>42</v>
      </c>
      <c r="E471" s="0" t="n">
        <v>1</v>
      </c>
      <c r="F471" s="0" t="n">
        <v>432</v>
      </c>
      <c r="G471" s="0" t="s">
        <v>43</v>
      </c>
    </row>
    <row r="472" customFormat="false" ht="15" hidden="false" customHeight="false" outlineLevel="0" collapsed="false">
      <c r="A472" s="0" t="s">
        <v>521</v>
      </c>
      <c r="B472" s="6" t="n">
        <v>40550</v>
      </c>
      <c r="C472" s="0" t="n">
        <v>13233</v>
      </c>
      <c r="D472" s="0" t="s">
        <v>42</v>
      </c>
      <c r="E472" s="0" t="n">
        <v>17</v>
      </c>
      <c r="F472" s="0" t="n">
        <v>304.24</v>
      </c>
      <c r="G472" s="0" t="s">
        <v>43</v>
      </c>
    </row>
    <row r="473" customFormat="false" ht="15" hidden="false" customHeight="false" outlineLevel="0" collapsed="false">
      <c r="A473" s="0" t="s">
        <v>522</v>
      </c>
      <c r="B473" s="6" t="n">
        <v>40554</v>
      </c>
      <c r="C473" s="0" t="n">
        <v>12393</v>
      </c>
      <c r="D473" s="0" t="s">
        <v>393</v>
      </c>
      <c r="E473" s="0" t="n">
        <v>19</v>
      </c>
      <c r="F473" s="0" t="n">
        <v>462.5</v>
      </c>
      <c r="G473" s="0" t="s">
        <v>43</v>
      </c>
    </row>
    <row r="474" customFormat="false" ht="15" hidden="false" customHeight="false" outlineLevel="0" collapsed="false">
      <c r="A474" s="0" t="s">
        <v>523</v>
      </c>
      <c r="B474" s="6" t="n">
        <v>40554</v>
      </c>
      <c r="C474" s="0" t="n">
        <v>15370</v>
      </c>
      <c r="D474" s="0" t="s">
        <v>42</v>
      </c>
      <c r="E474" s="0" t="n">
        <v>8</v>
      </c>
      <c r="F474" s="0" t="n">
        <v>184.2</v>
      </c>
      <c r="G474" s="0" t="s">
        <v>43</v>
      </c>
    </row>
    <row r="475" customFormat="false" ht="15" hidden="false" customHeight="false" outlineLevel="0" collapsed="false">
      <c r="A475" s="0" t="s">
        <v>524</v>
      </c>
      <c r="B475" s="6" t="n">
        <v>40554</v>
      </c>
      <c r="C475" s="0" t="n">
        <v>18095</v>
      </c>
      <c r="D475" s="0" t="s">
        <v>42</v>
      </c>
      <c r="E475" s="0" t="n">
        <v>16</v>
      </c>
      <c r="F475" s="0" t="n">
        <v>374.75</v>
      </c>
      <c r="G475" s="0" t="s">
        <v>43</v>
      </c>
    </row>
    <row r="476" customFormat="false" ht="15" hidden="false" customHeight="false" outlineLevel="0" collapsed="false">
      <c r="A476" s="0" t="s">
        <v>525</v>
      </c>
      <c r="B476" s="6" t="n">
        <v>40556</v>
      </c>
      <c r="C476" s="0" t="n">
        <v>17581</v>
      </c>
      <c r="D476" s="0" t="s">
        <v>42</v>
      </c>
      <c r="E476" s="0" t="n">
        <v>4</v>
      </c>
      <c r="F476" s="0" t="n">
        <v>-23.4</v>
      </c>
      <c r="G476" s="0" t="s">
        <v>65</v>
      </c>
    </row>
    <row r="477" customFormat="false" ht="15" hidden="false" customHeight="false" outlineLevel="0" collapsed="false">
      <c r="A477" s="0" t="s">
        <v>526</v>
      </c>
      <c r="B477" s="6" t="n">
        <v>40557</v>
      </c>
      <c r="C477" s="0" t="n">
        <v>12393</v>
      </c>
      <c r="D477" s="0" t="s">
        <v>393</v>
      </c>
      <c r="E477" s="0" t="n">
        <v>3</v>
      </c>
      <c r="F477" s="0" t="n">
        <v>177</v>
      </c>
      <c r="G477" s="0" t="s">
        <v>43</v>
      </c>
    </row>
    <row r="478" customFormat="false" ht="15" hidden="false" customHeight="false" outlineLevel="0" collapsed="false">
      <c r="A478" s="0" t="s">
        <v>527</v>
      </c>
      <c r="B478" s="6" t="n">
        <v>40557</v>
      </c>
      <c r="C478" s="0" t="n">
        <v>17581</v>
      </c>
      <c r="D478" s="0" t="s">
        <v>42</v>
      </c>
      <c r="E478" s="0" t="n">
        <v>22</v>
      </c>
      <c r="F478" s="0" t="n">
        <v>448.95</v>
      </c>
      <c r="G478" s="0" t="s">
        <v>43</v>
      </c>
    </row>
    <row r="479" customFormat="false" ht="15" hidden="false" customHeight="false" outlineLevel="0" collapsed="false">
      <c r="A479" s="0" t="s">
        <v>528</v>
      </c>
      <c r="B479" s="6" t="n">
        <v>40559</v>
      </c>
      <c r="C479" s="0" t="n">
        <v>16059</v>
      </c>
      <c r="D479" s="0" t="s">
        <v>42</v>
      </c>
      <c r="E479" s="0" t="n">
        <v>31</v>
      </c>
      <c r="F479" s="0" t="n">
        <v>145</v>
      </c>
      <c r="G479" s="0" t="s">
        <v>43</v>
      </c>
    </row>
    <row r="480" customFormat="false" ht="15" hidden="false" customHeight="false" outlineLevel="0" collapsed="false">
      <c r="A480" s="0" t="s">
        <v>529</v>
      </c>
      <c r="B480" s="6" t="n">
        <v>40560</v>
      </c>
      <c r="C480" s="0" t="n">
        <v>18223</v>
      </c>
      <c r="D480" s="0" t="s">
        <v>42</v>
      </c>
      <c r="E480" s="0" t="n">
        <v>32</v>
      </c>
      <c r="F480" s="0" t="n">
        <v>635.8</v>
      </c>
      <c r="G480" s="0" t="s">
        <v>43</v>
      </c>
    </row>
    <row r="481" customFormat="false" ht="15" hidden="false" customHeight="false" outlineLevel="0" collapsed="false">
      <c r="A481" s="0" t="s">
        <v>530</v>
      </c>
      <c r="B481" s="6" t="n">
        <v>40563</v>
      </c>
      <c r="C481" s="0" t="n">
        <v>14779</v>
      </c>
      <c r="D481" s="0" t="s">
        <v>42</v>
      </c>
      <c r="E481" s="0" t="n">
        <v>31</v>
      </c>
      <c r="F481" s="0" t="n">
        <v>262.55</v>
      </c>
      <c r="G481" s="0" t="s">
        <v>43</v>
      </c>
    </row>
    <row r="482" customFormat="false" ht="15" hidden="false" customHeight="false" outlineLevel="0" collapsed="false">
      <c r="A482" s="0" t="s">
        <v>531</v>
      </c>
      <c r="B482" s="6" t="n">
        <v>40564</v>
      </c>
      <c r="C482" s="0" t="n">
        <v>18223</v>
      </c>
      <c r="D482" s="0" t="s">
        <v>42</v>
      </c>
      <c r="E482" s="0" t="n">
        <v>4</v>
      </c>
      <c r="F482" s="0" t="n">
        <v>-29.54</v>
      </c>
      <c r="G482" s="0" t="s">
        <v>65</v>
      </c>
    </row>
    <row r="483" customFormat="false" ht="15" hidden="false" customHeight="false" outlineLevel="0" collapsed="false">
      <c r="A483" s="0" t="s">
        <v>532</v>
      </c>
      <c r="B483" s="6" t="n">
        <v>40564</v>
      </c>
      <c r="C483" s="0" t="n">
        <v>18223</v>
      </c>
      <c r="D483" s="0" t="s">
        <v>42</v>
      </c>
      <c r="E483" s="0" t="n">
        <v>1</v>
      </c>
      <c r="F483" s="0" t="n">
        <v>19.5</v>
      </c>
      <c r="G483" s="0" t="s">
        <v>43</v>
      </c>
    </row>
    <row r="484" customFormat="false" ht="15" hidden="false" customHeight="false" outlineLevel="0" collapsed="false">
      <c r="A484" s="0" t="s">
        <v>533</v>
      </c>
      <c r="B484" s="6" t="n">
        <v>40564</v>
      </c>
      <c r="C484" s="0" t="n">
        <v>16618</v>
      </c>
      <c r="D484" s="0" t="s">
        <v>42</v>
      </c>
      <c r="E484" s="0" t="n">
        <v>35</v>
      </c>
      <c r="F484" s="0" t="n">
        <v>728.16</v>
      </c>
      <c r="G484" s="0" t="s">
        <v>43</v>
      </c>
    </row>
    <row r="485" customFormat="false" ht="15" hidden="false" customHeight="false" outlineLevel="0" collapsed="false">
      <c r="A485" s="0" t="s">
        <v>534</v>
      </c>
      <c r="B485" s="6" t="n">
        <v>40564</v>
      </c>
      <c r="C485" s="0" t="n">
        <v>14779</v>
      </c>
      <c r="D485" s="0" t="s">
        <v>42</v>
      </c>
      <c r="E485" s="0" t="n">
        <v>4</v>
      </c>
      <c r="F485" s="0" t="n">
        <v>85.6</v>
      </c>
      <c r="G485" s="0" t="s">
        <v>43</v>
      </c>
    </row>
    <row r="486" customFormat="false" ht="15" hidden="false" customHeight="false" outlineLevel="0" collapsed="false">
      <c r="A486" s="0" t="s">
        <v>535</v>
      </c>
      <c r="B486" s="6" t="n">
        <v>40564</v>
      </c>
      <c r="C486" s="0" t="n">
        <v>18223</v>
      </c>
      <c r="D486" s="0" t="s">
        <v>42</v>
      </c>
      <c r="E486" s="0" t="n">
        <v>1</v>
      </c>
      <c r="F486" s="0" t="n">
        <v>-4.95</v>
      </c>
      <c r="G486" s="0" t="s">
        <v>65</v>
      </c>
    </row>
    <row r="487" customFormat="false" ht="15" hidden="false" customHeight="false" outlineLevel="0" collapsed="false">
      <c r="A487" s="0" t="s">
        <v>536</v>
      </c>
      <c r="B487" s="6" t="n">
        <v>40568</v>
      </c>
      <c r="C487" s="0" t="n">
        <v>14543</v>
      </c>
      <c r="D487" s="0" t="s">
        <v>42</v>
      </c>
      <c r="E487" s="0" t="n">
        <v>6</v>
      </c>
      <c r="F487" s="0" t="n">
        <v>303.8</v>
      </c>
      <c r="G487" s="0" t="s">
        <v>43</v>
      </c>
    </row>
    <row r="488" customFormat="false" ht="15" hidden="false" customHeight="false" outlineLevel="0" collapsed="false">
      <c r="A488" s="0" t="s">
        <v>537</v>
      </c>
      <c r="B488" s="6" t="n">
        <v>40569</v>
      </c>
      <c r="C488" s="0" t="n">
        <v>14243</v>
      </c>
      <c r="D488" s="0" t="s">
        <v>42</v>
      </c>
      <c r="E488" s="0" t="n">
        <v>21</v>
      </c>
      <c r="F488" s="0" t="n">
        <v>328.4</v>
      </c>
      <c r="G488" s="0" t="s">
        <v>43</v>
      </c>
    </row>
    <row r="489" customFormat="false" ht="15" hidden="false" customHeight="false" outlineLevel="0" collapsed="false">
      <c r="A489" s="0" t="s">
        <v>538</v>
      </c>
      <c r="B489" s="6" t="n">
        <v>40569</v>
      </c>
      <c r="C489" s="0" t="n">
        <v>12997</v>
      </c>
      <c r="D489" s="0" t="s">
        <v>42</v>
      </c>
      <c r="E489" s="0" t="n">
        <v>15</v>
      </c>
      <c r="F489" s="0" t="n">
        <v>305.55</v>
      </c>
      <c r="G489" s="0" t="s">
        <v>43</v>
      </c>
    </row>
    <row r="490" customFormat="false" ht="15" hidden="false" customHeight="false" outlineLevel="0" collapsed="false">
      <c r="A490" s="0" t="s">
        <v>539</v>
      </c>
      <c r="B490" s="6" t="n">
        <v>40571</v>
      </c>
      <c r="C490" s="0" t="n">
        <v>12997</v>
      </c>
      <c r="D490" s="0" t="s">
        <v>42</v>
      </c>
      <c r="E490" s="0" t="n">
        <v>3</v>
      </c>
      <c r="F490" s="0" t="n">
        <v>-18.1</v>
      </c>
      <c r="G490" s="0" t="s">
        <v>65</v>
      </c>
    </row>
    <row r="491" customFormat="false" ht="15" hidden="false" customHeight="false" outlineLevel="0" collapsed="false">
      <c r="A491" s="0" t="s">
        <v>540</v>
      </c>
      <c r="B491" s="6" t="n">
        <v>40573</v>
      </c>
      <c r="C491" s="0" t="n">
        <v>17431</v>
      </c>
      <c r="D491" s="0" t="s">
        <v>42</v>
      </c>
      <c r="E491" s="0" t="n">
        <v>43</v>
      </c>
      <c r="F491" s="0" t="n">
        <v>403.3</v>
      </c>
      <c r="G491" s="0" t="s">
        <v>43</v>
      </c>
    </row>
    <row r="492" customFormat="false" ht="15" hidden="false" customHeight="false" outlineLevel="0" collapsed="false">
      <c r="A492" s="0" t="s">
        <v>541</v>
      </c>
      <c r="B492" s="6" t="n">
        <v>40574</v>
      </c>
      <c r="C492" s="0" t="n">
        <v>18095</v>
      </c>
      <c r="D492" s="0" t="s">
        <v>42</v>
      </c>
      <c r="E492" s="0" t="n">
        <v>5</v>
      </c>
      <c r="F492" s="0" t="n">
        <v>205.3</v>
      </c>
      <c r="G492" s="0" t="s">
        <v>43</v>
      </c>
    </row>
    <row r="493" customFormat="false" ht="15" hidden="false" customHeight="false" outlineLevel="0" collapsed="false">
      <c r="A493" s="0" t="s">
        <v>542</v>
      </c>
      <c r="B493" s="6" t="n">
        <v>40575</v>
      </c>
      <c r="C493" s="0" t="n">
        <v>15203</v>
      </c>
      <c r="D493" s="0" t="s">
        <v>42</v>
      </c>
      <c r="E493" s="0" t="n">
        <v>20</v>
      </c>
      <c r="F493" s="0" t="n">
        <v>211.94</v>
      </c>
      <c r="G493" s="0" t="s">
        <v>43</v>
      </c>
    </row>
    <row r="494" customFormat="false" ht="15" hidden="false" customHeight="false" outlineLevel="0" collapsed="false">
      <c r="A494" s="0" t="s">
        <v>543</v>
      </c>
      <c r="B494" s="6" t="n">
        <v>40575</v>
      </c>
      <c r="C494" s="0" t="n">
        <v>12373</v>
      </c>
      <c r="D494" s="0" t="s">
        <v>137</v>
      </c>
      <c r="E494" s="0" t="n">
        <v>14</v>
      </c>
      <c r="F494" s="0" t="n">
        <v>364.6</v>
      </c>
      <c r="G494" s="0" t="s">
        <v>43</v>
      </c>
    </row>
    <row r="495" customFormat="false" ht="15" hidden="false" customHeight="false" outlineLevel="0" collapsed="false">
      <c r="A495" s="0" t="s">
        <v>544</v>
      </c>
      <c r="B495" s="6" t="n">
        <v>40576</v>
      </c>
      <c r="C495" s="0" t="n">
        <v>18250</v>
      </c>
      <c r="D495" s="0" t="s">
        <v>42</v>
      </c>
      <c r="E495" s="0" t="n">
        <v>21</v>
      </c>
      <c r="F495" s="0" t="n">
        <v>349.27</v>
      </c>
      <c r="G495" s="0" t="s">
        <v>43</v>
      </c>
    </row>
    <row r="496" customFormat="false" ht="15" hidden="false" customHeight="false" outlineLevel="0" collapsed="false">
      <c r="A496" s="0" t="s">
        <v>545</v>
      </c>
      <c r="B496" s="6" t="n">
        <v>40585</v>
      </c>
      <c r="C496" s="0" t="n">
        <v>18250</v>
      </c>
      <c r="D496" s="0" t="s">
        <v>42</v>
      </c>
      <c r="E496" s="0" t="n">
        <v>1</v>
      </c>
      <c r="F496" s="0" t="n">
        <v>-6.35</v>
      </c>
      <c r="G496" s="0" t="s">
        <v>65</v>
      </c>
    </row>
    <row r="497" customFormat="false" ht="15" hidden="false" customHeight="false" outlineLevel="0" collapsed="false">
      <c r="A497" s="0" t="s">
        <v>546</v>
      </c>
      <c r="B497" s="6" t="n">
        <v>40587</v>
      </c>
      <c r="C497" s="0" t="n">
        <v>17126</v>
      </c>
      <c r="D497" s="0" t="s">
        <v>42</v>
      </c>
      <c r="E497" s="0" t="n">
        <v>62</v>
      </c>
      <c r="F497" s="0" t="n">
        <v>302.67</v>
      </c>
      <c r="G497" s="0" t="s">
        <v>43</v>
      </c>
    </row>
    <row r="498" customFormat="false" ht="15" hidden="false" customHeight="false" outlineLevel="0" collapsed="false">
      <c r="A498" s="0" t="s">
        <v>547</v>
      </c>
      <c r="B498" s="6" t="n">
        <v>40589</v>
      </c>
      <c r="C498" s="0" t="n">
        <v>15370</v>
      </c>
      <c r="D498" s="0" t="s">
        <v>42</v>
      </c>
      <c r="E498" s="0" t="n">
        <v>28</v>
      </c>
      <c r="F498" s="0" t="n">
        <v>570.02</v>
      </c>
      <c r="G498" s="0" t="s">
        <v>43</v>
      </c>
    </row>
    <row r="499" customFormat="false" ht="15" hidden="false" customHeight="false" outlineLevel="0" collapsed="false">
      <c r="A499" s="0" t="s">
        <v>548</v>
      </c>
      <c r="B499" s="6" t="n">
        <v>40590</v>
      </c>
      <c r="C499" s="0" t="n">
        <v>12352</v>
      </c>
      <c r="D499" s="0" t="s">
        <v>452</v>
      </c>
      <c r="E499" s="0" t="n">
        <v>15</v>
      </c>
      <c r="F499" s="0" t="n">
        <v>296.5</v>
      </c>
      <c r="G499" s="0" t="s">
        <v>43</v>
      </c>
    </row>
    <row r="500" customFormat="false" ht="15" hidden="false" customHeight="false" outlineLevel="0" collapsed="false">
      <c r="A500" s="0" t="s">
        <v>549</v>
      </c>
      <c r="B500" s="6" t="n">
        <v>40590</v>
      </c>
      <c r="C500" s="0" t="n">
        <v>14543</v>
      </c>
      <c r="D500" s="0" t="s">
        <v>42</v>
      </c>
      <c r="E500" s="0" t="n">
        <v>6</v>
      </c>
      <c r="F500" s="0" t="n">
        <v>388.05</v>
      </c>
      <c r="G500" s="0" t="s">
        <v>43</v>
      </c>
    </row>
    <row r="501" customFormat="false" ht="15" hidden="false" customHeight="false" outlineLevel="0" collapsed="false">
      <c r="A501" s="0" t="s">
        <v>550</v>
      </c>
      <c r="B501" s="6" t="n">
        <v>40591</v>
      </c>
      <c r="C501" s="0" t="n">
        <v>13085</v>
      </c>
      <c r="D501" s="0" t="s">
        <v>42</v>
      </c>
      <c r="E501" s="0" t="n">
        <v>13</v>
      </c>
      <c r="F501" s="0" t="n">
        <v>278.1</v>
      </c>
      <c r="G501" s="0" t="s">
        <v>43</v>
      </c>
    </row>
    <row r="502" customFormat="false" ht="15" hidden="false" customHeight="false" outlineLevel="0" collapsed="false">
      <c r="A502" s="0" t="s">
        <v>551</v>
      </c>
      <c r="B502" s="6" t="n">
        <v>40596</v>
      </c>
      <c r="C502" s="0" t="n">
        <v>17002</v>
      </c>
      <c r="D502" s="0" t="s">
        <v>42</v>
      </c>
      <c r="E502" s="0" t="n">
        <v>17</v>
      </c>
      <c r="F502" s="0" t="n">
        <v>513.06</v>
      </c>
      <c r="G502" s="0" t="s">
        <v>43</v>
      </c>
    </row>
    <row r="503" customFormat="false" ht="15" hidden="false" customHeight="false" outlineLevel="0" collapsed="false">
      <c r="A503" s="0" t="s">
        <v>552</v>
      </c>
      <c r="B503" s="6" t="n">
        <v>40596</v>
      </c>
      <c r="C503" s="0" t="n">
        <v>16907</v>
      </c>
      <c r="D503" s="0" t="s">
        <v>42</v>
      </c>
      <c r="E503" s="0" t="n">
        <v>31</v>
      </c>
      <c r="F503" s="0" t="n">
        <v>250.68</v>
      </c>
      <c r="G503" s="0" t="s">
        <v>43</v>
      </c>
    </row>
    <row r="504" customFormat="false" ht="15" hidden="false" customHeight="false" outlineLevel="0" collapsed="false">
      <c r="A504" s="0" t="s">
        <v>553</v>
      </c>
      <c r="B504" s="6" t="n">
        <v>40596</v>
      </c>
      <c r="C504" s="0" t="n">
        <v>13285</v>
      </c>
      <c r="D504" s="0" t="s">
        <v>42</v>
      </c>
      <c r="E504" s="0" t="n">
        <v>52</v>
      </c>
      <c r="F504" s="0" t="n">
        <v>666.89</v>
      </c>
      <c r="G504" s="0" t="s">
        <v>43</v>
      </c>
    </row>
    <row r="505" customFormat="false" ht="15" hidden="false" customHeight="false" outlineLevel="0" collapsed="false">
      <c r="A505" s="0" t="s">
        <v>554</v>
      </c>
      <c r="B505" s="6" t="n">
        <v>40597</v>
      </c>
      <c r="C505" s="0" t="n">
        <v>17949</v>
      </c>
      <c r="D505" s="0" t="s">
        <v>42</v>
      </c>
      <c r="E505" s="0" t="n">
        <v>1</v>
      </c>
      <c r="F505" s="0" t="n">
        <v>259.2</v>
      </c>
      <c r="G505" s="0" t="s">
        <v>43</v>
      </c>
    </row>
    <row r="506" customFormat="false" ht="15" hidden="false" customHeight="false" outlineLevel="0" collapsed="false">
      <c r="A506" s="0" t="s">
        <v>555</v>
      </c>
      <c r="B506" s="6" t="n">
        <v>40597</v>
      </c>
      <c r="C506" s="0" t="n">
        <v>17949</v>
      </c>
      <c r="D506" s="0" t="s">
        <v>42</v>
      </c>
      <c r="E506" s="0" t="n">
        <v>1</v>
      </c>
      <c r="F506" s="0" t="n">
        <v>172.8</v>
      </c>
      <c r="G506" s="0" t="s">
        <v>43</v>
      </c>
    </row>
    <row r="507" customFormat="false" ht="15" hidden="false" customHeight="false" outlineLevel="0" collapsed="false">
      <c r="A507" s="0" t="s">
        <v>556</v>
      </c>
      <c r="B507" s="6" t="n">
        <v>40597</v>
      </c>
      <c r="C507" s="0" t="n">
        <v>16692</v>
      </c>
      <c r="D507" s="0" t="s">
        <v>42</v>
      </c>
      <c r="E507" s="0" t="n">
        <v>1</v>
      </c>
      <c r="F507" s="0" t="n">
        <v>8.5</v>
      </c>
      <c r="G507" s="0" t="s">
        <v>43</v>
      </c>
    </row>
    <row r="508" customFormat="false" ht="15" hidden="false" customHeight="false" outlineLevel="0" collapsed="false">
      <c r="A508" s="0" t="s">
        <v>557</v>
      </c>
      <c r="B508" s="6" t="n">
        <v>40598</v>
      </c>
      <c r="C508" s="0" t="n">
        <v>14243</v>
      </c>
      <c r="D508" s="0" t="s">
        <v>42</v>
      </c>
      <c r="E508" s="0" t="n">
        <v>20</v>
      </c>
      <c r="F508" s="0" t="n">
        <v>339.4</v>
      </c>
      <c r="G508" s="0" t="s">
        <v>43</v>
      </c>
    </row>
    <row r="509" customFormat="false" ht="15" hidden="false" customHeight="false" outlineLevel="0" collapsed="false">
      <c r="A509" s="0" t="s">
        <v>558</v>
      </c>
      <c r="B509" s="6" t="n">
        <v>40599</v>
      </c>
      <c r="C509" s="0" t="n">
        <v>18223</v>
      </c>
      <c r="D509" s="0" t="s">
        <v>42</v>
      </c>
      <c r="E509" s="0" t="n">
        <v>27</v>
      </c>
      <c r="F509" s="0" t="n">
        <v>502.85</v>
      </c>
      <c r="G509" s="0" t="s">
        <v>43</v>
      </c>
    </row>
    <row r="510" customFormat="false" ht="15" hidden="false" customHeight="false" outlineLevel="0" collapsed="false">
      <c r="A510" s="0" t="s">
        <v>559</v>
      </c>
      <c r="B510" s="6" t="n">
        <v>40599</v>
      </c>
      <c r="C510" s="0" t="n">
        <v>14573</v>
      </c>
      <c r="D510" s="0" t="s">
        <v>42</v>
      </c>
      <c r="E510" s="0" t="n">
        <v>29</v>
      </c>
      <c r="F510" s="0" t="n">
        <v>169.15</v>
      </c>
      <c r="G510" s="0" t="s">
        <v>43</v>
      </c>
    </row>
    <row r="511" customFormat="false" ht="15" hidden="false" customHeight="false" outlineLevel="0" collapsed="false">
      <c r="A511" s="0" t="s">
        <v>560</v>
      </c>
      <c r="B511" s="6" t="n">
        <v>40602</v>
      </c>
      <c r="C511" s="0" t="n">
        <v>14227</v>
      </c>
      <c r="D511" s="0" t="s">
        <v>42</v>
      </c>
      <c r="E511" s="0" t="n">
        <v>46</v>
      </c>
      <c r="F511" s="0" t="n">
        <v>736.7</v>
      </c>
      <c r="G511" s="0" t="s">
        <v>43</v>
      </c>
    </row>
    <row r="512" customFormat="false" ht="15" hidden="false" customHeight="false" outlineLevel="0" collapsed="false">
      <c r="A512" s="0" t="s">
        <v>561</v>
      </c>
      <c r="B512" s="6" t="n">
        <v>40603</v>
      </c>
      <c r="C512" s="0" t="n">
        <v>15241</v>
      </c>
      <c r="D512" s="0" t="s">
        <v>42</v>
      </c>
      <c r="E512" s="0" t="n">
        <v>28</v>
      </c>
      <c r="F512" s="0" t="n">
        <v>395.33</v>
      </c>
      <c r="G512" s="0" t="s">
        <v>43</v>
      </c>
    </row>
    <row r="513" customFormat="false" ht="15" hidden="false" customHeight="false" outlineLevel="0" collapsed="false">
      <c r="A513" s="0" t="s">
        <v>562</v>
      </c>
      <c r="B513" s="6" t="n">
        <v>40603</v>
      </c>
      <c r="C513" s="0" t="n">
        <v>12352</v>
      </c>
      <c r="D513" s="0" t="s">
        <v>452</v>
      </c>
      <c r="E513" s="0" t="n">
        <v>5</v>
      </c>
      <c r="F513" s="0" t="n">
        <v>144.35</v>
      </c>
      <c r="G513" s="0" t="s">
        <v>43</v>
      </c>
    </row>
    <row r="514" customFormat="false" ht="15" hidden="false" customHeight="false" outlineLevel="0" collapsed="false">
      <c r="A514" s="0" t="s">
        <v>563</v>
      </c>
      <c r="B514" s="6" t="n">
        <v>40603</v>
      </c>
      <c r="C514" s="0" t="n">
        <v>12352</v>
      </c>
      <c r="D514" s="0" t="s">
        <v>452</v>
      </c>
      <c r="E514" s="0" t="n">
        <v>2</v>
      </c>
      <c r="F514" s="0" t="n">
        <v>-463.8</v>
      </c>
      <c r="G514" s="0" t="s">
        <v>65</v>
      </c>
    </row>
    <row r="515" customFormat="false" ht="15" hidden="false" customHeight="false" outlineLevel="0" collapsed="false">
      <c r="A515" s="0" t="s">
        <v>564</v>
      </c>
      <c r="B515" s="6" t="n">
        <v>40603</v>
      </c>
      <c r="C515" s="0" t="n">
        <v>12352</v>
      </c>
      <c r="D515" s="0" t="s">
        <v>452</v>
      </c>
      <c r="E515" s="0" t="n">
        <v>1</v>
      </c>
      <c r="F515" s="0" t="n">
        <v>-376.5</v>
      </c>
      <c r="G515" s="0" t="s">
        <v>65</v>
      </c>
    </row>
    <row r="516" customFormat="false" ht="15" hidden="false" customHeight="false" outlineLevel="0" collapsed="false">
      <c r="A516" s="0" t="s">
        <v>565</v>
      </c>
      <c r="B516" s="6" t="n">
        <v>40603</v>
      </c>
      <c r="C516" s="0" t="n">
        <v>12352</v>
      </c>
      <c r="D516" s="0" t="s">
        <v>452</v>
      </c>
      <c r="E516" s="0" t="n">
        <v>3</v>
      </c>
      <c r="F516" s="0" t="n">
        <v>840.3</v>
      </c>
      <c r="G516" s="0" t="s">
        <v>43</v>
      </c>
    </row>
    <row r="517" customFormat="false" ht="15" hidden="false" customHeight="false" outlineLevel="0" collapsed="false">
      <c r="A517" s="0" t="s">
        <v>566</v>
      </c>
      <c r="B517" s="6" t="n">
        <v>40604</v>
      </c>
      <c r="C517" s="0" t="n">
        <v>17949</v>
      </c>
      <c r="D517" s="0" t="s">
        <v>42</v>
      </c>
      <c r="E517" s="0" t="n">
        <v>1</v>
      </c>
      <c r="F517" s="0" t="n">
        <v>1642.5</v>
      </c>
      <c r="G517" s="0" t="s">
        <v>43</v>
      </c>
    </row>
    <row r="518" customFormat="false" ht="15" hidden="false" customHeight="false" outlineLevel="0" collapsed="false">
      <c r="A518" s="0" t="s">
        <v>567</v>
      </c>
      <c r="B518" s="6" t="n">
        <v>40604</v>
      </c>
      <c r="C518" s="0" t="n">
        <v>14243</v>
      </c>
      <c r="D518" s="0" t="s">
        <v>42</v>
      </c>
      <c r="E518" s="0" t="n">
        <v>1</v>
      </c>
      <c r="F518" s="0" t="n">
        <v>-15</v>
      </c>
      <c r="G518" s="0" t="s">
        <v>65</v>
      </c>
    </row>
    <row r="519" customFormat="false" ht="15" hidden="false" customHeight="false" outlineLevel="0" collapsed="false">
      <c r="A519" s="0" t="s">
        <v>568</v>
      </c>
      <c r="B519" s="6" t="n">
        <v>40605</v>
      </c>
      <c r="C519" s="0" t="n">
        <v>14573</v>
      </c>
      <c r="D519" s="0" t="s">
        <v>42</v>
      </c>
      <c r="E519" s="0" t="n">
        <v>16</v>
      </c>
      <c r="F519" s="0" t="n">
        <v>134.5</v>
      </c>
      <c r="G519" s="0" t="s">
        <v>43</v>
      </c>
    </row>
    <row r="520" customFormat="false" ht="15" hidden="false" customHeight="false" outlineLevel="0" collapsed="false">
      <c r="A520" s="0" t="s">
        <v>569</v>
      </c>
      <c r="B520" s="6" t="n">
        <v>40606</v>
      </c>
      <c r="C520" s="0" t="n">
        <v>17508</v>
      </c>
      <c r="D520" s="0" t="s">
        <v>72</v>
      </c>
      <c r="E520" s="0" t="n">
        <v>22</v>
      </c>
      <c r="F520" s="0" t="n">
        <v>387.31</v>
      </c>
      <c r="G520" s="0" t="s">
        <v>43</v>
      </c>
    </row>
    <row r="521" customFormat="false" ht="15" hidden="false" customHeight="false" outlineLevel="0" collapsed="false">
      <c r="A521" s="0" t="s">
        <v>570</v>
      </c>
      <c r="B521" s="6" t="n">
        <v>40606</v>
      </c>
      <c r="C521" s="0" t="n">
        <v>12541</v>
      </c>
      <c r="D521" s="0" t="s">
        <v>571</v>
      </c>
      <c r="E521" s="0" t="n">
        <v>17</v>
      </c>
      <c r="F521" s="0" t="n">
        <v>312.4</v>
      </c>
      <c r="G521" s="0" t="s">
        <v>43</v>
      </c>
    </row>
    <row r="522" customFormat="false" ht="15" hidden="false" customHeight="false" outlineLevel="0" collapsed="false">
      <c r="A522" s="0" t="s">
        <v>572</v>
      </c>
      <c r="B522" s="6" t="n">
        <v>40606</v>
      </c>
      <c r="C522" s="0" t="n">
        <v>13382</v>
      </c>
      <c r="D522" s="0" t="s">
        <v>42</v>
      </c>
      <c r="E522" s="0" t="n">
        <v>15</v>
      </c>
      <c r="F522" s="0" t="n">
        <v>222.99</v>
      </c>
      <c r="G522" s="0" t="s">
        <v>43</v>
      </c>
    </row>
    <row r="523" customFormat="false" ht="15" hidden="false" customHeight="false" outlineLevel="0" collapsed="false">
      <c r="A523" s="0" t="s">
        <v>573</v>
      </c>
      <c r="B523" s="6" t="n">
        <v>40606</v>
      </c>
      <c r="C523" s="0" t="n">
        <v>17581</v>
      </c>
      <c r="D523" s="0" t="s">
        <v>42</v>
      </c>
      <c r="E523" s="0" t="n">
        <v>22</v>
      </c>
      <c r="F523" s="0" t="n">
        <v>356.9</v>
      </c>
      <c r="G523" s="0" t="s">
        <v>43</v>
      </c>
    </row>
    <row r="524" customFormat="false" ht="15" hidden="false" customHeight="false" outlineLevel="0" collapsed="false">
      <c r="A524" s="0" t="s">
        <v>574</v>
      </c>
      <c r="B524" s="6" t="n">
        <v>40606</v>
      </c>
      <c r="C524" s="0" t="n">
        <v>17581</v>
      </c>
      <c r="D524" s="0" t="s">
        <v>42</v>
      </c>
      <c r="E524" s="0" t="n">
        <v>18</v>
      </c>
      <c r="F524" s="0" t="n">
        <v>369.95</v>
      </c>
      <c r="G524" s="0" t="s">
        <v>43</v>
      </c>
    </row>
    <row r="525" customFormat="false" ht="15" hidden="false" customHeight="false" outlineLevel="0" collapsed="false">
      <c r="A525" s="0" t="s">
        <v>575</v>
      </c>
      <c r="B525" s="6" t="n">
        <v>40606</v>
      </c>
      <c r="C525" s="0" t="n">
        <v>17581</v>
      </c>
      <c r="D525" s="0" t="s">
        <v>42</v>
      </c>
      <c r="E525" s="0" t="n">
        <v>3</v>
      </c>
      <c r="F525" s="0" t="n">
        <v>102.4</v>
      </c>
      <c r="G525" s="0" t="s">
        <v>43</v>
      </c>
    </row>
    <row r="526" customFormat="false" ht="15" hidden="false" customHeight="false" outlineLevel="0" collapsed="false">
      <c r="A526" s="0" t="s">
        <v>576</v>
      </c>
      <c r="B526" s="6" t="n">
        <v>40606</v>
      </c>
      <c r="C526" s="0" t="n">
        <v>15514</v>
      </c>
      <c r="D526" s="0" t="s">
        <v>42</v>
      </c>
      <c r="E526" s="0" t="n">
        <v>20</v>
      </c>
      <c r="F526" s="0" t="n">
        <v>292.03</v>
      </c>
      <c r="G526" s="0" t="s">
        <v>43</v>
      </c>
    </row>
    <row r="527" customFormat="false" ht="15" hidden="false" customHeight="false" outlineLevel="0" collapsed="false">
      <c r="A527" s="0" t="s">
        <v>577</v>
      </c>
      <c r="B527" s="6" t="n">
        <v>40606</v>
      </c>
      <c r="C527" s="0" t="n">
        <v>14779</v>
      </c>
      <c r="D527" s="0" t="s">
        <v>42</v>
      </c>
      <c r="E527" s="0" t="n">
        <v>6</v>
      </c>
      <c r="F527" s="0" t="n">
        <v>38</v>
      </c>
      <c r="G527" s="0" t="s">
        <v>43</v>
      </c>
    </row>
    <row r="528" customFormat="false" ht="15" hidden="false" customHeight="false" outlineLevel="0" collapsed="false">
      <c r="A528" s="0" t="s">
        <v>578</v>
      </c>
      <c r="B528" s="6" t="n">
        <v>40608</v>
      </c>
      <c r="C528" s="0" t="n">
        <v>18223</v>
      </c>
      <c r="D528" s="0" t="s">
        <v>42</v>
      </c>
      <c r="E528" s="0" t="n">
        <v>3</v>
      </c>
      <c r="F528" s="0" t="n">
        <v>-6.15</v>
      </c>
      <c r="G528" s="0" t="s">
        <v>65</v>
      </c>
    </row>
    <row r="529" customFormat="false" ht="15" hidden="false" customHeight="false" outlineLevel="0" collapsed="false">
      <c r="A529" s="0" t="s">
        <v>579</v>
      </c>
      <c r="B529" s="6" t="n">
        <v>40608</v>
      </c>
      <c r="C529" s="0" t="n">
        <v>18223</v>
      </c>
      <c r="D529" s="0" t="s">
        <v>42</v>
      </c>
      <c r="E529" s="0" t="n">
        <v>1</v>
      </c>
      <c r="F529" s="0" t="n">
        <v>15</v>
      </c>
      <c r="G529" s="0" t="s">
        <v>43</v>
      </c>
    </row>
    <row r="530" customFormat="false" ht="15" hidden="false" customHeight="false" outlineLevel="0" collapsed="false">
      <c r="A530" s="0" t="s">
        <v>580</v>
      </c>
      <c r="B530" s="6" t="n">
        <v>40608</v>
      </c>
      <c r="C530" s="0" t="n">
        <v>14543</v>
      </c>
      <c r="D530" s="0" t="s">
        <v>42</v>
      </c>
      <c r="E530" s="0" t="n">
        <v>11</v>
      </c>
      <c r="F530" s="0" t="n">
        <v>-258.9</v>
      </c>
      <c r="G530" s="0" t="s">
        <v>65</v>
      </c>
    </row>
    <row r="531" customFormat="false" ht="15" hidden="false" customHeight="false" outlineLevel="0" collapsed="false">
      <c r="A531" s="0" t="s">
        <v>581</v>
      </c>
      <c r="B531" s="6" t="n">
        <v>40609</v>
      </c>
      <c r="C531" s="0" t="n">
        <v>15241</v>
      </c>
      <c r="D531" s="0" t="s">
        <v>42</v>
      </c>
      <c r="E531" s="0" t="n">
        <v>1</v>
      </c>
      <c r="F531" s="0" t="n">
        <v>-17.85</v>
      </c>
      <c r="G531" s="0" t="s">
        <v>65</v>
      </c>
    </row>
    <row r="532" customFormat="false" ht="15" hidden="false" customHeight="false" outlineLevel="0" collapsed="false">
      <c r="A532" s="0" t="s">
        <v>582</v>
      </c>
      <c r="B532" s="6" t="n">
        <v>40611</v>
      </c>
      <c r="C532" s="0" t="n">
        <v>14645</v>
      </c>
      <c r="D532" s="0" t="s">
        <v>42</v>
      </c>
      <c r="E532" s="0" t="n">
        <v>9</v>
      </c>
      <c r="F532" s="0" t="n">
        <v>240.1</v>
      </c>
      <c r="G532" s="0" t="s">
        <v>43</v>
      </c>
    </row>
    <row r="533" customFormat="false" ht="15" hidden="false" customHeight="false" outlineLevel="0" collapsed="false">
      <c r="A533" s="0" t="s">
        <v>583</v>
      </c>
      <c r="B533" s="6" t="n">
        <v>40612</v>
      </c>
      <c r="C533" s="0" t="n">
        <v>14227</v>
      </c>
      <c r="D533" s="0" t="s">
        <v>42</v>
      </c>
      <c r="E533" s="0" t="n">
        <v>2</v>
      </c>
      <c r="F533" s="0" t="n">
        <v>-2.9</v>
      </c>
      <c r="G533" s="0" t="s">
        <v>65</v>
      </c>
    </row>
    <row r="534" customFormat="false" ht="15" hidden="false" customHeight="false" outlineLevel="0" collapsed="false">
      <c r="A534" s="0" t="s">
        <v>584</v>
      </c>
      <c r="B534" s="6" t="n">
        <v>40612</v>
      </c>
      <c r="C534" s="0" t="n">
        <v>18223</v>
      </c>
      <c r="D534" s="0" t="s">
        <v>42</v>
      </c>
      <c r="E534" s="0" t="n">
        <v>1</v>
      </c>
      <c r="F534" s="0" t="n">
        <v>-2.84</v>
      </c>
      <c r="G534" s="0" t="s">
        <v>65</v>
      </c>
    </row>
    <row r="535" customFormat="false" ht="15" hidden="false" customHeight="false" outlineLevel="0" collapsed="false">
      <c r="A535" s="0" t="s">
        <v>585</v>
      </c>
      <c r="B535" s="6" t="n">
        <v>40613</v>
      </c>
      <c r="C535" s="0" t="n">
        <v>17949</v>
      </c>
      <c r="D535" s="0" t="s">
        <v>42</v>
      </c>
      <c r="E535" s="0" t="n">
        <v>1</v>
      </c>
      <c r="F535" s="0" t="n">
        <v>345.6</v>
      </c>
      <c r="G535" s="0" t="s">
        <v>43</v>
      </c>
    </row>
    <row r="536" customFormat="false" ht="15" hidden="false" customHeight="false" outlineLevel="0" collapsed="false">
      <c r="A536" s="0" t="s">
        <v>586</v>
      </c>
      <c r="B536" s="6" t="n">
        <v>40618</v>
      </c>
      <c r="C536" s="0" t="n">
        <v>14543</v>
      </c>
      <c r="D536" s="0" t="s">
        <v>42</v>
      </c>
      <c r="E536" s="0" t="n">
        <v>3</v>
      </c>
      <c r="F536" s="0" t="n">
        <v>328.6</v>
      </c>
      <c r="G536" s="0" t="s">
        <v>43</v>
      </c>
    </row>
    <row r="537" customFormat="false" ht="15" hidden="false" customHeight="false" outlineLevel="0" collapsed="false">
      <c r="A537" s="0" t="s">
        <v>587</v>
      </c>
      <c r="B537" s="6" t="n">
        <v>40618</v>
      </c>
      <c r="C537" s="0" t="n">
        <v>14543</v>
      </c>
      <c r="D537" s="0" t="s">
        <v>42</v>
      </c>
      <c r="E537" s="0" t="n">
        <v>1</v>
      </c>
      <c r="F537" s="0" t="n">
        <v>15</v>
      </c>
      <c r="G537" s="0" t="s">
        <v>43</v>
      </c>
    </row>
    <row r="538" customFormat="false" ht="15" hidden="false" customHeight="false" outlineLevel="0" collapsed="false">
      <c r="A538" s="0" t="s">
        <v>588</v>
      </c>
      <c r="B538" s="6" t="n">
        <v>40619</v>
      </c>
      <c r="C538" s="0" t="n">
        <v>12352</v>
      </c>
      <c r="D538" s="0" t="s">
        <v>452</v>
      </c>
      <c r="E538" s="0" t="n">
        <v>7</v>
      </c>
      <c r="F538" s="0" t="n">
        <v>120.33</v>
      </c>
      <c r="G538" s="0" t="s">
        <v>43</v>
      </c>
    </row>
    <row r="539" customFormat="false" ht="15" hidden="false" customHeight="false" outlineLevel="0" collapsed="false">
      <c r="A539" s="0" t="s">
        <v>589</v>
      </c>
      <c r="B539" s="6" t="n">
        <v>40620</v>
      </c>
      <c r="C539" s="0" t="n">
        <v>14059</v>
      </c>
      <c r="D539" s="0" t="s">
        <v>42</v>
      </c>
      <c r="E539" s="0" t="n">
        <v>8</v>
      </c>
      <c r="F539" s="0" t="n">
        <v>183.6</v>
      </c>
      <c r="G539" s="0" t="s">
        <v>43</v>
      </c>
    </row>
    <row r="540" customFormat="false" ht="15" hidden="false" customHeight="false" outlineLevel="0" collapsed="false">
      <c r="A540" s="0" t="s">
        <v>590</v>
      </c>
      <c r="B540" s="6" t="n">
        <v>40624</v>
      </c>
      <c r="C540" s="0" t="n">
        <v>14227</v>
      </c>
      <c r="D540" s="0" t="s">
        <v>42</v>
      </c>
      <c r="E540" s="0" t="n">
        <v>1</v>
      </c>
      <c r="F540" s="0" t="n">
        <v>-2.55</v>
      </c>
      <c r="G540" s="0" t="s">
        <v>65</v>
      </c>
    </row>
    <row r="541" customFormat="false" ht="15" hidden="false" customHeight="false" outlineLevel="0" collapsed="false">
      <c r="A541" s="0" t="s">
        <v>591</v>
      </c>
      <c r="B541" s="6" t="n">
        <v>40624</v>
      </c>
      <c r="C541" s="0" t="n">
        <v>12352</v>
      </c>
      <c r="D541" s="0" t="s">
        <v>452</v>
      </c>
      <c r="E541" s="0" t="n">
        <v>7</v>
      </c>
      <c r="F541" s="0" t="n">
        <v>-120.33</v>
      </c>
      <c r="G541" s="0" t="s">
        <v>65</v>
      </c>
    </row>
    <row r="542" customFormat="false" ht="15" hidden="false" customHeight="false" outlineLevel="0" collapsed="false">
      <c r="A542" s="0" t="s">
        <v>592</v>
      </c>
      <c r="B542" s="6" t="n">
        <v>40624</v>
      </c>
      <c r="C542" s="0" t="n">
        <v>12352</v>
      </c>
      <c r="D542" s="0" t="s">
        <v>452</v>
      </c>
      <c r="E542" s="0" t="n">
        <v>8</v>
      </c>
      <c r="F542" s="0" t="n">
        <v>160.33</v>
      </c>
      <c r="G542" s="0" t="s">
        <v>43</v>
      </c>
    </row>
    <row r="543" customFormat="false" ht="15" hidden="false" customHeight="false" outlineLevel="0" collapsed="false">
      <c r="A543" s="0" t="s">
        <v>593</v>
      </c>
      <c r="B543" s="6" t="n">
        <v>40627</v>
      </c>
      <c r="C543" s="0" t="n">
        <v>15815</v>
      </c>
      <c r="D543" s="0" t="s">
        <v>42</v>
      </c>
      <c r="E543" s="0" t="n">
        <v>10</v>
      </c>
      <c r="F543" s="0" t="n">
        <v>427</v>
      </c>
      <c r="G543" s="0" t="s">
        <v>43</v>
      </c>
    </row>
    <row r="544" customFormat="false" ht="15" hidden="false" customHeight="false" outlineLevel="0" collapsed="false">
      <c r="A544" s="0" t="s">
        <v>594</v>
      </c>
      <c r="B544" s="6" t="n">
        <v>40627</v>
      </c>
      <c r="C544" s="0" t="n">
        <v>16618</v>
      </c>
      <c r="D544" s="0" t="s">
        <v>42</v>
      </c>
      <c r="E544" s="0" t="n">
        <v>9</v>
      </c>
      <c r="F544" s="0" t="n">
        <v>354.66</v>
      </c>
      <c r="G544" s="0" t="s">
        <v>43</v>
      </c>
    </row>
    <row r="545" customFormat="false" ht="15" hidden="false" customHeight="false" outlineLevel="0" collapsed="false">
      <c r="A545" s="0" t="s">
        <v>595</v>
      </c>
      <c r="B545" s="6" t="n">
        <v>40629</v>
      </c>
      <c r="C545" s="0" t="n">
        <v>14573</v>
      </c>
      <c r="D545" s="0" t="s">
        <v>42</v>
      </c>
      <c r="E545" s="0" t="n">
        <v>20</v>
      </c>
      <c r="F545" s="0" t="n">
        <v>165.83</v>
      </c>
      <c r="G545" s="0" t="s">
        <v>43</v>
      </c>
    </row>
    <row r="546" customFormat="false" ht="15" hidden="false" customHeight="false" outlineLevel="0" collapsed="false">
      <c r="A546" s="0" t="s">
        <v>596</v>
      </c>
      <c r="B546" s="6" t="n">
        <v>40630</v>
      </c>
      <c r="C546" s="0" t="n">
        <v>16692</v>
      </c>
      <c r="D546" s="0" t="s">
        <v>42</v>
      </c>
      <c r="E546" s="0" t="n">
        <v>2</v>
      </c>
      <c r="F546" s="0" t="n">
        <v>1267.5</v>
      </c>
      <c r="G546" s="0" t="s">
        <v>43</v>
      </c>
    </row>
    <row r="547" customFormat="false" ht="15" hidden="false" customHeight="false" outlineLevel="0" collapsed="false">
      <c r="A547" s="0" t="s">
        <v>597</v>
      </c>
      <c r="B547" s="6" t="n">
        <v>40630</v>
      </c>
      <c r="C547" s="0" t="n">
        <v>15032</v>
      </c>
      <c r="D547" s="0" t="s">
        <v>42</v>
      </c>
      <c r="E547" s="0" t="n">
        <v>22</v>
      </c>
      <c r="F547" s="0" t="n">
        <v>2188.5</v>
      </c>
      <c r="G547" s="0" t="s">
        <v>43</v>
      </c>
    </row>
    <row r="548" customFormat="false" ht="15" hidden="false" customHeight="false" outlineLevel="0" collapsed="false">
      <c r="A548" s="0" t="s">
        <v>598</v>
      </c>
      <c r="B548" s="6" t="n">
        <v>40630</v>
      </c>
      <c r="C548" s="0" t="n">
        <v>15032</v>
      </c>
      <c r="D548" s="0" t="s">
        <v>42</v>
      </c>
      <c r="E548" s="0" t="n">
        <v>1</v>
      </c>
      <c r="F548" s="0" t="n">
        <v>-165</v>
      </c>
      <c r="G548" s="0" t="s">
        <v>65</v>
      </c>
    </row>
    <row r="549" customFormat="false" ht="15" hidden="false" customHeight="false" outlineLevel="0" collapsed="false">
      <c r="A549" s="0" t="s">
        <v>599</v>
      </c>
      <c r="B549" s="6" t="n">
        <v>40630</v>
      </c>
      <c r="C549" s="0" t="n">
        <v>15032</v>
      </c>
      <c r="D549" s="0" t="s">
        <v>42</v>
      </c>
      <c r="E549" s="0" t="n">
        <v>2</v>
      </c>
      <c r="F549" s="0" t="n">
        <v>-330</v>
      </c>
      <c r="G549" s="0" t="s">
        <v>65</v>
      </c>
    </row>
    <row r="550" customFormat="false" ht="15" hidden="false" customHeight="false" outlineLevel="0" collapsed="false">
      <c r="A550" s="0" t="s">
        <v>600</v>
      </c>
      <c r="B550" s="6" t="n">
        <v>40632</v>
      </c>
      <c r="C550" s="0" t="n">
        <v>16059</v>
      </c>
      <c r="D550" s="0" t="s">
        <v>42</v>
      </c>
      <c r="E550" s="0" t="n">
        <v>48</v>
      </c>
      <c r="F550" s="0" t="n">
        <v>384.45</v>
      </c>
      <c r="G550" s="0" t="s">
        <v>43</v>
      </c>
    </row>
    <row r="551" customFormat="false" ht="15" hidden="false" customHeight="false" outlineLevel="0" collapsed="false">
      <c r="A551" s="0" t="s">
        <v>601</v>
      </c>
      <c r="B551" s="6" t="n">
        <v>40633</v>
      </c>
      <c r="C551" s="0" t="n">
        <v>14543</v>
      </c>
      <c r="D551" s="0" t="s">
        <v>42</v>
      </c>
      <c r="E551" s="0" t="n">
        <v>12</v>
      </c>
      <c r="F551" s="0" t="n">
        <v>-283.21</v>
      </c>
      <c r="G551" s="0" t="s">
        <v>65</v>
      </c>
    </row>
    <row r="552" customFormat="false" ht="15" hidden="false" customHeight="false" outlineLevel="0" collapsed="false">
      <c r="A552" s="0" t="s">
        <v>602</v>
      </c>
      <c r="B552" s="6" t="n">
        <v>40633</v>
      </c>
      <c r="C552" s="0" t="n">
        <v>14543</v>
      </c>
      <c r="D552" s="0" t="s">
        <v>42</v>
      </c>
      <c r="E552" s="0" t="n">
        <v>5</v>
      </c>
      <c r="F552" s="0" t="n">
        <v>296.2</v>
      </c>
      <c r="G552" s="0" t="s">
        <v>43</v>
      </c>
    </row>
    <row r="553" customFormat="false" ht="15" hidden="false" customHeight="false" outlineLevel="0" collapsed="false">
      <c r="A553" s="0" t="s">
        <v>603</v>
      </c>
      <c r="B553" s="6" t="n">
        <v>40633</v>
      </c>
      <c r="C553" s="0" t="n">
        <v>18223</v>
      </c>
      <c r="D553" s="0" t="s">
        <v>42</v>
      </c>
      <c r="E553" s="0" t="n">
        <v>24</v>
      </c>
      <c r="F553" s="0" t="n">
        <v>490.99</v>
      </c>
      <c r="G553" s="0" t="s">
        <v>43</v>
      </c>
    </row>
    <row r="554" customFormat="false" ht="15" hidden="false" customHeight="false" outlineLevel="0" collapsed="false">
      <c r="A554" s="0" t="s">
        <v>604</v>
      </c>
      <c r="B554" s="6" t="n">
        <v>40633</v>
      </c>
      <c r="C554" s="0" t="n">
        <v>17781</v>
      </c>
      <c r="D554" s="0" t="s">
        <v>42</v>
      </c>
      <c r="E554" s="0" t="n">
        <v>2</v>
      </c>
      <c r="F554" s="0" t="n">
        <v>102</v>
      </c>
      <c r="G554" s="0" t="s">
        <v>43</v>
      </c>
    </row>
    <row r="555" customFormat="false" ht="15" hidden="false" customHeight="false" outlineLevel="0" collapsed="false">
      <c r="A555" s="0" t="s">
        <v>605</v>
      </c>
      <c r="B555" s="6" t="n">
        <v>40634</v>
      </c>
      <c r="C555" s="0" t="n">
        <v>14543</v>
      </c>
      <c r="D555" s="0" t="s">
        <v>42</v>
      </c>
      <c r="E555" s="0" t="n">
        <v>12</v>
      </c>
      <c r="F555" s="0" t="n">
        <v>283.21</v>
      </c>
      <c r="G555" s="0" t="s">
        <v>43</v>
      </c>
    </row>
    <row r="556" customFormat="false" ht="15" hidden="false" customHeight="false" outlineLevel="0" collapsed="false">
      <c r="A556" s="0" t="s">
        <v>606</v>
      </c>
      <c r="B556" s="6" t="n">
        <v>40636</v>
      </c>
      <c r="C556" s="0" t="n">
        <v>15482</v>
      </c>
      <c r="D556" s="0" t="s">
        <v>42</v>
      </c>
      <c r="E556" s="0" t="n">
        <v>6</v>
      </c>
      <c r="F556" s="0" t="n">
        <v>713.8</v>
      </c>
      <c r="G556" s="0" t="s">
        <v>43</v>
      </c>
    </row>
    <row r="557" customFormat="false" ht="15" hidden="false" customHeight="false" outlineLevel="0" collapsed="false">
      <c r="A557" s="0" t="s">
        <v>607</v>
      </c>
      <c r="B557" s="6" t="n">
        <v>40641</v>
      </c>
      <c r="C557" s="0" t="n">
        <v>12393</v>
      </c>
      <c r="D557" s="0" t="s">
        <v>393</v>
      </c>
      <c r="E557" s="0" t="n">
        <v>17</v>
      </c>
      <c r="F557" s="0" t="n">
        <v>421.6</v>
      </c>
      <c r="G557" s="0" t="s">
        <v>43</v>
      </c>
    </row>
    <row r="558" customFormat="false" ht="15" hidden="false" customHeight="false" outlineLevel="0" collapsed="false">
      <c r="A558" s="0" t="s">
        <v>608</v>
      </c>
      <c r="B558" s="6" t="n">
        <v>40641</v>
      </c>
      <c r="C558" s="0" t="n">
        <v>14243</v>
      </c>
      <c r="D558" s="0" t="s">
        <v>42</v>
      </c>
      <c r="E558" s="0" t="n">
        <v>23</v>
      </c>
      <c r="F558" s="0" t="n">
        <v>373.27</v>
      </c>
      <c r="G558" s="0" t="s">
        <v>43</v>
      </c>
    </row>
    <row r="559" customFormat="false" ht="15" hidden="false" customHeight="false" outlineLevel="0" collapsed="false">
      <c r="A559" s="0" t="s">
        <v>609</v>
      </c>
      <c r="B559" s="6" t="n">
        <v>40641</v>
      </c>
      <c r="C559" s="0" t="n">
        <v>15815</v>
      </c>
      <c r="D559" s="0" t="s">
        <v>42</v>
      </c>
      <c r="E559" s="0" t="n">
        <v>5</v>
      </c>
      <c r="F559" s="0" t="n">
        <v>453</v>
      </c>
      <c r="G559" s="0" t="s">
        <v>43</v>
      </c>
    </row>
    <row r="560" customFormat="false" ht="15" hidden="false" customHeight="false" outlineLevel="0" collapsed="false">
      <c r="A560" s="0" t="s">
        <v>610</v>
      </c>
      <c r="B560" s="6" t="n">
        <v>40641</v>
      </c>
      <c r="C560" s="0" t="n">
        <v>14227</v>
      </c>
      <c r="D560" s="0" t="s">
        <v>42</v>
      </c>
      <c r="E560" s="0" t="n">
        <v>13</v>
      </c>
      <c r="F560" s="0" t="n">
        <v>304.33</v>
      </c>
      <c r="G560" s="0" t="s">
        <v>43</v>
      </c>
    </row>
    <row r="561" customFormat="false" ht="15" hidden="false" customHeight="false" outlineLevel="0" collapsed="false">
      <c r="A561" s="0" t="s">
        <v>611</v>
      </c>
      <c r="B561" s="6" t="n">
        <v>40644</v>
      </c>
      <c r="C561" s="0" t="n">
        <v>18080</v>
      </c>
      <c r="D561" s="0" t="s">
        <v>42</v>
      </c>
      <c r="E561" s="0" t="n">
        <v>1</v>
      </c>
      <c r="F561" s="0" t="n">
        <v>841.5</v>
      </c>
      <c r="G561" s="0" t="s">
        <v>43</v>
      </c>
    </row>
    <row r="562" customFormat="false" ht="15" hidden="false" customHeight="false" outlineLevel="0" collapsed="false">
      <c r="A562" s="0" t="s">
        <v>612</v>
      </c>
      <c r="B562" s="6" t="n">
        <v>40646</v>
      </c>
      <c r="C562" s="0" t="n">
        <v>14931</v>
      </c>
      <c r="D562" s="0" t="s">
        <v>613</v>
      </c>
      <c r="E562" s="0" t="n">
        <v>9</v>
      </c>
      <c r="F562" s="0" t="n">
        <v>293</v>
      </c>
      <c r="G562" s="0" t="s">
        <v>43</v>
      </c>
    </row>
    <row r="563" customFormat="false" ht="15" hidden="false" customHeight="false" outlineLevel="0" collapsed="false">
      <c r="A563" s="0" t="s">
        <v>614</v>
      </c>
      <c r="B563" s="6" t="n">
        <v>40650</v>
      </c>
      <c r="C563" s="0" t="n">
        <v>12997</v>
      </c>
      <c r="D563" s="0" t="s">
        <v>42</v>
      </c>
      <c r="E563" s="0" t="n">
        <v>18</v>
      </c>
      <c r="F563" s="0" t="n">
        <v>302.92</v>
      </c>
      <c r="G563" s="0" t="s">
        <v>43</v>
      </c>
    </row>
    <row r="564" customFormat="false" ht="15" hidden="false" customHeight="false" outlineLevel="0" collapsed="false">
      <c r="A564" s="0" t="s">
        <v>615</v>
      </c>
      <c r="B564" s="6" t="n">
        <v>40651</v>
      </c>
      <c r="C564" s="0" t="n">
        <v>14227</v>
      </c>
      <c r="D564" s="0" t="s">
        <v>42</v>
      </c>
      <c r="E564" s="0" t="n">
        <v>17</v>
      </c>
      <c r="F564" s="0" t="n">
        <v>282.94</v>
      </c>
      <c r="G564" s="0" t="s">
        <v>43</v>
      </c>
    </row>
    <row r="565" customFormat="false" ht="15" hidden="false" customHeight="false" outlineLevel="0" collapsed="false">
      <c r="A565" s="0" t="s">
        <v>616</v>
      </c>
      <c r="B565" s="6" t="n">
        <v>40652</v>
      </c>
      <c r="C565" s="0" t="n">
        <v>16628</v>
      </c>
      <c r="D565" s="0" t="s">
        <v>42</v>
      </c>
      <c r="E565" s="0" t="n">
        <v>21</v>
      </c>
      <c r="F565" s="0" t="n">
        <v>360.65</v>
      </c>
      <c r="G565" s="0" t="s">
        <v>43</v>
      </c>
    </row>
    <row r="566" customFormat="false" ht="15" hidden="false" customHeight="false" outlineLevel="0" collapsed="false">
      <c r="A566" s="0" t="s">
        <v>617</v>
      </c>
      <c r="B566" s="6" t="n">
        <v>40652</v>
      </c>
      <c r="C566" s="0" t="n">
        <v>14201</v>
      </c>
      <c r="D566" s="0" t="s">
        <v>42</v>
      </c>
      <c r="E566" s="0" t="n">
        <v>7</v>
      </c>
      <c r="F566" s="0" t="n">
        <v>109.04</v>
      </c>
      <c r="G566" s="0" t="s">
        <v>43</v>
      </c>
    </row>
    <row r="567" customFormat="false" ht="15" hidden="false" customHeight="false" outlineLevel="0" collapsed="false">
      <c r="A567" s="0" t="s">
        <v>618</v>
      </c>
      <c r="B567" s="6" t="n">
        <v>40652</v>
      </c>
      <c r="C567" s="0" t="n">
        <v>16907</v>
      </c>
      <c r="D567" s="0" t="s">
        <v>42</v>
      </c>
      <c r="E567" s="0" t="n">
        <v>35</v>
      </c>
      <c r="F567" s="0" t="n">
        <v>151.3</v>
      </c>
      <c r="G567" s="0" t="s">
        <v>43</v>
      </c>
    </row>
    <row r="568" customFormat="false" ht="15" hidden="false" customHeight="false" outlineLevel="0" collapsed="false">
      <c r="A568" s="0" t="s">
        <v>619</v>
      </c>
      <c r="B568" s="6" t="n">
        <v>40653</v>
      </c>
      <c r="C568" s="0" t="n">
        <v>12997</v>
      </c>
      <c r="D568" s="0" t="s">
        <v>42</v>
      </c>
      <c r="E568" s="0" t="n">
        <v>3</v>
      </c>
      <c r="F568" s="0" t="n">
        <v>-7.1</v>
      </c>
      <c r="G568" s="0" t="s">
        <v>65</v>
      </c>
    </row>
    <row r="569" customFormat="false" ht="15" hidden="false" customHeight="false" outlineLevel="0" collapsed="false">
      <c r="A569" s="0" t="s">
        <v>620</v>
      </c>
      <c r="B569" s="6" t="n">
        <v>40660</v>
      </c>
      <c r="C569" s="0" t="n">
        <v>17949</v>
      </c>
      <c r="D569" s="0" t="s">
        <v>42</v>
      </c>
      <c r="E569" s="0" t="n">
        <v>1</v>
      </c>
      <c r="F569" s="0" t="n">
        <v>1642.5</v>
      </c>
      <c r="G569" s="0" t="s">
        <v>43</v>
      </c>
    </row>
    <row r="570" customFormat="false" ht="15" hidden="false" customHeight="false" outlineLevel="0" collapsed="false">
      <c r="A570" s="0" t="s">
        <v>621</v>
      </c>
      <c r="B570" s="6" t="n">
        <v>40660</v>
      </c>
      <c r="C570" s="0" t="n">
        <v>13285</v>
      </c>
      <c r="D570" s="0" t="s">
        <v>42</v>
      </c>
      <c r="E570" s="0" t="n">
        <v>30</v>
      </c>
      <c r="F570" s="0" t="n">
        <v>506.38</v>
      </c>
      <c r="G570" s="0" t="s">
        <v>43</v>
      </c>
    </row>
    <row r="571" customFormat="false" ht="15" hidden="false" customHeight="false" outlineLevel="0" collapsed="false">
      <c r="A571" s="0" t="s">
        <v>622</v>
      </c>
      <c r="B571" s="6" t="n">
        <v>40661</v>
      </c>
      <c r="C571" s="0" t="n">
        <v>15514</v>
      </c>
      <c r="D571" s="0" t="s">
        <v>42</v>
      </c>
      <c r="E571" s="0" t="n">
        <v>15</v>
      </c>
      <c r="F571" s="0" t="n">
        <v>385.2</v>
      </c>
      <c r="G571" s="0" t="s">
        <v>43</v>
      </c>
    </row>
    <row r="572" customFormat="false" ht="15" hidden="false" customHeight="false" outlineLevel="0" collapsed="false">
      <c r="A572" s="0" t="s">
        <v>623</v>
      </c>
      <c r="B572" s="6" t="n">
        <v>40661</v>
      </c>
      <c r="C572" s="0" t="n">
        <v>13085</v>
      </c>
      <c r="D572" s="0" t="s">
        <v>42</v>
      </c>
      <c r="E572" s="0" t="n">
        <v>7</v>
      </c>
      <c r="F572" s="0" t="n">
        <v>-143.7</v>
      </c>
      <c r="G572" s="0" t="s">
        <v>65</v>
      </c>
    </row>
    <row r="573" customFormat="false" ht="15" hidden="false" customHeight="false" outlineLevel="0" collapsed="false">
      <c r="A573" s="0" t="s">
        <v>624</v>
      </c>
      <c r="B573" s="6" t="n">
        <v>40664</v>
      </c>
      <c r="C573" s="0" t="n">
        <v>16634</v>
      </c>
      <c r="D573" s="0" t="s">
        <v>42</v>
      </c>
      <c r="E573" s="0" t="n">
        <v>1</v>
      </c>
      <c r="F573" s="0" t="n">
        <v>53.1</v>
      </c>
      <c r="G573" s="0" t="s">
        <v>43</v>
      </c>
    </row>
    <row r="574" customFormat="false" ht="15" hidden="false" customHeight="false" outlineLevel="0" collapsed="false">
      <c r="A574" s="0" t="s">
        <v>625</v>
      </c>
      <c r="B574" s="6" t="n">
        <v>40666</v>
      </c>
      <c r="C574" s="0" t="n">
        <v>14149</v>
      </c>
      <c r="D574" s="0" t="s">
        <v>42</v>
      </c>
      <c r="E574" s="0" t="n">
        <v>28</v>
      </c>
      <c r="F574" s="0" t="n">
        <v>446.62</v>
      </c>
      <c r="G574" s="0" t="s">
        <v>43</v>
      </c>
    </row>
    <row r="575" customFormat="false" ht="15" hidden="false" customHeight="false" outlineLevel="0" collapsed="false">
      <c r="A575" s="0" t="s">
        <v>626</v>
      </c>
      <c r="B575" s="6" t="n">
        <v>40668</v>
      </c>
      <c r="C575" s="0" t="n">
        <v>14149</v>
      </c>
      <c r="D575" s="0" t="s">
        <v>42</v>
      </c>
      <c r="E575" s="0" t="n">
        <v>1</v>
      </c>
      <c r="F575" s="0" t="n">
        <v>-7.65</v>
      </c>
      <c r="G575" s="0" t="s">
        <v>65</v>
      </c>
    </row>
    <row r="576" customFormat="false" ht="15" hidden="false" customHeight="false" outlineLevel="0" collapsed="false">
      <c r="A576" s="0" t="s">
        <v>627</v>
      </c>
      <c r="B576" s="6" t="n">
        <v>40668</v>
      </c>
      <c r="C576" s="0" t="n">
        <v>16628</v>
      </c>
      <c r="D576" s="0" t="s">
        <v>42</v>
      </c>
      <c r="E576" s="0" t="n">
        <v>17</v>
      </c>
      <c r="F576" s="0" t="n">
        <v>352.26</v>
      </c>
      <c r="G576" s="0" t="s">
        <v>43</v>
      </c>
    </row>
    <row r="577" customFormat="false" ht="15" hidden="false" customHeight="false" outlineLevel="0" collapsed="false">
      <c r="A577" s="0" t="s">
        <v>628</v>
      </c>
      <c r="B577" s="6" t="n">
        <v>40668</v>
      </c>
      <c r="C577" s="0" t="n">
        <v>14227</v>
      </c>
      <c r="D577" s="0" t="s">
        <v>42</v>
      </c>
      <c r="E577" s="0" t="n">
        <v>2</v>
      </c>
      <c r="F577" s="0" t="n">
        <v>-2.95</v>
      </c>
      <c r="G577" s="0" t="s">
        <v>65</v>
      </c>
    </row>
    <row r="578" customFormat="false" ht="15" hidden="false" customHeight="false" outlineLevel="0" collapsed="false">
      <c r="A578" s="0" t="s">
        <v>629</v>
      </c>
      <c r="B578" s="6" t="n">
        <v>40668</v>
      </c>
      <c r="C578" s="0" t="n">
        <v>14393</v>
      </c>
      <c r="D578" s="0" t="s">
        <v>42</v>
      </c>
      <c r="E578" s="0" t="n">
        <v>5</v>
      </c>
      <c r="F578" s="0" t="n">
        <v>67.95</v>
      </c>
      <c r="G578" s="0" t="s">
        <v>43</v>
      </c>
    </row>
    <row r="579" customFormat="false" ht="15" hidden="false" customHeight="false" outlineLevel="0" collapsed="false">
      <c r="A579" s="0" t="s">
        <v>630</v>
      </c>
      <c r="B579" s="6" t="n">
        <v>40671</v>
      </c>
      <c r="C579" s="0" t="n">
        <v>14201</v>
      </c>
      <c r="D579" s="0" t="s">
        <v>42</v>
      </c>
      <c r="E579" s="0" t="n">
        <v>6</v>
      </c>
      <c r="F579" s="0" t="n">
        <v>187.98</v>
      </c>
      <c r="G579" s="0" t="s">
        <v>43</v>
      </c>
    </row>
    <row r="580" customFormat="false" ht="15" hidden="false" customHeight="false" outlineLevel="0" collapsed="false">
      <c r="A580" s="0" t="s">
        <v>631</v>
      </c>
      <c r="B580" s="6" t="n">
        <v>40671</v>
      </c>
      <c r="C580" s="0" t="n">
        <v>17002</v>
      </c>
      <c r="D580" s="0" t="s">
        <v>42</v>
      </c>
      <c r="E580" s="0" t="n">
        <v>13</v>
      </c>
      <c r="F580" s="0" t="n">
        <v>480.46</v>
      </c>
      <c r="G580" s="0" t="s">
        <v>43</v>
      </c>
    </row>
    <row r="581" customFormat="false" ht="15" hidden="false" customHeight="false" outlineLevel="0" collapsed="false">
      <c r="A581" s="0" t="s">
        <v>632</v>
      </c>
      <c r="B581" s="6" t="n">
        <v>40672</v>
      </c>
      <c r="C581" s="0" t="n">
        <v>17949</v>
      </c>
      <c r="D581" s="0" t="s">
        <v>42</v>
      </c>
      <c r="E581" s="0" t="n">
        <v>1</v>
      </c>
      <c r="F581" s="0" t="n">
        <v>417</v>
      </c>
      <c r="G581" s="0" t="s">
        <v>43</v>
      </c>
    </row>
    <row r="582" customFormat="false" ht="15" hidden="false" customHeight="false" outlineLevel="0" collapsed="false">
      <c r="A582" s="0" t="s">
        <v>633</v>
      </c>
      <c r="B582" s="6" t="n">
        <v>40672</v>
      </c>
      <c r="C582" s="0" t="n">
        <v>17949</v>
      </c>
      <c r="D582" s="0" t="s">
        <v>42</v>
      </c>
      <c r="E582" s="0" t="n">
        <v>1</v>
      </c>
      <c r="F582" s="0" t="n">
        <v>816</v>
      </c>
      <c r="G582" s="0" t="s">
        <v>43</v>
      </c>
    </row>
    <row r="583" customFormat="false" ht="15" hidden="false" customHeight="false" outlineLevel="0" collapsed="false">
      <c r="A583" s="0" t="s">
        <v>634</v>
      </c>
      <c r="B583" s="6" t="n">
        <v>40672</v>
      </c>
      <c r="C583" s="0" t="n">
        <v>17949</v>
      </c>
      <c r="D583" s="0" t="s">
        <v>42</v>
      </c>
      <c r="E583" s="0" t="n">
        <v>2</v>
      </c>
      <c r="F583" s="0" t="n">
        <v>738</v>
      </c>
      <c r="G583" s="0" t="s">
        <v>43</v>
      </c>
    </row>
    <row r="584" customFormat="false" ht="15" hidden="false" customHeight="false" outlineLevel="0" collapsed="false">
      <c r="A584" s="0" t="s">
        <v>635</v>
      </c>
      <c r="B584" s="6" t="n">
        <v>40672</v>
      </c>
      <c r="C584" s="0" t="n">
        <v>14543</v>
      </c>
      <c r="D584" s="0" t="s">
        <v>42</v>
      </c>
      <c r="E584" s="0" t="n">
        <v>6</v>
      </c>
      <c r="F584" s="0" t="n">
        <v>352.54</v>
      </c>
      <c r="G584" s="0" t="s">
        <v>43</v>
      </c>
    </row>
    <row r="585" customFormat="false" ht="15" hidden="false" customHeight="false" outlineLevel="0" collapsed="false">
      <c r="A585" s="0" t="s">
        <v>636</v>
      </c>
      <c r="B585" s="6" t="n">
        <v>40673</v>
      </c>
      <c r="C585" s="0" t="n">
        <v>17581</v>
      </c>
      <c r="D585" s="0" t="s">
        <v>42</v>
      </c>
      <c r="E585" s="0" t="n">
        <v>30</v>
      </c>
      <c r="F585" s="0" t="n">
        <v>791.33</v>
      </c>
      <c r="G585" s="0" t="s">
        <v>43</v>
      </c>
    </row>
    <row r="586" customFormat="false" ht="15" hidden="false" customHeight="false" outlineLevel="0" collapsed="false">
      <c r="A586" s="0" t="s">
        <v>637</v>
      </c>
      <c r="B586" s="6" t="n">
        <v>40673</v>
      </c>
      <c r="C586" s="0" t="n">
        <v>17581</v>
      </c>
      <c r="D586" s="0" t="s">
        <v>42</v>
      </c>
      <c r="E586" s="0" t="n">
        <v>1</v>
      </c>
      <c r="F586" s="0" t="n">
        <v>44.55</v>
      </c>
      <c r="G586" s="0" t="s">
        <v>43</v>
      </c>
    </row>
    <row r="587" customFormat="false" ht="15" hidden="false" customHeight="false" outlineLevel="0" collapsed="false">
      <c r="A587" s="0" t="s">
        <v>638</v>
      </c>
      <c r="B587" s="6" t="n">
        <v>40673</v>
      </c>
      <c r="C587" s="0" t="n">
        <v>17581</v>
      </c>
      <c r="D587" s="0" t="s">
        <v>42</v>
      </c>
      <c r="E587" s="0" t="n">
        <v>15</v>
      </c>
      <c r="F587" s="0" t="n">
        <v>323.7</v>
      </c>
      <c r="G587" s="0" t="s">
        <v>43</v>
      </c>
    </row>
    <row r="588" customFormat="false" ht="15" hidden="false" customHeight="false" outlineLevel="0" collapsed="false">
      <c r="A588" s="0" t="s">
        <v>639</v>
      </c>
      <c r="B588" s="6" t="n">
        <v>40673</v>
      </c>
      <c r="C588" s="0" t="n">
        <v>17581</v>
      </c>
      <c r="D588" s="0" t="s">
        <v>42</v>
      </c>
      <c r="E588" s="0" t="n">
        <v>1</v>
      </c>
      <c r="F588" s="0" t="n">
        <v>195</v>
      </c>
      <c r="G588" s="0" t="s">
        <v>43</v>
      </c>
    </row>
    <row r="589" customFormat="false" ht="15" hidden="false" customHeight="false" outlineLevel="0" collapsed="false">
      <c r="A589" s="0" t="s">
        <v>640</v>
      </c>
      <c r="B589" s="6" t="n">
        <v>40673</v>
      </c>
      <c r="C589" s="0" t="n">
        <v>12592</v>
      </c>
      <c r="D589" s="0" t="s">
        <v>259</v>
      </c>
      <c r="E589" s="0" t="n">
        <v>9</v>
      </c>
      <c r="F589" s="0" t="n">
        <v>231.8</v>
      </c>
      <c r="G589" s="0" t="s">
        <v>43</v>
      </c>
    </row>
    <row r="590" customFormat="false" ht="15" hidden="false" customHeight="false" outlineLevel="0" collapsed="false">
      <c r="A590" s="0" t="s">
        <v>641</v>
      </c>
      <c r="B590" s="6" t="n">
        <v>40674</v>
      </c>
      <c r="C590" s="0" t="n">
        <v>14573</v>
      </c>
      <c r="D590" s="0" t="s">
        <v>42</v>
      </c>
      <c r="E590" s="0" t="n">
        <v>44</v>
      </c>
      <c r="F590" s="0" t="n">
        <v>311.11</v>
      </c>
      <c r="G590" s="0" t="s">
        <v>43</v>
      </c>
    </row>
    <row r="591" customFormat="false" ht="15" hidden="false" customHeight="false" outlineLevel="0" collapsed="false">
      <c r="A591" s="0" t="s">
        <v>642</v>
      </c>
      <c r="B591" s="6" t="n">
        <v>40674</v>
      </c>
      <c r="C591" s="0" t="n">
        <v>14149</v>
      </c>
      <c r="D591" s="0" t="s">
        <v>42</v>
      </c>
      <c r="E591" s="0" t="n">
        <v>11</v>
      </c>
      <c r="F591" s="0" t="n">
        <v>-179.54</v>
      </c>
      <c r="G591" s="0" t="s">
        <v>65</v>
      </c>
    </row>
    <row r="592" customFormat="false" ht="15" hidden="false" customHeight="false" outlineLevel="0" collapsed="false">
      <c r="A592" s="0" t="s">
        <v>643</v>
      </c>
      <c r="B592" s="6" t="n">
        <v>40674</v>
      </c>
      <c r="C592" s="0" t="n">
        <v>15815</v>
      </c>
      <c r="D592" s="0" t="s">
        <v>42</v>
      </c>
      <c r="E592" s="0" t="n">
        <v>4</v>
      </c>
      <c r="F592" s="0" t="n">
        <v>514.08</v>
      </c>
      <c r="G592" s="0" t="s">
        <v>43</v>
      </c>
    </row>
    <row r="593" customFormat="false" ht="15" hidden="false" customHeight="false" outlineLevel="0" collapsed="false">
      <c r="A593" s="0" t="s">
        <v>644</v>
      </c>
      <c r="B593" s="6" t="n">
        <v>40675</v>
      </c>
      <c r="C593" s="0" t="n">
        <v>14201</v>
      </c>
      <c r="D593" s="0" t="s">
        <v>42</v>
      </c>
      <c r="E593" s="0" t="n">
        <v>1</v>
      </c>
      <c r="F593" s="0" t="n">
        <v>-29.7</v>
      </c>
      <c r="G593" s="0" t="s">
        <v>65</v>
      </c>
    </row>
    <row r="594" customFormat="false" ht="15" hidden="false" customHeight="false" outlineLevel="0" collapsed="false">
      <c r="A594" s="0" t="s">
        <v>645</v>
      </c>
      <c r="B594" s="6" t="n">
        <v>40676</v>
      </c>
      <c r="C594" s="0" t="n">
        <v>16618</v>
      </c>
      <c r="D594" s="0" t="s">
        <v>42</v>
      </c>
      <c r="E594" s="0" t="n">
        <v>9</v>
      </c>
      <c r="F594" s="0" t="n">
        <v>341.52</v>
      </c>
      <c r="G594" s="0" t="s">
        <v>43</v>
      </c>
    </row>
    <row r="595" customFormat="false" ht="15" hidden="false" customHeight="false" outlineLevel="0" collapsed="false">
      <c r="A595" s="0" t="s">
        <v>646</v>
      </c>
      <c r="B595" s="6" t="n">
        <v>40676</v>
      </c>
      <c r="C595" s="0" t="n">
        <v>16618</v>
      </c>
      <c r="D595" s="0" t="s">
        <v>42</v>
      </c>
      <c r="E595" s="0" t="n">
        <v>1</v>
      </c>
      <c r="F595" s="0" t="n">
        <v>16.95</v>
      </c>
      <c r="G595" s="0" t="s">
        <v>43</v>
      </c>
    </row>
    <row r="596" customFormat="false" ht="15" hidden="false" customHeight="false" outlineLevel="0" collapsed="false">
      <c r="A596" s="0" t="s">
        <v>647</v>
      </c>
      <c r="B596" s="6" t="n">
        <v>40679</v>
      </c>
      <c r="C596" s="0" t="n">
        <v>14201</v>
      </c>
      <c r="D596" s="0" t="s">
        <v>42</v>
      </c>
      <c r="E596" s="0" t="n">
        <v>1</v>
      </c>
      <c r="F596" s="0" t="n">
        <v>-29.7</v>
      </c>
      <c r="G596" s="0" t="s">
        <v>65</v>
      </c>
    </row>
    <row r="597" customFormat="false" ht="15" hidden="false" customHeight="false" outlineLevel="0" collapsed="false">
      <c r="A597" s="0" t="s">
        <v>648</v>
      </c>
      <c r="B597" s="6" t="n">
        <v>40680</v>
      </c>
      <c r="C597" s="0" t="n">
        <v>16139</v>
      </c>
      <c r="D597" s="0" t="s">
        <v>42</v>
      </c>
      <c r="E597" s="0" t="n">
        <v>6</v>
      </c>
      <c r="F597" s="0" t="n">
        <v>139.8</v>
      </c>
      <c r="G597" s="0" t="s">
        <v>43</v>
      </c>
    </row>
    <row r="598" customFormat="false" ht="15" hidden="false" customHeight="false" outlineLevel="0" collapsed="false">
      <c r="A598" s="0" t="s">
        <v>649</v>
      </c>
      <c r="B598" s="6" t="n">
        <v>40680</v>
      </c>
      <c r="C598" s="0" t="n">
        <v>17949</v>
      </c>
      <c r="D598" s="0" t="s">
        <v>42</v>
      </c>
      <c r="E598" s="0" t="n">
        <v>1</v>
      </c>
      <c r="F598" s="0" t="n">
        <v>259.2</v>
      </c>
      <c r="G598" s="0" t="s">
        <v>43</v>
      </c>
    </row>
    <row r="599" customFormat="false" ht="15" hidden="false" customHeight="false" outlineLevel="0" collapsed="false">
      <c r="A599" s="0" t="s">
        <v>650</v>
      </c>
      <c r="B599" s="6" t="n">
        <v>40680</v>
      </c>
      <c r="C599" s="0" t="n">
        <v>14931</v>
      </c>
      <c r="D599" s="0" t="s">
        <v>613</v>
      </c>
      <c r="E599" s="0" t="n">
        <v>1</v>
      </c>
      <c r="F599" s="0" t="n">
        <v>293</v>
      </c>
      <c r="G599" s="0" t="s">
        <v>43</v>
      </c>
    </row>
    <row r="600" customFormat="false" ht="15" hidden="false" customHeight="false" outlineLevel="0" collapsed="false">
      <c r="A600" s="0" t="s">
        <v>651</v>
      </c>
      <c r="B600" s="6" t="n">
        <v>40680</v>
      </c>
      <c r="C600" s="0" t="n">
        <v>14931</v>
      </c>
      <c r="D600" s="0" t="s">
        <v>613</v>
      </c>
      <c r="E600" s="0" t="n">
        <v>1</v>
      </c>
      <c r="F600" s="0" t="n">
        <v>-293</v>
      </c>
      <c r="G600" s="0" t="s">
        <v>65</v>
      </c>
    </row>
    <row r="601" customFormat="false" ht="15" hidden="false" customHeight="false" outlineLevel="0" collapsed="false">
      <c r="A601" s="0" t="s">
        <v>652</v>
      </c>
      <c r="B601" s="6" t="n">
        <v>40680</v>
      </c>
      <c r="C601" s="0" t="n">
        <v>17581</v>
      </c>
      <c r="D601" s="0" t="s">
        <v>42</v>
      </c>
      <c r="E601" s="0" t="n">
        <v>1</v>
      </c>
      <c r="F601" s="0" t="n">
        <v>-195</v>
      </c>
      <c r="G601" s="0" t="s">
        <v>65</v>
      </c>
    </row>
    <row r="602" customFormat="false" ht="15" hidden="false" customHeight="false" outlineLevel="0" collapsed="false">
      <c r="A602" s="0" t="s">
        <v>653</v>
      </c>
      <c r="B602" s="6" t="n">
        <v>40681</v>
      </c>
      <c r="C602" s="0" t="n">
        <v>18223</v>
      </c>
      <c r="D602" s="0" t="s">
        <v>42</v>
      </c>
      <c r="E602" s="0" t="n">
        <v>29</v>
      </c>
      <c r="F602" s="0" t="n">
        <v>591.65</v>
      </c>
      <c r="G602" s="0" t="s">
        <v>43</v>
      </c>
    </row>
    <row r="603" customFormat="false" ht="15" hidden="false" customHeight="false" outlineLevel="0" collapsed="false">
      <c r="A603" s="0" t="s">
        <v>654</v>
      </c>
      <c r="B603" s="6" t="n">
        <v>40683</v>
      </c>
      <c r="C603" s="0" t="n">
        <v>15370</v>
      </c>
      <c r="D603" s="0" t="s">
        <v>42</v>
      </c>
      <c r="E603" s="0" t="n">
        <v>15</v>
      </c>
      <c r="F603" s="0" t="n">
        <v>373.72</v>
      </c>
      <c r="G603" s="0" t="s">
        <v>43</v>
      </c>
    </row>
    <row r="604" customFormat="false" ht="15" hidden="false" customHeight="false" outlineLevel="0" collapsed="false">
      <c r="A604" s="0" t="s">
        <v>655</v>
      </c>
      <c r="B604" s="6" t="n">
        <v>40683</v>
      </c>
      <c r="C604" s="0" t="n">
        <v>16618</v>
      </c>
      <c r="D604" s="0" t="s">
        <v>42</v>
      </c>
      <c r="E604" s="0" t="n">
        <v>1</v>
      </c>
      <c r="F604" s="0" t="n">
        <v>-16.95</v>
      </c>
      <c r="G604" s="0" t="s">
        <v>65</v>
      </c>
    </row>
    <row r="605" customFormat="false" ht="15" hidden="false" customHeight="false" outlineLevel="0" collapsed="false">
      <c r="A605" s="0" t="s">
        <v>656</v>
      </c>
      <c r="B605" s="6" t="n">
        <v>40686</v>
      </c>
      <c r="C605" s="0" t="n">
        <v>17949</v>
      </c>
      <c r="D605" s="0" t="s">
        <v>42</v>
      </c>
      <c r="E605" s="0" t="n">
        <v>1</v>
      </c>
      <c r="F605" s="0" t="n">
        <v>-480</v>
      </c>
      <c r="G605" s="0" t="s">
        <v>65</v>
      </c>
    </row>
    <row r="606" customFormat="false" ht="15" hidden="false" customHeight="false" outlineLevel="0" collapsed="false">
      <c r="A606" s="0" t="s">
        <v>657</v>
      </c>
      <c r="B606" s="6" t="n">
        <v>40686</v>
      </c>
      <c r="C606" s="0" t="n">
        <v>17949</v>
      </c>
      <c r="D606" s="0" t="s">
        <v>42</v>
      </c>
      <c r="E606" s="0" t="n">
        <v>1</v>
      </c>
      <c r="F606" s="0" t="n">
        <v>204</v>
      </c>
      <c r="G606" s="0" t="s">
        <v>43</v>
      </c>
    </row>
    <row r="607" customFormat="false" ht="15" hidden="false" customHeight="false" outlineLevel="0" collapsed="false">
      <c r="A607" s="0" t="s">
        <v>658</v>
      </c>
      <c r="B607" s="6" t="n">
        <v>40686</v>
      </c>
      <c r="C607" s="0" t="n">
        <v>14573</v>
      </c>
      <c r="D607" s="0" t="s">
        <v>42</v>
      </c>
      <c r="E607" s="0" t="n">
        <v>3</v>
      </c>
      <c r="F607" s="0" t="n">
        <v>-30.85</v>
      </c>
      <c r="G607" s="0" t="s">
        <v>65</v>
      </c>
    </row>
    <row r="608" customFormat="false" ht="15" hidden="false" customHeight="false" outlineLevel="0" collapsed="false">
      <c r="A608" s="0" t="s">
        <v>659</v>
      </c>
      <c r="B608" s="6" t="n">
        <v>40686</v>
      </c>
      <c r="C608" s="0" t="n">
        <v>14573</v>
      </c>
      <c r="D608" s="0" t="s">
        <v>42</v>
      </c>
      <c r="E608" s="0" t="n">
        <v>23</v>
      </c>
      <c r="F608" s="0" t="n">
        <v>183.26</v>
      </c>
      <c r="G608" s="0" t="s">
        <v>43</v>
      </c>
    </row>
    <row r="609" customFormat="false" ht="15" hidden="false" customHeight="false" outlineLevel="0" collapsed="false">
      <c r="A609" s="0" t="s">
        <v>660</v>
      </c>
      <c r="B609" s="6" t="n">
        <v>40686</v>
      </c>
      <c r="C609" s="0" t="n">
        <v>14573</v>
      </c>
      <c r="D609" s="0" t="s">
        <v>42</v>
      </c>
      <c r="E609" s="0" t="n">
        <v>1</v>
      </c>
      <c r="F609" s="0" t="n">
        <v>-14.95</v>
      </c>
      <c r="G609" s="0" t="s">
        <v>65</v>
      </c>
    </row>
    <row r="610" customFormat="false" ht="15" hidden="false" customHeight="false" outlineLevel="0" collapsed="false">
      <c r="A610" s="0" t="s">
        <v>661</v>
      </c>
      <c r="B610" s="6" t="n">
        <v>40686</v>
      </c>
      <c r="C610" s="0" t="n">
        <v>14573</v>
      </c>
      <c r="D610" s="0" t="s">
        <v>42</v>
      </c>
      <c r="E610" s="0" t="n">
        <v>1</v>
      </c>
      <c r="F610" s="0" t="n">
        <v>-1.95</v>
      </c>
      <c r="G610" s="0" t="s">
        <v>65</v>
      </c>
    </row>
    <row r="611" customFormat="false" ht="15" hidden="false" customHeight="false" outlineLevel="0" collapsed="false">
      <c r="A611" s="0" t="s">
        <v>662</v>
      </c>
      <c r="B611" s="6" t="n">
        <v>40686</v>
      </c>
      <c r="C611" s="0" t="n">
        <v>14573</v>
      </c>
      <c r="D611" s="0" t="s">
        <v>42</v>
      </c>
      <c r="E611" s="0" t="n">
        <v>1</v>
      </c>
      <c r="F611" s="0" t="n">
        <v>1.95</v>
      </c>
      <c r="G611" s="0" t="s">
        <v>43</v>
      </c>
    </row>
    <row r="612" customFormat="false" ht="15" hidden="false" customHeight="false" outlineLevel="0" collapsed="false">
      <c r="A612" s="0" t="s">
        <v>663</v>
      </c>
      <c r="B612" s="6" t="n">
        <v>40686</v>
      </c>
      <c r="C612" s="0" t="n">
        <v>14573</v>
      </c>
      <c r="D612" s="0" t="s">
        <v>42</v>
      </c>
      <c r="E612" s="0" t="n">
        <v>1</v>
      </c>
      <c r="F612" s="0" t="n">
        <v>-1.95</v>
      </c>
      <c r="G612" s="0" t="s">
        <v>65</v>
      </c>
    </row>
    <row r="613" customFormat="false" ht="15" hidden="false" customHeight="false" outlineLevel="0" collapsed="false">
      <c r="A613" s="0" t="s">
        <v>664</v>
      </c>
      <c r="B613" s="6" t="n">
        <v>40687</v>
      </c>
      <c r="C613" s="0" t="n">
        <v>18223</v>
      </c>
      <c r="D613" s="0" t="s">
        <v>42</v>
      </c>
      <c r="E613" s="0" t="n">
        <v>1</v>
      </c>
      <c r="F613" s="0" t="n">
        <v>-6.25</v>
      </c>
      <c r="G613" s="0" t="s">
        <v>65</v>
      </c>
    </row>
    <row r="614" customFormat="false" ht="15" hidden="false" customHeight="false" outlineLevel="0" collapsed="false">
      <c r="A614" s="0" t="s">
        <v>665</v>
      </c>
      <c r="B614" s="6" t="n">
        <v>40688</v>
      </c>
      <c r="C614" s="0" t="n">
        <v>15203</v>
      </c>
      <c r="D614" s="0" t="s">
        <v>42</v>
      </c>
      <c r="E614" s="0" t="n">
        <v>36</v>
      </c>
      <c r="F614" s="0" t="n">
        <v>480.96</v>
      </c>
      <c r="G614" s="0" t="s">
        <v>43</v>
      </c>
    </row>
    <row r="615" customFormat="false" ht="15" hidden="false" customHeight="false" outlineLevel="0" collapsed="false">
      <c r="A615" s="0" t="s">
        <v>666</v>
      </c>
      <c r="B615" s="6" t="n">
        <v>40689</v>
      </c>
      <c r="C615" s="0" t="n">
        <v>15241</v>
      </c>
      <c r="D615" s="0" t="s">
        <v>42</v>
      </c>
      <c r="E615" s="0" t="n">
        <v>14</v>
      </c>
      <c r="F615" s="0" t="n">
        <v>201.97</v>
      </c>
      <c r="G615" s="0" t="s">
        <v>43</v>
      </c>
    </row>
    <row r="616" customFormat="false" ht="15" hidden="false" customHeight="false" outlineLevel="0" collapsed="false">
      <c r="A616" s="0" t="s">
        <v>667</v>
      </c>
      <c r="B616" s="6" t="n">
        <v>40690</v>
      </c>
      <c r="C616" s="0" t="n">
        <v>14227</v>
      </c>
      <c r="D616" s="0" t="s">
        <v>42</v>
      </c>
      <c r="E616" s="0" t="n">
        <v>46</v>
      </c>
      <c r="F616" s="0" t="n">
        <v>797.48</v>
      </c>
      <c r="G616" s="0" t="s">
        <v>43</v>
      </c>
    </row>
    <row r="617" customFormat="false" ht="15" hidden="false" customHeight="false" outlineLevel="0" collapsed="false">
      <c r="A617" s="0" t="s">
        <v>668</v>
      </c>
      <c r="B617" s="6" t="n">
        <v>40690</v>
      </c>
      <c r="C617" s="0" t="n">
        <v>14227</v>
      </c>
      <c r="D617" s="0" t="s">
        <v>42</v>
      </c>
      <c r="E617" s="0" t="n">
        <v>2</v>
      </c>
      <c r="F617" s="0" t="n">
        <v>81</v>
      </c>
      <c r="G617" s="0" t="s">
        <v>43</v>
      </c>
    </row>
    <row r="618" customFormat="false" ht="15" hidden="false" customHeight="false" outlineLevel="0" collapsed="false">
      <c r="A618" s="0" t="s">
        <v>669</v>
      </c>
      <c r="B618" s="6" t="n">
        <v>40690</v>
      </c>
      <c r="C618" s="0" t="n">
        <v>14227</v>
      </c>
      <c r="D618" s="0" t="s">
        <v>42</v>
      </c>
      <c r="E618" s="0" t="n">
        <v>1</v>
      </c>
      <c r="F618" s="0" t="n">
        <v>17.4</v>
      </c>
      <c r="G618" s="0" t="s">
        <v>43</v>
      </c>
    </row>
    <row r="619" customFormat="false" ht="15" hidden="false" customHeight="false" outlineLevel="0" collapsed="false">
      <c r="A619" s="0" t="s">
        <v>670</v>
      </c>
      <c r="B619" s="6" t="n">
        <v>40690</v>
      </c>
      <c r="C619" s="0" t="n">
        <v>14227</v>
      </c>
      <c r="D619" s="0" t="s">
        <v>42</v>
      </c>
      <c r="E619" s="0" t="n">
        <v>9</v>
      </c>
      <c r="F619" s="0" t="n">
        <v>179.67</v>
      </c>
      <c r="G619" s="0" t="s">
        <v>43</v>
      </c>
    </row>
    <row r="620" customFormat="false" ht="15" hidden="false" customHeight="false" outlineLevel="0" collapsed="false">
      <c r="A620" s="0" t="s">
        <v>671</v>
      </c>
      <c r="B620" s="6" t="n">
        <v>40694</v>
      </c>
      <c r="C620" s="0" t="n">
        <v>17949</v>
      </c>
      <c r="D620" s="0" t="s">
        <v>42</v>
      </c>
      <c r="E620" s="0" t="n">
        <v>1</v>
      </c>
      <c r="F620" s="0" t="n">
        <v>816</v>
      </c>
      <c r="G620" s="0" t="s">
        <v>43</v>
      </c>
    </row>
    <row r="621" customFormat="false" ht="15" hidden="false" customHeight="false" outlineLevel="0" collapsed="false">
      <c r="A621" s="0" t="s">
        <v>672</v>
      </c>
      <c r="B621" s="6" t="n">
        <v>40694</v>
      </c>
      <c r="C621" s="0" t="n">
        <v>15241</v>
      </c>
      <c r="D621" s="0" t="s">
        <v>42</v>
      </c>
      <c r="E621" s="0" t="n">
        <v>21</v>
      </c>
      <c r="F621" s="0" t="n">
        <v>368.1</v>
      </c>
      <c r="G621" s="0" t="s">
        <v>43</v>
      </c>
    </row>
    <row r="622" customFormat="false" ht="15" hidden="false" customHeight="false" outlineLevel="0" collapsed="false">
      <c r="A622" s="0" t="s">
        <v>673</v>
      </c>
      <c r="B622" s="6" t="n">
        <v>40695</v>
      </c>
      <c r="C622" s="0" t="n">
        <v>15124</v>
      </c>
      <c r="D622" s="0" t="s">
        <v>42</v>
      </c>
      <c r="E622" s="0" t="n">
        <v>9</v>
      </c>
      <c r="F622" s="0" t="n">
        <v>90.75</v>
      </c>
      <c r="G622" s="0" t="s">
        <v>43</v>
      </c>
    </row>
    <row r="623" customFormat="false" ht="15" hidden="false" customHeight="false" outlineLevel="0" collapsed="false">
      <c r="A623" s="0" t="s">
        <v>674</v>
      </c>
      <c r="B623" s="6" t="n">
        <v>40696</v>
      </c>
      <c r="C623" s="0" t="n">
        <v>14543</v>
      </c>
      <c r="D623" s="0" t="s">
        <v>42</v>
      </c>
      <c r="E623" s="0" t="n">
        <v>3</v>
      </c>
      <c r="F623" s="0" t="n">
        <v>233.75</v>
      </c>
      <c r="G623" s="0" t="s">
        <v>43</v>
      </c>
    </row>
    <row r="624" customFormat="false" ht="15" hidden="false" customHeight="false" outlineLevel="0" collapsed="false">
      <c r="A624" s="0" t="s">
        <v>675</v>
      </c>
      <c r="B624" s="6" t="n">
        <v>40697</v>
      </c>
      <c r="C624" s="0" t="n">
        <v>17949</v>
      </c>
      <c r="D624" s="0" t="s">
        <v>42</v>
      </c>
      <c r="E624" s="0" t="n">
        <v>1</v>
      </c>
      <c r="F624" s="0" t="n">
        <v>259.2</v>
      </c>
      <c r="G624" s="0" t="s">
        <v>43</v>
      </c>
    </row>
    <row r="625" customFormat="false" ht="15" hidden="false" customHeight="false" outlineLevel="0" collapsed="false">
      <c r="A625" s="0" t="s">
        <v>676</v>
      </c>
      <c r="B625" s="6" t="n">
        <v>40697</v>
      </c>
      <c r="C625" s="0" t="n">
        <v>17949</v>
      </c>
      <c r="D625" s="0" t="s">
        <v>42</v>
      </c>
      <c r="E625" s="0" t="n">
        <v>1</v>
      </c>
      <c r="F625" s="0" t="n">
        <v>1314</v>
      </c>
      <c r="G625" s="0" t="s">
        <v>43</v>
      </c>
    </row>
    <row r="626" customFormat="false" ht="15" hidden="false" customHeight="false" outlineLevel="0" collapsed="false">
      <c r="A626" s="0" t="s">
        <v>677</v>
      </c>
      <c r="B626" s="6" t="n">
        <v>40699</v>
      </c>
      <c r="C626" s="0" t="n">
        <v>16883</v>
      </c>
      <c r="D626" s="0" t="s">
        <v>42</v>
      </c>
      <c r="E626" s="0" t="n">
        <v>21</v>
      </c>
      <c r="F626" s="0" t="n">
        <v>148.7</v>
      </c>
      <c r="G626" s="0" t="s">
        <v>43</v>
      </c>
    </row>
    <row r="627" customFormat="false" ht="15" hidden="false" customHeight="false" outlineLevel="0" collapsed="false">
      <c r="A627" s="0" t="s">
        <v>678</v>
      </c>
      <c r="B627" s="6" t="n">
        <v>40700</v>
      </c>
      <c r="C627" s="0" t="n">
        <v>14543</v>
      </c>
      <c r="D627" s="0" t="s">
        <v>42</v>
      </c>
      <c r="E627" s="0" t="n">
        <v>1</v>
      </c>
      <c r="F627" s="0" t="n">
        <v>-15</v>
      </c>
      <c r="G627" s="0" t="s">
        <v>65</v>
      </c>
    </row>
    <row r="628" customFormat="false" ht="15" hidden="false" customHeight="false" outlineLevel="0" collapsed="false">
      <c r="A628" s="0" t="s">
        <v>679</v>
      </c>
      <c r="B628" s="6" t="n">
        <v>40700</v>
      </c>
      <c r="C628" s="0" t="n">
        <v>14201</v>
      </c>
      <c r="D628" s="0" t="s">
        <v>42</v>
      </c>
      <c r="E628" s="0" t="n">
        <v>3</v>
      </c>
      <c r="F628" s="0" t="n">
        <v>46.84</v>
      </c>
      <c r="G628" s="0" t="s">
        <v>43</v>
      </c>
    </row>
    <row r="629" customFormat="false" ht="15" hidden="false" customHeight="false" outlineLevel="0" collapsed="false">
      <c r="A629" s="0" t="s">
        <v>680</v>
      </c>
      <c r="B629" s="6" t="n">
        <v>40701</v>
      </c>
      <c r="C629" s="0" t="n">
        <v>14227</v>
      </c>
      <c r="D629" s="0" t="s">
        <v>42</v>
      </c>
      <c r="E629" s="0" t="n">
        <v>1</v>
      </c>
      <c r="F629" s="0" t="n">
        <v>-2.1</v>
      </c>
      <c r="G629" s="0" t="s">
        <v>65</v>
      </c>
    </row>
    <row r="630" customFormat="false" ht="15" hidden="false" customHeight="false" outlineLevel="0" collapsed="false">
      <c r="A630" s="0" t="s">
        <v>681</v>
      </c>
      <c r="B630" s="6" t="n">
        <v>40703</v>
      </c>
      <c r="C630" s="0" t="n">
        <v>15241</v>
      </c>
      <c r="D630" s="0" t="s">
        <v>42</v>
      </c>
      <c r="E630" s="0" t="n">
        <v>7</v>
      </c>
      <c r="F630" s="0" t="n">
        <v>99.96</v>
      </c>
      <c r="G630" s="0" t="s">
        <v>43</v>
      </c>
    </row>
    <row r="631" customFormat="false" ht="15" hidden="false" customHeight="false" outlineLevel="0" collapsed="false">
      <c r="A631" s="0" t="s">
        <v>682</v>
      </c>
      <c r="B631" s="6" t="n">
        <v>40704</v>
      </c>
      <c r="C631" s="0" t="n">
        <v>14573</v>
      </c>
      <c r="D631" s="0" t="s">
        <v>42</v>
      </c>
      <c r="E631" s="0" t="n">
        <v>13</v>
      </c>
      <c r="F631" s="0" t="n">
        <v>157.76</v>
      </c>
      <c r="G631" s="0" t="s">
        <v>43</v>
      </c>
    </row>
    <row r="632" customFormat="false" ht="15" hidden="false" customHeight="false" outlineLevel="0" collapsed="false">
      <c r="A632" s="0" t="s">
        <v>683</v>
      </c>
      <c r="B632" s="6" t="n">
        <v>40704</v>
      </c>
      <c r="C632" s="0" t="n">
        <v>14543</v>
      </c>
      <c r="D632" s="0" t="s">
        <v>42</v>
      </c>
      <c r="E632" s="0" t="n">
        <v>1</v>
      </c>
      <c r="F632" s="0" t="n">
        <v>19.8</v>
      </c>
      <c r="G632" s="0" t="s">
        <v>43</v>
      </c>
    </row>
    <row r="633" customFormat="false" ht="15" hidden="false" customHeight="false" outlineLevel="0" collapsed="false">
      <c r="A633" s="0" t="s">
        <v>684</v>
      </c>
      <c r="B633" s="6" t="n">
        <v>40707</v>
      </c>
      <c r="C633" s="0" t="n">
        <v>14573</v>
      </c>
      <c r="D633" s="0" t="s">
        <v>42</v>
      </c>
      <c r="E633" s="0" t="n">
        <v>13</v>
      </c>
      <c r="F633" s="0" t="n">
        <v>116.76</v>
      </c>
      <c r="G633" s="0" t="s">
        <v>43</v>
      </c>
    </row>
    <row r="634" customFormat="false" ht="15" hidden="false" customHeight="false" outlineLevel="0" collapsed="false">
      <c r="A634" s="0" t="s">
        <v>685</v>
      </c>
      <c r="B634" s="6" t="n">
        <v>40709</v>
      </c>
      <c r="C634" s="0" t="n">
        <v>17581</v>
      </c>
      <c r="D634" s="0" t="s">
        <v>42</v>
      </c>
      <c r="E634" s="0" t="n">
        <v>29</v>
      </c>
      <c r="F634" s="0" t="n">
        <v>1063.35</v>
      </c>
      <c r="G634" s="0" t="s">
        <v>43</v>
      </c>
    </row>
    <row r="635" customFormat="false" ht="15" hidden="false" customHeight="false" outlineLevel="0" collapsed="false">
      <c r="A635" s="0" t="s">
        <v>686</v>
      </c>
      <c r="B635" s="6" t="n">
        <v>40709</v>
      </c>
      <c r="C635" s="0" t="n">
        <v>17581</v>
      </c>
      <c r="D635" s="0" t="s">
        <v>42</v>
      </c>
      <c r="E635" s="0" t="n">
        <v>9</v>
      </c>
      <c r="F635" s="0" t="n">
        <v>139.64</v>
      </c>
      <c r="G635" s="0" t="s">
        <v>43</v>
      </c>
    </row>
    <row r="636" customFormat="false" ht="15" hidden="false" customHeight="false" outlineLevel="0" collapsed="false">
      <c r="A636" s="0" t="s">
        <v>687</v>
      </c>
      <c r="B636" s="6" t="n">
        <v>40709</v>
      </c>
      <c r="C636" s="0" t="n">
        <v>17581</v>
      </c>
      <c r="D636" s="0" t="s">
        <v>42</v>
      </c>
      <c r="E636" s="0" t="n">
        <v>7</v>
      </c>
      <c r="F636" s="0" t="n">
        <v>120.94</v>
      </c>
      <c r="G636" s="0" t="s">
        <v>43</v>
      </c>
    </row>
    <row r="637" customFormat="false" ht="15" hidden="false" customHeight="false" outlineLevel="0" collapsed="false">
      <c r="A637" s="0" t="s">
        <v>688</v>
      </c>
      <c r="B637" s="6" t="n">
        <v>40710</v>
      </c>
      <c r="C637" s="0" t="n">
        <v>14243</v>
      </c>
      <c r="D637" s="0" t="s">
        <v>42</v>
      </c>
      <c r="E637" s="0" t="n">
        <v>15</v>
      </c>
      <c r="F637" s="0" t="n">
        <v>263.09</v>
      </c>
      <c r="G637" s="0" t="s">
        <v>43</v>
      </c>
    </row>
    <row r="638" customFormat="false" ht="15" hidden="false" customHeight="false" outlineLevel="0" collapsed="false">
      <c r="A638" s="0" t="s">
        <v>689</v>
      </c>
      <c r="B638" s="6" t="n">
        <v>40710</v>
      </c>
      <c r="C638" s="0" t="n">
        <v>13575</v>
      </c>
      <c r="D638" s="0" t="s">
        <v>42</v>
      </c>
      <c r="E638" s="0" t="n">
        <v>5</v>
      </c>
      <c r="F638" s="0" t="n">
        <v>88.55</v>
      </c>
      <c r="G638" s="0" t="s">
        <v>43</v>
      </c>
    </row>
    <row r="639" customFormat="false" ht="15" hidden="false" customHeight="false" outlineLevel="0" collapsed="false">
      <c r="A639" s="0" t="s">
        <v>690</v>
      </c>
      <c r="B639" s="6" t="n">
        <v>40713</v>
      </c>
      <c r="C639" s="0" t="n">
        <v>12541</v>
      </c>
      <c r="D639" s="0" t="s">
        <v>571</v>
      </c>
      <c r="E639" s="0" t="n">
        <v>11</v>
      </c>
      <c r="F639" s="0" t="n">
        <v>223.74</v>
      </c>
      <c r="G639" s="0" t="s">
        <v>43</v>
      </c>
    </row>
    <row r="640" customFormat="false" ht="15" hidden="false" customHeight="false" outlineLevel="0" collapsed="false">
      <c r="A640" s="0" t="s">
        <v>691</v>
      </c>
      <c r="B640" s="6" t="n">
        <v>40713</v>
      </c>
      <c r="C640" s="0" t="n">
        <v>17299</v>
      </c>
      <c r="D640" s="0" t="s">
        <v>42</v>
      </c>
      <c r="E640" s="0" t="n">
        <v>18</v>
      </c>
      <c r="F640" s="0" t="n">
        <v>151.63</v>
      </c>
      <c r="G640" s="0" t="s">
        <v>43</v>
      </c>
    </row>
    <row r="641" customFormat="false" ht="15" hidden="false" customHeight="false" outlineLevel="0" collapsed="false">
      <c r="A641" s="0" t="s">
        <v>692</v>
      </c>
      <c r="B641" s="6" t="n">
        <v>40714</v>
      </c>
      <c r="C641" s="0" t="n">
        <v>18223</v>
      </c>
      <c r="D641" s="0" t="s">
        <v>42</v>
      </c>
      <c r="E641" s="0" t="n">
        <v>16</v>
      </c>
      <c r="F641" s="0" t="n">
        <v>342.11</v>
      </c>
      <c r="G641" s="0" t="s">
        <v>43</v>
      </c>
    </row>
    <row r="642" customFormat="false" ht="15" hidden="false" customHeight="false" outlineLevel="0" collapsed="false">
      <c r="A642" s="0" t="s">
        <v>693</v>
      </c>
      <c r="B642" s="6" t="n">
        <v>40714</v>
      </c>
      <c r="C642" s="0" t="n">
        <v>18223</v>
      </c>
      <c r="D642" s="0" t="s">
        <v>42</v>
      </c>
      <c r="E642" s="0" t="n">
        <v>1</v>
      </c>
      <c r="F642" s="0" t="n">
        <v>33.75</v>
      </c>
      <c r="G642" s="0" t="s">
        <v>43</v>
      </c>
    </row>
    <row r="643" customFormat="false" ht="15" hidden="false" customHeight="false" outlineLevel="0" collapsed="false">
      <c r="A643" s="0" t="s">
        <v>694</v>
      </c>
      <c r="B643" s="6" t="n">
        <v>40715</v>
      </c>
      <c r="C643" s="0" t="n">
        <v>14543</v>
      </c>
      <c r="D643" s="0" t="s">
        <v>42</v>
      </c>
      <c r="E643" s="0" t="n">
        <v>8</v>
      </c>
      <c r="F643" s="0" t="n">
        <v>327.45</v>
      </c>
      <c r="G643" s="0" t="s">
        <v>43</v>
      </c>
    </row>
    <row r="644" customFormat="false" ht="15" hidden="false" customHeight="false" outlineLevel="0" collapsed="false">
      <c r="A644" s="0" t="s">
        <v>695</v>
      </c>
      <c r="B644" s="6" t="n">
        <v>40715</v>
      </c>
      <c r="C644" s="0" t="n">
        <v>14243</v>
      </c>
      <c r="D644" s="0" t="s">
        <v>42</v>
      </c>
      <c r="E644" s="0" t="n">
        <v>3</v>
      </c>
      <c r="F644" s="0" t="n">
        <v>-16.14</v>
      </c>
      <c r="G644" s="0" t="s">
        <v>65</v>
      </c>
    </row>
    <row r="645" customFormat="false" ht="15" hidden="false" customHeight="false" outlineLevel="0" collapsed="false">
      <c r="A645" s="0" t="s">
        <v>696</v>
      </c>
      <c r="B645" s="6" t="n">
        <v>40717</v>
      </c>
      <c r="C645" s="0" t="n">
        <v>18223</v>
      </c>
      <c r="D645" s="0" t="s">
        <v>42</v>
      </c>
      <c r="E645" s="0" t="n">
        <v>2</v>
      </c>
      <c r="F645" s="0" t="n">
        <v>-14.85</v>
      </c>
      <c r="G645" s="0" t="s">
        <v>65</v>
      </c>
    </row>
    <row r="646" customFormat="false" ht="15" hidden="false" customHeight="false" outlineLevel="0" collapsed="false">
      <c r="A646" s="0" t="s">
        <v>697</v>
      </c>
      <c r="B646" s="6" t="n">
        <v>40717</v>
      </c>
      <c r="C646" s="0" t="n">
        <v>18223</v>
      </c>
      <c r="D646" s="0" t="s">
        <v>42</v>
      </c>
      <c r="E646" s="0" t="n">
        <v>1</v>
      </c>
      <c r="F646" s="0" t="n">
        <v>-2.08</v>
      </c>
      <c r="G646" s="0" t="s">
        <v>65</v>
      </c>
    </row>
    <row r="647" customFormat="false" ht="15" hidden="false" customHeight="false" outlineLevel="0" collapsed="false">
      <c r="A647" s="0" t="s">
        <v>698</v>
      </c>
      <c r="B647" s="6" t="n">
        <v>40721</v>
      </c>
      <c r="C647" s="0" t="n">
        <v>15482</v>
      </c>
      <c r="D647" s="0" t="s">
        <v>42</v>
      </c>
      <c r="E647" s="0" t="n">
        <v>8</v>
      </c>
      <c r="F647" s="0" t="n">
        <v>666.06</v>
      </c>
      <c r="G647" s="0" t="s">
        <v>43</v>
      </c>
    </row>
    <row r="648" customFormat="false" ht="15" hidden="false" customHeight="false" outlineLevel="0" collapsed="false">
      <c r="A648" s="0" t="s">
        <v>699</v>
      </c>
      <c r="B648" s="6" t="n">
        <v>40723</v>
      </c>
      <c r="C648" s="0" t="n">
        <v>16059</v>
      </c>
      <c r="D648" s="0" t="s">
        <v>42</v>
      </c>
      <c r="E648" s="0" t="n">
        <v>37</v>
      </c>
      <c r="F648" s="0" t="n">
        <v>303.6</v>
      </c>
      <c r="G648" s="0" t="s">
        <v>43</v>
      </c>
    </row>
    <row r="649" customFormat="false" ht="15" hidden="false" customHeight="false" outlineLevel="0" collapsed="false">
      <c r="A649" s="0" t="s">
        <v>700</v>
      </c>
      <c r="B649" s="6" t="n">
        <v>40724</v>
      </c>
      <c r="C649" s="0" t="n">
        <v>17949</v>
      </c>
      <c r="D649" s="0" t="s">
        <v>42</v>
      </c>
      <c r="E649" s="0" t="n">
        <v>3</v>
      </c>
      <c r="F649" s="0" t="n">
        <v>2231.3</v>
      </c>
      <c r="G649" s="0" t="s">
        <v>43</v>
      </c>
    </row>
    <row r="650" customFormat="false" ht="15" hidden="false" customHeight="false" outlineLevel="0" collapsed="false">
      <c r="A650" s="0" t="s">
        <v>701</v>
      </c>
      <c r="B650" s="6" t="n">
        <v>40724</v>
      </c>
      <c r="C650" s="0" t="n">
        <v>17949</v>
      </c>
      <c r="D650" s="0" t="s">
        <v>42</v>
      </c>
      <c r="E650" s="0" t="n">
        <v>9</v>
      </c>
      <c r="F650" s="0" t="n">
        <v>13355.4</v>
      </c>
      <c r="G650" s="0" t="s">
        <v>43</v>
      </c>
    </row>
    <row r="651" customFormat="false" ht="15" hidden="false" customHeight="false" outlineLevel="0" collapsed="false">
      <c r="A651" s="0" t="s">
        <v>702</v>
      </c>
      <c r="B651" s="6" t="n">
        <v>40724</v>
      </c>
      <c r="C651" s="0" t="n">
        <v>17949</v>
      </c>
      <c r="D651" s="0" t="s">
        <v>42</v>
      </c>
      <c r="E651" s="0" t="n">
        <v>1</v>
      </c>
      <c r="F651" s="0" t="n">
        <v>812</v>
      </c>
      <c r="G651" s="0" t="s">
        <v>43</v>
      </c>
    </row>
    <row r="652" customFormat="false" ht="15" hidden="false" customHeight="false" outlineLevel="0" collapsed="false">
      <c r="A652" s="0" t="s">
        <v>703</v>
      </c>
      <c r="B652" s="6" t="n">
        <v>40724</v>
      </c>
      <c r="C652" s="0" t="n">
        <v>17949</v>
      </c>
      <c r="D652" s="0" t="s">
        <v>42</v>
      </c>
      <c r="E652" s="0" t="n">
        <v>1</v>
      </c>
      <c r="F652" s="0" t="n">
        <v>23.2</v>
      </c>
      <c r="G652" s="0" t="s">
        <v>43</v>
      </c>
    </row>
    <row r="653" customFormat="false" ht="15" hidden="false" customHeight="false" outlineLevel="0" collapsed="false">
      <c r="A653" s="0" t="s">
        <v>704</v>
      </c>
      <c r="B653" s="6" t="n">
        <v>40724</v>
      </c>
      <c r="C653" s="0" t="n">
        <v>17949</v>
      </c>
      <c r="D653" s="0" t="s">
        <v>42</v>
      </c>
      <c r="E653" s="0" t="n">
        <v>1</v>
      </c>
      <c r="F653" s="0" t="n">
        <v>-835.2</v>
      </c>
      <c r="G653" s="0" t="s">
        <v>65</v>
      </c>
    </row>
    <row r="654" customFormat="false" ht="15" hidden="false" customHeight="false" outlineLevel="0" collapsed="false">
      <c r="A654" s="0" t="s">
        <v>705</v>
      </c>
      <c r="B654" s="6" t="n">
        <v>40724</v>
      </c>
      <c r="C654" s="0" t="n">
        <v>17949</v>
      </c>
      <c r="D654" s="0" t="s">
        <v>42</v>
      </c>
      <c r="E654" s="0" t="n">
        <v>1</v>
      </c>
      <c r="F654" s="0" t="n">
        <v>2390.4</v>
      </c>
      <c r="G654" s="0" t="s">
        <v>43</v>
      </c>
    </row>
    <row r="655" customFormat="false" ht="15" hidden="false" customHeight="false" outlineLevel="0" collapsed="false">
      <c r="A655" s="0" t="s">
        <v>706</v>
      </c>
      <c r="B655" s="6" t="n">
        <v>40724</v>
      </c>
      <c r="C655" s="0" t="n">
        <v>17949</v>
      </c>
      <c r="D655" s="0" t="s">
        <v>42</v>
      </c>
      <c r="E655" s="0" t="n">
        <v>2</v>
      </c>
      <c r="F655" s="0" t="n">
        <v>877.68</v>
      </c>
      <c r="G655" s="0" t="s">
        <v>43</v>
      </c>
    </row>
    <row r="656" customFormat="false" ht="15" hidden="false" customHeight="false" outlineLevel="0" collapsed="false">
      <c r="A656" s="0" t="s">
        <v>707</v>
      </c>
      <c r="B656" s="6" t="n">
        <v>40725</v>
      </c>
      <c r="C656" s="0" t="n">
        <v>16589</v>
      </c>
      <c r="D656" s="0" t="s">
        <v>42</v>
      </c>
      <c r="E656" s="0" t="n">
        <v>9</v>
      </c>
      <c r="F656" s="0" t="n">
        <v>117.68</v>
      </c>
      <c r="G656" s="0" t="s">
        <v>43</v>
      </c>
    </row>
    <row r="657" customFormat="false" ht="15" hidden="false" customHeight="false" outlineLevel="0" collapsed="false">
      <c r="A657" s="0" t="s">
        <v>708</v>
      </c>
      <c r="B657" s="6" t="n">
        <v>40725</v>
      </c>
      <c r="C657" s="0" t="n">
        <v>13285</v>
      </c>
      <c r="D657" s="0" t="s">
        <v>42</v>
      </c>
      <c r="E657" s="0" t="n">
        <v>55</v>
      </c>
      <c r="F657" s="0" t="n">
        <v>796.83</v>
      </c>
      <c r="G657" s="0" t="s">
        <v>43</v>
      </c>
    </row>
    <row r="658" customFormat="false" ht="15" hidden="false" customHeight="false" outlineLevel="0" collapsed="false">
      <c r="A658" s="0" t="s">
        <v>709</v>
      </c>
      <c r="B658" s="6" t="n">
        <v>40727</v>
      </c>
      <c r="C658" s="0" t="n">
        <v>17781</v>
      </c>
      <c r="D658" s="0" t="s">
        <v>42</v>
      </c>
      <c r="E658" s="0" t="n">
        <v>10</v>
      </c>
      <c r="F658" s="0" t="n">
        <v>86.02</v>
      </c>
      <c r="G658" s="0" t="s">
        <v>43</v>
      </c>
    </row>
    <row r="659" customFormat="false" ht="15" hidden="false" customHeight="false" outlineLevel="0" collapsed="false">
      <c r="A659" s="0" t="s">
        <v>710</v>
      </c>
      <c r="B659" s="6" t="n">
        <v>40728</v>
      </c>
      <c r="C659" s="0" t="n">
        <v>17581</v>
      </c>
      <c r="D659" s="0" t="s">
        <v>42</v>
      </c>
      <c r="E659" s="0" t="n">
        <v>18</v>
      </c>
      <c r="F659" s="0" t="n">
        <v>298.74</v>
      </c>
      <c r="G659" s="0" t="s">
        <v>43</v>
      </c>
    </row>
    <row r="660" customFormat="false" ht="15" hidden="false" customHeight="false" outlineLevel="0" collapsed="false">
      <c r="A660" s="0" t="s">
        <v>711</v>
      </c>
      <c r="B660" s="6" t="n">
        <v>40728</v>
      </c>
      <c r="C660" s="0" t="n">
        <v>17581</v>
      </c>
      <c r="D660" s="0" t="s">
        <v>42</v>
      </c>
      <c r="E660" s="0" t="n">
        <v>5</v>
      </c>
      <c r="F660" s="0" t="n">
        <v>62.6</v>
      </c>
      <c r="G660" s="0" t="s">
        <v>43</v>
      </c>
    </row>
    <row r="661" customFormat="false" ht="15" hidden="false" customHeight="false" outlineLevel="0" collapsed="false">
      <c r="A661" s="0" t="s">
        <v>712</v>
      </c>
      <c r="B661" s="6" t="n">
        <v>40729</v>
      </c>
      <c r="C661" s="0" t="n">
        <v>13085</v>
      </c>
      <c r="D661" s="0" t="s">
        <v>42</v>
      </c>
      <c r="E661" s="0" t="n">
        <v>9</v>
      </c>
      <c r="F661" s="0" t="n">
        <v>137.98</v>
      </c>
      <c r="G661" s="0" t="s">
        <v>43</v>
      </c>
    </row>
    <row r="662" customFormat="false" ht="15" hidden="false" customHeight="false" outlineLevel="0" collapsed="false">
      <c r="A662" s="0" t="s">
        <v>713</v>
      </c>
      <c r="B662" s="6" t="n">
        <v>40730</v>
      </c>
      <c r="C662" s="0" t="n">
        <v>14645</v>
      </c>
      <c r="D662" s="0" t="s">
        <v>42</v>
      </c>
      <c r="E662" s="0" t="n">
        <v>21</v>
      </c>
      <c r="F662" s="0" t="n">
        <v>356.99</v>
      </c>
      <c r="G662" s="0" t="s">
        <v>43</v>
      </c>
    </row>
    <row r="663" customFormat="false" ht="15" hidden="false" customHeight="false" outlineLevel="0" collapsed="false">
      <c r="A663" s="0" t="s">
        <v>714</v>
      </c>
      <c r="B663" s="6" t="n">
        <v>40731</v>
      </c>
      <c r="C663" s="0" t="n">
        <v>16929</v>
      </c>
      <c r="D663" s="0" t="s">
        <v>42</v>
      </c>
      <c r="E663" s="0" t="n">
        <v>15</v>
      </c>
      <c r="F663" s="0" t="n">
        <v>229.14</v>
      </c>
      <c r="G663" s="0" t="s">
        <v>43</v>
      </c>
    </row>
    <row r="664" customFormat="false" ht="15" hidden="false" customHeight="false" outlineLevel="0" collapsed="false">
      <c r="A664" s="0" t="s">
        <v>715</v>
      </c>
      <c r="B664" s="6" t="n">
        <v>40731</v>
      </c>
      <c r="C664" s="0" t="n">
        <v>15241</v>
      </c>
      <c r="D664" s="0" t="s">
        <v>42</v>
      </c>
      <c r="E664" s="0" t="n">
        <v>12</v>
      </c>
      <c r="F664" s="0" t="n">
        <v>205.1</v>
      </c>
      <c r="G664" s="0" t="s">
        <v>43</v>
      </c>
    </row>
    <row r="665" customFormat="false" ht="15" hidden="false" customHeight="false" outlineLevel="0" collapsed="false">
      <c r="A665" s="0" t="s">
        <v>716</v>
      </c>
      <c r="B665" s="6" t="n">
        <v>40734</v>
      </c>
      <c r="C665" s="0" t="n">
        <v>17126</v>
      </c>
      <c r="D665" s="0" t="s">
        <v>42</v>
      </c>
      <c r="E665" s="0" t="n">
        <v>1</v>
      </c>
      <c r="F665" s="0" t="n">
        <v>-2.95</v>
      </c>
      <c r="G665" s="0" t="s">
        <v>65</v>
      </c>
    </row>
    <row r="666" customFormat="false" ht="15" hidden="false" customHeight="false" outlineLevel="0" collapsed="false">
      <c r="A666" s="0" t="s">
        <v>717</v>
      </c>
      <c r="B666" s="6" t="n">
        <v>40734</v>
      </c>
      <c r="C666" s="0" t="n">
        <v>17126</v>
      </c>
      <c r="D666" s="0" t="s">
        <v>42</v>
      </c>
      <c r="E666" s="0" t="n">
        <v>80</v>
      </c>
      <c r="F666" s="0" t="n">
        <v>412.62</v>
      </c>
      <c r="G666" s="0" t="s">
        <v>43</v>
      </c>
    </row>
    <row r="667" customFormat="false" ht="15" hidden="false" customHeight="false" outlineLevel="0" collapsed="false">
      <c r="A667" s="0" t="s">
        <v>718</v>
      </c>
      <c r="B667" s="6" t="n">
        <v>40734</v>
      </c>
      <c r="C667" s="0" t="n">
        <v>17126</v>
      </c>
      <c r="D667" s="0" t="s">
        <v>42</v>
      </c>
      <c r="E667" s="0" t="n">
        <v>26</v>
      </c>
      <c r="F667" s="0" t="n">
        <v>38.98</v>
      </c>
      <c r="G667" s="0" t="s">
        <v>43</v>
      </c>
    </row>
    <row r="668" customFormat="false" ht="15" hidden="false" customHeight="false" outlineLevel="0" collapsed="false">
      <c r="A668" s="0" t="s">
        <v>719</v>
      </c>
      <c r="B668" s="6" t="n">
        <v>40734</v>
      </c>
      <c r="C668" s="0" t="n">
        <v>17126</v>
      </c>
      <c r="D668" s="0" t="s">
        <v>42</v>
      </c>
      <c r="E668" s="0" t="n">
        <v>30</v>
      </c>
      <c r="F668" s="0" t="n">
        <v>37.88</v>
      </c>
      <c r="G668" s="0" t="s">
        <v>43</v>
      </c>
    </row>
    <row r="669" customFormat="false" ht="15" hidden="false" customHeight="false" outlineLevel="0" collapsed="false">
      <c r="A669" s="0" t="s">
        <v>720</v>
      </c>
      <c r="B669" s="6" t="n">
        <v>40736</v>
      </c>
      <c r="C669" s="0" t="n">
        <v>17949</v>
      </c>
      <c r="D669" s="0" t="s">
        <v>42</v>
      </c>
      <c r="E669" s="0" t="n">
        <v>1</v>
      </c>
      <c r="F669" s="0" t="n">
        <v>24.38</v>
      </c>
      <c r="G669" s="0" t="s">
        <v>43</v>
      </c>
    </row>
    <row r="670" customFormat="false" ht="15" hidden="false" customHeight="false" outlineLevel="0" collapsed="false">
      <c r="A670" s="0" t="s">
        <v>721</v>
      </c>
      <c r="B670" s="6" t="n">
        <v>40737</v>
      </c>
      <c r="C670" s="0" t="n">
        <v>15895</v>
      </c>
      <c r="D670" s="0" t="s">
        <v>42</v>
      </c>
      <c r="E670" s="0" t="n">
        <v>11</v>
      </c>
      <c r="F670" s="0" t="n">
        <v>179.17</v>
      </c>
      <c r="G670" s="0" t="s">
        <v>43</v>
      </c>
    </row>
    <row r="671" customFormat="false" ht="15" hidden="false" customHeight="false" outlineLevel="0" collapsed="false">
      <c r="A671" s="0" t="s">
        <v>722</v>
      </c>
      <c r="B671" s="6" t="n">
        <v>40737</v>
      </c>
      <c r="C671" s="0" t="n">
        <v>14201</v>
      </c>
      <c r="D671" s="0" t="s">
        <v>42</v>
      </c>
      <c r="E671" s="0" t="n">
        <v>4</v>
      </c>
      <c r="F671" s="0" t="n">
        <v>110.14</v>
      </c>
      <c r="G671" s="0" t="s">
        <v>43</v>
      </c>
    </row>
    <row r="672" customFormat="false" ht="15" hidden="false" customHeight="false" outlineLevel="0" collapsed="false">
      <c r="A672" s="0" t="s">
        <v>723</v>
      </c>
      <c r="B672" s="6" t="n">
        <v>40738</v>
      </c>
      <c r="C672" s="0" t="n">
        <v>16907</v>
      </c>
      <c r="D672" s="0" t="s">
        <v>42</v>
      </c>
      <c r="E672" s="0" t="n">
        <v>20</v>
      </c>
      <c r="F672" s="0" t="n">
        <v>127.88</v>
      </c>
      <c r="G672" s="0" t="s">
        <v>43</v>
      </c>
    </row>
    <row r="673" customFormat="false" ht="15" hidden="false" customHeight="false" outlineLevel="0" collapsed="false">
      <c r="A673" s="0" t="s">
        <v>724</v>
      </c>
      <c r="B673" s="6" t="n">
        <v>40743</v>
      </c>
      <c r="C673" s="0" t="n">
        <v>18101</v>
      </c>
      <c r="D673" s="0" t="s">
        <v>42</v>
      </c>
      <c r="E673" s="0" t="n">
        <v>13</v>
      </c>
      <c r="F673" s="0" t="n">
        <v>110.23</v>
      </c>
      <c r="G673" s="0" t="s">
        <v>43</v>
      </c>
    </row>
    <row r="674" customFormat="false" ht="15" hidden="false" customHeight="false" outlineLevel="0" collapsed="false">
      <c r="A674" s="0" t="s">
        <v>725</v>
      </c>
      <c r="B674" s="6" t="n">
        <v>40743</v>
      </c>
      <c r="C674" s="0" t="n">
        <v>18223</v>
      </c>
      <c r="D674" s="0" t="s">
        <v>42</v>
      </c>
      <c r="E674" s="0" t="n">
        <v>14</v>
      </c>
      <c r="F674" s="0" t="n">
        <v>471.27</v>
      </c>
      <c r="G674" s="0" t="s">
        <v>43</v>
      </c>
    </row>
    <row r="675" customFormat="false" ht="15" hidden="false" customHeight="false" outlineLevel="0" collapsed="false">
      <c r="A675" s="0" t="s">
        <v>726</v>
      </c>
      <c r="B675" s="6" t="n">
        <v>40743</v>
      </c>
      <c r="C675" s="0" t="n">
        <v>12875</v>
      </c>
      <c r="D675" s="0" t="s">
        <v>42</v>
      </c>
      <c r="E675" s="0" t="n">
        <v>1</v>
      </c>
      <c r="F675" s="0" t="n">
        <v>49.47</v>
      </c>
      <c r="G675" s="0" t="s">
        <v>43</v>
      </c>
    </row>
    <row r="676" customFormat="false" ht="15" hidden="false" customHeight="false" outlineLevel="0" collapsed="false">
      <c r="A676" s="0" t="s">
        <v>727</v>
      </c>
      <c r="B676" s="6" t="n">
        <v>40744</v>
      </c>
      <c r="C676" s="0" t="n">
        <v>17581</v>
      </c>
      <c r="D676" s="0" t="s">
        <v>42</v>
      </c>
      <c r="E676" s="0" t="n">
        <v>3</v>
      </c>
      <c r="F676" s="0" t="n">
        <v>-13.38</v>
      </c>
      <c r="G676" s="0" t="s">
        <v>65</v>
      </c>
    </row>
    <row r="677" customFormat="false" ht="15" hidden="false" customHeight="false" outlineLevel="0" collapsed="false">
      <c r="A677" s="0" t="s">
        <v>728</v>
      </c>
      <c r="B677" s="6" t="n">
        <v>40745</v>
      </c>
      <c r="C677" s="0" t="n">
        <v>17949</v>
      </c>
      <c r="D677" s="0" t="s">
        <v>42</v>
      </c>
      <c r="E677" s="0" t="n">
        <v>1</v>
      </c>
      <c r="F677" s="0" t="n">
        <v>833.85</v>
      </c>
      <c r="G677" s="0" t="s">
        <v>43</v>
      </c>
    </row>
    <row r="678" customFormat="false" ht="15" hidden="false" customHeight="false" outlineLevel="0" collapsed="false">
      <c r="A678" s="0" t="s">
        <v>729</v>
      </c>
      <c r="B678" s="6" t="n">
        <v>40745</v>
      </c>
      <c r="C678" s="0" t="n">
        <v>15370</v>
      </c>
      <c r="D678" s="0" t="s">
        <v>42</v>
      </c>
      <c r="E678" s="0" t="n">
        <v>17</v>
      </c>
      <c r="F678" s="0" t="n">
        <v>385.52</v>
      </c>
      <c r="G678" s="0" t="s">
        <v>43</v>
      </c>
    </row>
    <row r="679" customFormat="false" ht="15" hidden="false" customHeight="false" outlineLevel="0" collapsed="false">
      <c r="A679" s="0" t="s">
        <v>730</v>
      </c>
      <c r="B679" s="6" t="n">
        <v>40746</v>
      </c>
      <c r="C679" s="0" t="n">
        <v>15815</v>
      </c>
      <c r="D679" s="0" t="s">
        <v>42</v>
      </c>
      <c r="E679" s="0" t="n">
        <v>21</v>
      </c>
      <c r="F679" s="0" t="n">
        <v>480.62</v>
      </c>
      <c r="G679" s="0" t="s">
        <v>43</v>
      </c>
    </row>
    <row r="680" customFormat="false" ht="15" hidden="false" customHeight="false" outlineLevel="0" collapsed="false">
      <c r="A680" s="0" t="s">
        <v>731</v>
      </c>
      <c r="B680" s="6" t="n">
        <v>40746</v>
      </c>
      <c r="C680" s="0" t="n">
        <v>14243</v>
      </c>
      <c r="D680" s="0" t="s">
        <v>42</v>
      </c>
      <c r="E680" s="0" t="n">
        <v>14</v>
      </c>
      <c r="F680" s="0" t="n">
        <v>214.62</v>
      </c>
      <c r="G680" s="0" t="s">
        <v>43</v>
      </c>
    </row>
    <row r="681" customFormat="false" ht="15" hidden="false" customHeight="false" outlineLevel="0" collapsed="false">
      <c r="A681" s="0" t="s">
        <v>732</v>
      </c>
      <c r="B681" s="6" t="n">
        <v>40750</v>
      </c>
      <c r="C681" s="0" t="n">
        <v>15203</v>
      </c>
      <c r="D681" s="0" t="s">
        <v>42</v>
      </c>
      <c r="E681" s="0" t="n">
        <v>26</v>
      </c>
      <c r="F681" s="0" t="n">
        <v>301.98</v>
      </c>
      <c r="G681" s="0" t="s">
        <v>43</v>
      </c>
    </row>
    <row r="682" customFormat="false" ht="15" hidden="false" customHeight="false" outlineLevel="0" collapsed="false">
      <c r="A682" s="0" t="s">
        <v>733</v>
      </c>
      <c r="B682" s="6" t="n">
        <v>40751</v>
      </c>
      <c r="C682" s="0" t="n">
        <v>16628</v>
      </c>
      <c r="D682" s="0" t="s">
        <v>42</v>
      </c>
      <c r="E682" s="0" t="n">
        <v>26</v>
      </c>
      <c r="F682" s="0" t="n">
        <v>410.63</v>
      </c>
      <c r="G682" s="0" t="s">
        <v>43</v>
      </c>
    </row>
    <row r="683" customFormat="false" ht="15" hidden="false" customHeight="false" outlineLevel="0" collapsed="false">
      <c r="A683" s="0" t="s">
        <v>734</v>
      </c>
      <c r="B683" s="6" t="n">
        <v>40751</v>
      </c>
      <c r="C683" s="0" t="n">
        <v>12397</v>
      </c>
      <c r="D683" s="0" t="s">
        <v>735</v>
      </c>
      <c r="E683" s="0" t="n">
        <v>70</v>
      </c>
      <c r="F683" s="0" t="n">
        <v>1214.81</v>
      </c>
      <c r="G683" s="0" t="s">
        <v>43</v>
      </c>
    </row>
    <row r="684" customFormat="false" ht="15" hidden="false" customHeight="false" outlineLevel="0" collapsed="false">
      <c r="A684" s="0" t="s">
        <v>736</v>
      </c>
      <c r="B684" s="6" t="n">
        <v>40752</v>
      </c>
      <c r="C684" s="0" t="n">
        <v>14243</v>
      </c>
      <c r="D684" s="0" t="s">
        <v>42</v>
      </c>
      <c r="E684" s="0" t="n">
        <v>1</v>
      </c>
      <c r="F684" s="0" t="n">
        <v>-11.5</v>
      </c>
      <c r="G684" s="0" t="s">
        <v>65</v>
      </c>
    </row>
    <row r="685" customFormat="false" ht="15" hidden="false" customHeight="false" outlineLevel="0" collapsed="false">
      <c r="A685" s="0" t="s">
        <v>737</v>
      </c>
      <c r="B685" s="6" t="n">
        <v>40752</v>
      </c>
      <c r="C685" s="0" t="n">
        <v>18223</v>
      </c>
      <c r="D685" s="0" t="s">
        <v>42</v>
      </c>
      <c r="E685" s="0" t="n">
        <v>1</v>
      </c>
      <c r="F685" s="0" t="n">
        <v>-14.85</v>
      </c>
      <c r="G685" s="0" t="s">
        <v>65</v>
      </c>
    </row>
    <row r="686" customFormat="false" ht="15" hidden="false" customHeight="false" outlineLevel="0" collapsed="false">
      <c r="A686" s="0" t="s">
        <v>738</v>
      </c>
      <c r="B686" s="6" t="n">
        <v>40752</v>
      </c>
      <c r="C686" s="0" t="n">
        <v>17949</v>
      </c>
      <c r="D686" s="0" t="s">
        <v>42</v>
      </c>
      <c r="E686" s="0" t="n">
        <v>8</v>
      </c>
      <c r="F686" s="0" t="n">
        <v>10303.95</v>
      </c>
      <c r="G686" s="0" t="s">
        <v>43</v>
      </c>
    </row>
    <row r="687" customFormat="false" ht="15" hidden="false" customHeight="false" outlineLevel="0" collapsed="false">
      <c r="A687" s="0" t="s">
        <v>739</v>
      </c>
      <c r="B687" s="6" t="n">
        <v>40752</v>
      </c>
      <c r="C687" s="0" t="n">
        <v>17949</v>
      </c>
      <c r="D687" s="0" t="s">
        <v>42</v>
      </c>
      <c r="E687" s="0" t="n">
        <v>1</v>
      </c>
      <c r="F687" s="0" t="n">
        <v>428.4</v>
      </c>
      <c r="G687" s="0" t="s">
        <v>43</v>
      </c>
    </row>
    <row r="688" customFormat="false" ht="15" hidden="false" customHeight="false" outlineLevel="0" collapsed="false">
      <c r="A688" s="0" t="s">
        <v>740</v>
      </c>
      <c r="B688" s="6" t="n">
        <v>40752</v>
      </c>
      <c r="C688" s="0" t="n">
        <v>15370</v>
      </c>
      <c r="D688" s="0" t="s">
        <v>42</v>
      </c>
      <c r="E688" s="0" t="n">
        <v>1</v>
      </c>
      <c r="F688" s="0" t="n">
        <v>-25.5</v>
      </c>
      <c r="G688" s="0" t="s">
        <v>65</v>
      </c>
    </row>
    <row r="689" customFormat="false" ht="15" hidden="false" customHeight="false" outlineLevel="0" collapsed="false">
      <c r="A689" s="0" t="s">
        <v>741</v>
      </c>
      <c r="B689" s="6" t="n">
        <v>40753</v>
      </c>
      <c r="C689" s="0" t="n">
        <v>15942</v>
      </c>
      <c r="D689" s="0" t="s">
        <v>42</v>
      </c>
      <c r="E689" s="0" t="n">
        <v>14</v>
      </c>
      <c r="F689" s="0" t="n">
        <v>337.44</v>
      </c>
      <c r="G689" s="0" t="s">
        <v>43</v>
      </c>
    </row>
    <row r="690" customFormat="false" ht="15" hidden="false" customHeight="false" outlineLevel="0" collapsed="false">
      <c r="A690" s="0" t="s">
        <v>742</v>
      </c>
      <c r="B690" s="6" t="n">
        <v>40753</v>
      </c>
      <c r="C690" s="0" t="n">
        <v>13575</v>
      </c>
      <c r="D690" s="0" t="s">
        <v>42</v>
      </c>
      <c r="E690" s="0" t="n">
        <v>8</v>
      </c>
      <c r="F690" s="0" t="n">
        <v>130.2</v>
      </c>
      <c r="G690" s="0" t="s">
        <v>43</v>
      </c>
    </row>
    <row r="691" customFormat="false" ht="15" hidden="false" customHeight="false" outlineLevel="0" collapsed="false">
      <c r="A691" s="0" t="s">
        <v>743</v>
      </c>
      <c r="B691" s="6" t="n">
        <v>40757</v>
      </c>
      <c r="C691" s="0" t="n">
        <v>16628</v>
      </c>
      <c r="D691" s="0" t="s">
        <v>42</v>
      </c>
      <c r="E691" s="0" t="n">
        <v>2</v>
      </c>
      <c r="F691" s="0" t="n">
        <v>-5.01</v>
      </c>
      <c r="G691" s="0" t="s">
        <v>65</v>
      </c>
    </row>
    <row r="692" customFormat="false" ht="15" hidden="false" customHeight="false" outlineLevel="0" collapsed="false">
      <c r="A692" s="0" t="s">
        <v>744</v>
      </c>
      <c r="B692" s="6" t="n">
        <v>40759</v>
      </c>
      <c r="C692" s="0" t="n">
        <v>16929</v>
      </c>
      <c r="D692" s="0" t="s">
        <v>42</v>
      </c>
      <c r="E692" s="0" t="n">
        <v>13</v>
      </c>
      <c r="F692" s="0" t="n">
        <v>199.74</v>
      </c>
      <c r="G692" s="0" t="s">
        <v>43</v>
      </c>
    </row>
    <row r="693" customFormat="false" ht="15" hidden="false" customHeight="false" outlineLevel="0" collapsed="false">
      <c r="A693" s="0" t="s">
        <v>745</v>
      </c>
      <c r="B693" s="6" t="n">
        <v>40759</v>
      </c>
      <c r="C693" s="0" t="n">
        <v>15241</v>
      </c>
      <c r="D693" s="0" t="s">
        <v>42</v>
      </c>
      <c r="E693" s="0" t="n">
        <v>9</v>
      </c>
      <c r="F693" s="0" t="n">
        <v>74.4</v>
      </c>
      <c r="G693" s="0" t="s">
        <v>43</v>
      </c>
    </row>
    <row r="694" customFormat="false" ht="15" hidden="false" customHeight="false" outlineLevel="0" collapsed="false">
      <c r="A694" s="0" t="s">
        <v>746</v>
      </c>
      <c r="B694" s="6" t="n">
        <v>40759</v>
      </c>
      <c r="C694" s="0" t="n">
        <v>14543</v>
      </c>
      <c r="D694" s="0" t="s">
        <v>42</v>
      </c>
      <c r="E694" s="0" t="n">
        <v>4</v>
      </c>
      <c r="F694" s="0" t="n">
        <v>161.4</v>
      </c>
      <c r="G694" s="0" t="s">
        <v>43</v>
      </c>
    </row>
    <row r="695" customFormat="false" ht="15" hidden="false" customHeight="false" outlineLevel="0" collapsed="false">
      <c r="A695" s="0" t="s">
        <v>747</v>
      </c>
      <c r="B695" s="6" t="n">
        <v>40762</v>
      </c>
      <c r="C695" s="0" t="n">
        <v>16950</v>
      </c>
      <c r="D695" s="0" t="s">
        <v>42</v>
      </c>
      <c r="E695" s="0" t="n">
        <v>24</v>
      </c>
      <c r="F695" s="0" t="n">
        <v>606.41</v>
      </c>
      <c r="G695" s="0" t="s">
        <v>43</v>
      </c>
    </row>
    <row r="696" customFormat="false" ht="15" hidden="false" customHeight="false" outlineLevel="0" collapsed="false">
      <c r="A696" s="0" t="s">
        <v>748</v>
      </c>
      <c r="B696" s="6" t="n">
        <v>40765</v>
      </c>
      <c r="C696" s="0" t="n">
        <v>17949</v>
      </c>
      <c r="D696" s="0" t="s">
        <v>42</v>
      </c>
      <c r="E696" s="0" t="n">
        <v>1</v>
      </c>
      <c r="F696" s="0" t="n">
        <v>432</v>
      </c>
      <c r="G696" s="0" t="s">
        <v>43</v>
      </c>
    </row>
    <row r="697" customFormat="false" ht="15" hidden="false" customHeight="false" outlineLevel="0" collapsed="false">
      <c r="A697" s="0" t="s">
        <v>749</v>
      </c>
      <c r="B697" s="6" t="n">
        <v>40772</v>
      </c>
      <c r="C697" s="0" t="n">
        <v>17949</v>
      </c>
      <c r="D697" s="0" t="s">
        <v>42</v>
      </c>
      <c r="E697" s="0" t="n">
        <v>1</v>
      </c>
      <c r="F697" s="0" t="n">
        <v>-24.38</v>
      </c>
      <c r="G697" s="0" t="s">
        <v>65</v>
      </c>
    </row>
    <row r="698" customFormat="false" ht="15" hidden="false" customHeight="false" outlineLevel="0" collapsed="false">
      <c r="A698" s="0" t="s">
        <v>750</v>
      </c>
      <c r="B698" s="6" t="n">
        <v>40772</v>
      </c>
      <c r="C698" s="0" t="n">
        <v>17949</v>
      </c>
      <c r="D698" s="0" t="s">
        <v>42</v>
      </c>
      <c r="E698" s="0" t="n">
        <v>3</v>
      </c>
      <c r="F698" s="0" t="n">
        <v>2209.04</v>
      </c>
      <c r="G698" s="0" t="s">
        <v>43</v>
      </c>
    </row>
    <row r="699" customFormat="false" ht="15" hidden="false" customHeight="false" outlineLevel="0" collapsed="false">
      <c r="A699" s="0" t="s">
        <v>751</v>
      </c>
      <c r="B699" s="6" t="n">
        <v>40772</v>
      </c>
      <c r="C699" s="0" t="n">
        <v>17949</v>
      </c>
      <c r="D699" s="0" t="s">
        <v>42</v>
      </c>
      <c r="E699" s="0" t="n">
        <v>3</v>
      </c>
      <c r="F699" s="0" t="n">
        <v>-2231.3</v>
      </c>
      <c r="G699" s="0" t="s">
        <v>65</v>
      </c>
    </row>
    <row r="700" customFormat="false" ht="15" hidden="false" customHeight="false" outlineLevel="0" collapsed="false">
      <c r="A700" s="0" t="s">
        <v>752</v>
      </c>
      <c r="B700" s="6" t="n">
        <v>40773</v>
      </c>
      <c r="C700" s="0" t="n">
        <v>15472</v>
      </c>
      <c r="D700" s="0" t="s">
        <v>42</v>
      </c>
      <c r="E700" s="0" t="n">
        <v>76</v>
      </c>
      <c r="F700" s="0" t="n">
        <v>371.56</v>
      </c>
      <c r="G700" s="0" t="s">
        <v>43</v>
      </c>
    </row>
    <row r="701" customFormat="false" ht="15" hidden="false" customHeight="false" outlineLevel="0" collapsed="false">
      <c r="A701" s="0" t="s">
        <v>753</v>
      </c>
      <c r="B701" s="6" t="n">
        <v>40774</v>
      </c>
      <c r="C701" s="0" t="n">
        <v>16139</v>
      </c>
      <c r="D701" s="0" t="s">
        <v>42</v>
      </c>
      <c r="E701" s="0" t="n">
        <v>9</v>
      </c>
      <c r="F701" s="0" t="n">
        <v>166.57</v>
      </c>
      <c r="G701" s="0" t="s">
        <v>43</v>
      </c>
    </row>
    <row r="702" customFormat="false" ht="15" hidden="false" customHeight="false" outlineLevel="0" collapsed="false">
      <c r="A702" s="0" t="s">
        <v>754</v>
      </c>
      <c r="B702" s="6" t="n">
        <v>40777</v>
      </c>
      <c r="C702" s="0" t="n">
        <v>17581</v>
      </c>
      <c r="D702" s="0" t="s">
        <v>42</v>
      </c>
      <c r="E702" s="0" t="n">
        <v>58</v>
      </c>
      <c r="F702" s="0" t="n">
        <v>1351.22</v>
      </c>
      <c r="G702" s="0" t="s">
        <v>43</v>
      </c>
    </row>
    <row r="703" customFormat="false" ht="15" hidden="false" customHeight="false" outlineLevel="0" collapsed="false">
      <c r="A703" s="0" t="s">
        <v>755</v>
      </c>
      <c r="B703" s="6" t="n">
        <v>40777</v>
      </c>
      <c r="C703" s="0" t="n">
        <v>17581</v>
      </c>
      <c r="D703" s="0" t="s">
        <v>42</v>
      </c>
      <c r="E703" s="0" t="n">
        <v>4</v>
      </c>
      <c r="F703" s="0" t="n">
        <v>66.24</v>
      </c>
      <c r="G703" s="0" t="s">
        <v>43</v>
      </c>
    </row>
    <row r="704" customFormat="false" ht="15" hidden="false" customHeight="false" outlineLevel="0" collapsed="false">
      <c r="A704" s="0" t="s">
        <v>756</v>
      </c>
      <c r="B704" s="6" t="n">
        <v>40777</v>
      </c>
      <c r="C704" s="0" t="n">
        <v>17949</v>
      </c>
      <c r="D704" s="0" t="s">
        <v>42</v>
      </c>
      <c r="E704" s="0" t="n">
        <v>1</v>
      </c>
      <c r="F704" s="0" t="n">
        <v>-1642.5</v>
      </c>
      <c r="G704" s="0" t="s">
        <v>65</v>
      </c>
    </row>
    <row r="705" customFormat="false" ht="15" hidden="false" customHeight="false" outlineLevel="0" collapsed="false">
      <c r="A705" s="0" t="s">
        <v>757</v>
      </c>
      <c r="B705" s="6" t="n">
        <v>40778</v>
      </c>
      <c r="C705" s="0" t="n">
        <v>17041</v>
      </c>
      <c r="D705" s="0" t="s">
        <v>42</v>
      </c>
      <c r="E705" s="0" t="n">
        <v>29</v>
      </c>
      <c r="F705" s="0" t="n">
        <v>446.39</v>
      </c>
      <c r="G705" s="0" t="s">
        <v>43</v>
      </c>
    </row>
    <row r="706" customFormat="false" ht="15" hidden="false" customHeight="false" outlineLevel="0" collapsed="false">
      <c r="A706" s="0" t="s">
        <v>758</v>
      </c>
      <c r="B706" s="6" t="n">
        <v>40778</v>
      </c>
      <c r="C706" s="0" t="n">
        <v>14543</v>
      </c>
      <c r="D706" s="0" t="s">
        <v>42</v>
      </c>
      <c r="E706" s="0" t="n">
        <v>3</v>
      </c>
      <c r="F706" s="0" t="n">
        <v>300.9</v>
      </c>
      <c r="G706" s="0" t="s">
        <v>43</v>
      </c>
    </row>
    <row r="707" customFormat="false" ht="15" hidden="false" customHeight="false" outlineLevel="0" collapsed="false">
      <c r="A707" s="0" t="s">
        <v>759</v>
      </c>
      <c r="B707" s="6" t="n">
        <v>40780</v>
      </c>
      <c r="C707" s="0" t="n">
        <v>16589</v>
      </c>
      <c r="D707" s="0" t="s">
        <v>42</v>
      </c>
      <c r="E707" s="0" t="n">
        <v>6</v>
      </c>
      <c r="F707" s="0" t="n">
        <v>97</v>
      </c>
      <c r="G707" s="0" t="s">
        <v>43</v>
      </c>
    </row>
    <row r="708" customFormat="false" ht="15" hidden="false" customHeight="false" outlineLevel="0" collapsed="false">
      <c r="A708" s="0" t="s">
        <v>760</v>
      </c>
      <c r="B708" s="6" t="n">
        <v>40780</v>
      </c>
      <c r="C708" s="0" t="n">
        <v>16628</v>
      </c>
      <c r="D708" s="0" t="s">
        <v>42</v>
      </c>
      <c r="E708" s="0" t="n">
        <v>23</v>
      </c>
      <c r="F708" s="0" t="n">
        <v>496.3</v>
      </c>
      <c r="G708" s="0" t="s">
        <v>43</v>
      </c>
    </row>
    <row r="709" customFormat="false" ht="15" hidden="false" customHeight="false" outlineLevel="0" collapsed="false">
      <c r="A709" s="0" t="s">
        <v>761</v>
      </c>
      <c r="B709" s="6" t="n">
        <v>40781</v>
      </c>
      <c r="C709" s="0" t="n">
        <v>15203</v>
      </c>
      <c r="D709" s="0" t="s">
        <v>42</v>
      </c>
      <c r="E709" s="0" t="n">
        <v>23</v>
      </c>
      <c r="F709" s="0" t="n">
        <v>333.44</v>
      </c>
      <c r="G709" s="0" t="s">
        <v>43</v>
      </c>
    </row>
    <row r="710" customFormat="false" ht="15" hidden="false" customHeight="false" outlineLevel="0" collapsed="false">
      <c r="A710" s="0" t="s">
        <v>762</v>
      </c>
      <c r="B710" s="6" t="n">
        <v>40781</v>
      </c>
      <c r="C710" s="0" t="n">
        <v>17949</v>
      </c>
      <c r="D710" s="0" t="s">
        <v>42</v>
      </c>
      <c r="E710" s="0" t="n">
        <v>1</v>
      </c>
      <c r="F710" s="0" t="n">
        <v>432</v>
      </c>
      <c r="G710" s="0" t="s">
        <v>43</v>
      </c>
    </row>
    <row r="711" customFormat="false" ht="15" hidden="false" customHeight="false" outlineLevel="0" collapsed="false">
      <c r="A711" s="0" t="s">
        <v>763</v>
      </c>
      <c r="B711" s="6" t="n">
        <v>40786</v>
      </c>
      <c r="C711" s="0" t="n">
        <v>17949</v>
      </c>
      <c r="D711" s="0" t="s">
        <v>42</v>
      </c>
      <c r="E711" s="0" t="n">
        <v>1</v>
      </c>
      <c r="F711" s="0" t="n">
        <v>340</v>
      </c>
      <c r="G711" s="0" t="s">
        <v>43</v>
      </c>
    </row>
    <row r="712" customFormat="false" ht="15" hidden="false" customHeight="false" outlineLevel="0" collapsed="false">
      <c r="A712" s="0" t="s">
        <v>764</v>
      </c>
      <c r="B712" s="6" t="n">
        <v>40786</v>
      </c>
      <c r="C712" s="0" t="n">
        <v>17299</v>
      </c>
      <c r="D712" s="0" t="s">
        <v>42</v>
      </c>
      <c r="E712" s="0" t="n">
        <v>7</v>
      </c>
      <c r="F712" s="0" t="n">
        <v>116.56</v>
      </c>
      <c r="G712" s="0" t="s">
        <v>43</v>
      </c>
    </row>
    <row r="713" customFormat="false" ht="15" hidden="false" customHeight="false" outlineLevel="0" collapsed="false">
      <c r="A713" s="0" t="s">
        <v>765</v>
      </c>
      <c r="B713" s="6" t="n">
        <v>40786</v>
      </c>
      <c r="C713" s="0" t="n">
        <v>17581</v>
      </c>
      <c r="D713" s="0" t="s">
        <v>42</v>
      </c>
      <c r="E713" s="0" t="n">
        <v>1</v>
      </c>
      <c r="F713" s="0" t="n">
        <v>-41.6</v>
      </c>
      <c r="G713" s="0" t="s">
        <v>65</v>
      </c>
    </row>
    <row r="714" customFormat="false" ht="15" hidden="false" customHeight="false" outlineLevel="0" collapsed="false">
      <c r="A714" s="0" t="s">
        <v>766</v>
      </c>
      <c r="B714" s="6" t="n">
        <v>40787</v>
      </c>
      <c r="C714" s="0" t="n">
        <v>17949</v>
      </c>
      <c r="D714" s="0" t="s">
        <v>42</v>
      </c>
      <c r="E714" s="0" t="n">
        <v>1</v>
      </c>
      <c r="F714" s="0" t="n">
        <v>480</v>
      </c>
      <c r="G714" s="0" t="s">
        <v>43</v>
      </c>
    </row>
    <row r="715" customFormat="false" ht="15" hidden="false" customHeight="false" outlineLevel="0" collapsed="false">
      <c r="A715" s="0" t="s">
        <v>767</v>
      </c>
      <c r="B715" s="6" t="n">
        <v>40788</v>
      </c>
      <c r="C715" s="0" t="n">
        <v>17949</v>
      </c>
      <c r="D715" s="0" t="s">
        <v>42</v>
      </c>
      <c r="E715" s="0" t="n">
        <v>2</v>
      </c>
      <c r="F715" s="0" t="n">
        <v>1047.12</v>
      </c>
      <c r="G715" s="0" t="s">
        <v>43</v>
      </c>
    </row>
    <row r="716" customFormat="false" ht="15" hidden="false" customHeight="false" outlineLevel="0" collapsed="false">
      <c r="A716" s="0" t="s">
        <v>768</v>
      </c>
      <c r="B716" s="6" t="n">
        <v>40788</v>
      </c>
      <c r="C716" s="0" t="n">
        <v>17949</v>
      </c>
      <c r="D716" s="0" t="s">
        <v>42</v>
      </c>
      <c r="E716" s="0" t="n">
        <v>2</v>
      </c>
      <c r="F716" s="0" t="n">
        <v>822.24</v>
      </c>
      <c r="G716" s="0" t="s">
        <v>43</v>
      </c>
    </row>
    <row r="717" customFormat="false" ht="15" hidden="false" customHeight="false" outlineLevel="0" collapsed="false">
      <c r="A717" s="0" t="s">
        <v>769</v>
      </c>
      <c r="B717" s="6" t="n">
        <v>40790</v>
      </c>
      <c r="C717" s="0" t="n">
        <v>18223</v>
      </c>
      <c r="D717" s="0" t="s">
        <v>42</v>
      </c>
      <c r="E717" s="0" t="n">
        <v>22</v>
      </c>
      <c r="F717" s="0" t="n">
        <v>431.73</v>
      </c>
      <c r="G717" s="0" t="s">
        <v>43</v>
      </c>
    </row>
    <row r="718" customFormat="false" ht="15" hidden="false" customHeight="false" outlineLevel="0" collapsed="false">
      <c r="A718" s="0" t="s">
        <v>770</v>
      </c>
      <c r="B718" s="6" t="n">
        <v>40791</v>
      </c>
      <c r="C718" s="0" t="n">
        <v>14243</v>
      </c>
      <c r="D718" s="0" t="s">
        <v>42</v>
      </c>
      <c r="E718" s="0" t="n">
        <v>15</v>
      </c>
      <c r="F718" s="0" t="n">
        <v>315.17</v>
      </c>
      <c r="G718" s="0" t="s">
        <v>43</v>
      </c>
    </row>
    <row r="719" customFormat="false" ht="15" hidden="false" customHeight="false" outlineLevel="0" collapsed="false">
      <c r="A719" s="0" t="s">
        <v>771</v>
      </c>
      <c r="B719" s="6" t="n">
        <v>40793</v>
      </c>
      <c r="C719" s="0" t="n">
        <v>17949</v>
      </c>
      <c r="D719" s="0" t="s">
        <v>42</v>
      </c>
      <c r="E719" s="0" t="n">
        <v>1</v>
      </c>
      <c r="F719" s="0" t="n">
        <v>534.24</v>
      </c>
      <c r="G719" s="0" t="s">
        <v>43</v>
      </c>
    </row>
    <row r="720" customFormat="false" ht="15" hidden="false" customHeight="false" outlineLevel="0" collapsed="false">
      <c r="A720" s="0" t="s">
        <v>772</v>
      </c>
      <c r="B720" s="6" t="n">
        <v>40794</v>
      </c>
      <c r="C720" s="0" t="n">
        <v>12592</v>
      </c>
      <c r="D720" s="0" t="s">
        <v>259</v>
      </c>
      <c r="E720" s="0" t="n">
        <v>9</v>
      </c>
      <c r="F720" s="0" t="n">
        <v>205.8</v>
      </c>
      <c r="G720" s="0" t="s">
        <v>43</v>
      </c>
    </row>
    <row r="721" customFormat="false" ht="15" hidden="false" customHeight="false" outlineLevel="0" collapsed="false">
      <c r="A721" s="0" t="s">
        <v>773</v>
      </c>
      <c r="B721" s="6" t="n">
        <v>40795</v>
      </c>
      <c r="C721" s="0" t="n">
        <v>14243</v>
      </c>
      <c r="D721" s="0" t="s">
        <v>42</v>
      </c>
      <c r="E721" s="0" t="n">
        <v>2</v>
      </c>
      <c r="F721" s="0" t="n">
        <v>-10.25</v>
      </c>
      <c r="G721" s="0" t="s">
        <v>65</v>
      </c>
    </row>
    <row r="722" customFormat="false" ht="15" hidden="false" customHeight="false" outlineLevel="0" collapsed="false">
      <c r="A722" s="0" t="s">
        <v>774</v>
      </c>
      <c r="B722" s="6" t="n">
        <v>40797</v>
      </c>
      <c r="C722" s="0" t="n">
        <v>17299</v>
      </c>
      <c r="D722" s="0" t="s">
        <v>42</v>
      </c>
      <c r="E722" s="0" t="n">
        <v>28</v>
      </c>
      <c r="F722" s="0" t="n">
        <v>309.86</v>
      </c>
      <c r="G722" s="0" t="s">
        <v>43</v>
      </c>
    </row>
    <row r="723" customFormat="false" ht="15" hidden="false" customHeight="false" outlineLevel="0" collapsed="false">
      <c r="A723" s="0" t="s">
        <v>775</v>
      </c>
      <c r="B723" s="6" t="n">
        <v>40798</v>
      </c>
      <c r="C723" s="0" t="n">
        <v>12997</v>
      </c>
      <c r="D723" s="0" t="s">
        <v>42</v>
      </c>
      <c r="E723" s="0" t="n">
        <v>16</v>
      </c>
      <c r="F723" s="0" t="n">
        <v>307.92</v>
      </c>
      <c r="G723" s="0" t="s">
        <v>43</v>
      </c>
    </row>
    <row r="724" customFormat="false" ht="15" hidden="false" customHeight="false" outlineLevel="0" collapsed="false">
      <c r="A724" s="0" t="s">
        <v>776</v>
      </c>
      <c r="B724" s="6" t="n">
        <v>40798</v>
      </c>
      <c r="C724" s="0" t="n">
        <v>18223</v>
      </c>
      <c r="D724" s="0" t="s">
        <v>42</v>
      </c>
      <c r="E724" s="0" t="n">
        <v>5</v>
      </c>
      <c r="F724" s="0" t="n">
        <v>-24.45</v>
      </c>
      <c r="G724" s="0" t="s">
        <v>65</v>
      </c>
    </row>
    <row r="725" customFormat="false" ht="15" hidden="false" customHeight="false" outlineLevel="0" collapsed="false">
      <c r="A725" s="0" t="s">
        <v>777</v>
      </c>
      <c r="B725" s="6" t="n">
        <v>40801</v>
      </c>
      <c r="C725" s="0" t="n">
        <v>12997</v>
      </c>
      <c r="D725" s="0" t="s">
        <v>42</v>
      </c>
      <c r="E725" s="0" t="n">
        <v>2</v>
      </c>
      <c r="F725" s="0" t="n">
        <v>-3.75</v>
      </c>
      <c r="G725" s="0" t="s">
        <v>65</v>
      </c>
    </row>
    <row r="726" customFormat="false" ht="15" hidden="false" customHeight="false" outlineLevel="0" collapsed="false">
      <c r="A726" s="0" t="s">
        <v>778</v>
      </c>
      <c r="B726" s="6" t="n">
        <v>40801</v>
      </c>
      <c r="C726" s="0" t="n">
        <v>17333</v>
      </c>
      <c r="D726" s="0" t="s">
        <v>42</v>
      </c>
      <c r="E726" s="0" t="n">
        <v>28</v>
      </c>
      <c r="F726" s="0" t="n">
        <v>494.25</v>
      </c>
      <c r="G726" s="0" t="s">
        <v>43</v>
      </c>
    </row>
    <row r="727" customFormat="false" ht="15" hidden="false" customHeight="false" outlineLevel="0" collapsed="false">
      <c r="A727" s="0" t="s">
        <v>779</v>
      </c>
      <c r="B727" s="6" t="n">
        <v>40801</v>
      </c>
      <c r="C727" s="0" t="n">
        <v>14227</v>
      </c>
      <c r="D727" s="0" t="s">
        <v>42</v>
      </c>
      <c r="E727" s="0" t="n">
        <v>25</v>
      </c>
      <c r="F727" s="0" t="n">
        <v>617.26</v>
      </c>
      <c r="G727" s="0" t="s">
        <v>43</v>
      </c>
    </row>
    <row r="728" customFormat="false" ht="15" hidden="false" customHeight="false" outlineLevel="0" collapsed="false">
      <c r="A728" s="0" t="s">
        <v>780</v>
      </c>
      <c r="B728" s="6" t="n">
        <v>40801</v>
      </c>
      <c r="C728" s="0" t="n">
        <v>14227</v>
      </c>
      <c r="D728" s="0" t="s">
        <v>42</v>
      </c>
      <c r="E728" s="0" t="n">
        <v>1</v>
      </c>
      <c r="F728" s="0" t="n">
        <v>15.12</v>
      </c>
      <c r="G728" s="0" t="s">
        <v>43</v>
      </c>
    </row>
    <row r="729" customFormat="false" ht="15" hidden="false" customHeight="false" outlineLevel="0" collapsed="false">
      <c r="A729" s="0" t="s">
        <v>781</v>
      </c>
      <c r="B729" s="6" t="n">
        <v>40801</v>
      </c>
      <c r="C729" s="0" t="n">
        <v>17002</v>
      </c>
      <c r="D729" s="0" t="s">
        <v>42</v>
      </c>
      <c r="E729" s="0" t="n">
        <v>19</v>
      </c>
      <c r="F729" s="0" t="n">
        <v>500.21</v>
      </c>
      <c r="G729" s="0" t="s">
        <v>43</v>
      </c>
    </row>
    <row r="730" customFormat="false" ht="15" hidden="false" customHeight="false" outlineLevel="0" collapsed="false">
      <c r="A730" s="0" t="s">
        <v>782</v>
      </c>
      <c r="B730" s="6" t="n">
        <v>40801</v>
      </c>
      <c r="C730" s="0" t="n">
        <v>14894</v>
      </c>
      <c r="D730" s="0" t="s">
        <v>42</v>
      </c>
      <c r="E730" s="0" t="n">
        <v>23</v>
      </c>
      <c r="F730" s="0" t="n">
        <v>655.75</v>
      </c>
      <c r="G730" s="0" t="s">
        <v>43</v>
      </c>
    </row>
    <row r="731" customFormat="false" ht="15" hidden="false" customHeight="false" outlineLevel="0" collapsed="false">
      <c r="A731" s="0" t="s">
        <v>783</v>
      </c>
      <c r="B731" s="6" t="n">
        <v>40801</v>
      </c>
      <c r="C731" s="0" t="n">
        <v>18259</v>
      </c>
      <c r="D731" s="0" t="s">
        <v>42</v>
      </c>
      <c r="E731" s="0" t="n">
        <v>21</v>
      </c>
      <c r="F731" s="0" t="n">
        <v>891.9</v>
      </c>
      <c r="G731" s="0" t="s">
        <v>43</v>
      </c>
    </row>
    <row r="732" customFormat="false" ht="15" hidden="false" customHeight="false" outlineLevel="0" collapsed="false">
      <c r="A732" s="0" t="s">
        <v>784</v>
      </c>
      <c r="B732" s="6" t="n">
        <v>40806</v>
      </c>
      <c r="C732" s="0" t="n">
        <v>14201</v>
      </c>
      <c r="D732" s="0" t="s">
        <v>42</v>
      </c>
      <c r="E732" s="0" t="n">
        <v>6</v>
      </c>
      <c r="F732" s="0" t="n">
        <v>105.9</v>
      </c>
      <c r="G732" s="0" t="s">
        <v>43</v>
      </c>
    </row>
    <row r="733" customFormat="false" ht="15" hidden="false" customHeight="false" outlineLevel="0" collapsed="false">
      <c r="A733" s="0" t="s">
        <v>785</v>
      </c>
      <c r="B733" s="6" t="n">
        <v>40806</v>
      </c>
      <c r="C733" s="0" t="n">
        <v>12352</v>
      </c>
      <c r="D733" s="0" t="s">
        <v>452</v>
      </c>
      <c r="E733" s="0" t="n">
        <v>18</v>
      </c>
      <c r="F733" s="0" t="n">
        <v>366.25</v>
      </c>
      <c r="G733" s="0" t="s">
        <v>43</v>
      </c>
    </row>
    <row r="734" customFormat="false" ht="15" hidden="false" customHeight="false" outlineLevel="0" collapsed="false">
      <c r="A734" s="0" t="s">
        <v>786</v>
      </c>
      <c r="B734" s="6" t="n">
        <v>40807</v>
      </c>
      <c r="C734" s="0" t="n">
        <v>15203</v>
      </c>
      <c r="D734" s="0" t="s">
        <v>42</v>
      </c>
      <c r="E734" s="0" t="n">
        <v>13</v>
      </c>
      <c r="F734" s="0" t="n">
        <v>189.4</v>
      </c>
      <c r="G734" s="0" t="s">
        <v>43</v>
      </c>
    </row>
    <row r="735" customFormat="false" ht="15" hidden="false" customHeight="false" outlineLevel="0" collapsed="false">
      <c r="A735" s="0" t="s">
        <v>787</v>
      </c>
      <c r="B735" s="6" t="n">
        <v>40808</v>
      </c>
      <c r="C735" s="0" t="n">
        <v>14543</v>
      </c>
      <c r="D735" s="0" t="s">
        <v>42</v>
      </c>
      <c r="E735" s="0" t="n">
        <v>7</v>
      </c>
      <c r="F735" s="0" t="n">
        <v>-125</v>
      </c>
      <c r="G735" s="0" t="s">
        <v>65</v>
      </c>
    </row>
    <row r="736" customFormat="false" ht="15" hidden="false" customHeight="false" outlineLevel="0" collapsed="false">
      <c r="A736" s="0" t="s">
        <v>788</v>
      </c>
      <c r="B736" s="6" t="n">
        <v>40808</v>
      </c>
      <c r="C736" s="0" t="n">
        <v>17581</v>
      </c>
      <c r="D736" s="0" t="s">
        <v>42</v>
      </c>
      <c r="E736" s="0" t="n">
        <v>33</v>
      </c>
      <c r="F736" s="0" t="n">
        <v>1035</v>
      </c>
      <c r="G736" s="0" t="s">
        <v>43</v>
      </c>
    </row>
    <row r="737" customFormat="false" ht="15" hidden="false" customHeight="false" outlineLevel="0" collapsed="false">
      <c r="A737" s="0" t="s">
        <v>789</v>
      </c>
      <c r="B737" s="6" t="n">
        <v>40808</v>
      </c>
      <c r="C737" s="0" t="n">
        <v>17581</v>
      </c>
      <c r="D737" s="0" t="s">
        <v>42</v>
      </c>
      <c r="E737" s="0" t="n">
        <v>26</v>
      </c>
      <c r="F737" s="0" t="n">
        <v>820.78</v>
      </c>
      <c r="G737" s="0" t="s">
        <v>43</v>
      </c>
    </row>
    <row r="738" customFormat="false" ht="15" hidden="false" customHeight="false" outlineLevel="0" collapsed="false">
      <c r="A738" s="0" t="s">
        <v>790</v>
      </c>
      <c r="B738" s="6" t="n">
        <v>40809</v>
      </c>
      <c r="C738" s="0" t="n">
        <v>16978</v>
      </c>
      <c r="D738" s="0" t="s">
        <v>42</v>
      </c>
      <c r="E738" s="0" t="n">
        <v>39</v>
      </c>
      <c r="F738" s="0" t="n">
        <v>344.33</v>
      </c>
      <c r="G738" s="0" t="s">
        <v>43</v>
      </c>
    </row>
    <row r="739" customFormat="false" ht="15" hidden="false" customHeight="false" outlineLevel="0" collapsed="false">
      <c r="A739" s="0" t="s">
        <v>791</v>
      </c>
      <c r="B739" s="6" t="n">
        <v>40812</v>
      </c>
      <c r="C739" s="0" t="n">
        <v>18205</v>
      </c>
      <c r="D739" s="0" t="s">
        <v>42</v>
      </c>
      <c r="E739" s="0" t="n">
        <v>15</v>
      </c>
      <c r="F739" s="0" t="n">
        <v>225.76</v>
      </c>
      <c r="G739" s="0" t="s">
        <v>43</v>
      </c>
    </row>
    <row r="740" customFormat="false" ht="15" hidden="false" customHeight="false" outlineLevel="0" collapsed="false">
      <c r="A740" s="0" t="s">
        <v>792</v>
      </c>
      <c r="B740" s="6" t="n">
        <v>40812</v>
      </c>
      <c r="C740" s="0" t="n">
        <v>14931</v>
      </c>
      <c r="D740" s="0" t="s">
        <v>613</v>
      </c>
      <c r="E740" s="0" t="n">
        <v>17</v>
      </c>
      <c r="F740" s="0" t="n">
        <v>261.65</v>
      </c>
      <c r="G740" s="0" t="s">
        <v>43</v>
      </c>
    </row>
    <row r="741" customFormat="false" ht="15" hidden="false" customHeight="false" outlineLevel="0" collapsed="false">
      <c r="A741" s="0" t="s">
        <v>793</v>
      </c>
      <c r="B741" s="6" t="n">
        <v>40812</v>
      </c>
      <c r="C741" s="0" t="n">
        <v>14908</v>
      </c>
      <c r="D741" s="0" t="s">
        <v>42</v>
      </c>
      <c r="E741" s="0" t="n">
        <v>9</v>
      </c>
      <c r="F741" s="0" t="n">
        <v>277.8</v>
      </c>
      <c r="G741" s="0" t="s">
        <v>43</v>
      </c>
    </row>
    <row r="742" customFormat="false" ht="15" hidden="false" customHeight="false" outlineLevel="0" collapsed="false">
      <c r="A742" s="0" t="s">
        <v>794</v>
      </c>
      <c r="B742" s="6" t="n">
        <v>40812</v>
      </c>
      <c r="C742" s="0" t="n">
        <v>13233</v>
      </c>
      <c r="D742" s="0" t="s">
        <v>42</v>
      </c>
      <c r="E742" s="0" t="n">
        <v>26</v>
      </c>
      <c r="F742" s="0" t="n">
        <v>300.88</v>
      </c>
      <c r="G742" s="0" t="s">
        <v>43</v>
      </c>
    </row>
    <row r="743" customFormat="false" ht="15" hidden="false" customHeight="false" outlineLevel="0" collapsed="false">
      <c r="A743" s="0" t="s">
        <v>795</v>
      </c>
      <c r="B743" s="6" t="n">
        <v>40813</v>
      </c>
      <c r="C743" s="0" t="n">
        <v>14543</v>
      </c>
      <c r="D743" s="0" t="s">
        <v>42</v>
      </c>
      <c r="E743" s="0" t="n">
        <v>3</v>
      </c>
      <c r="F743" s="0" t="n">
        <v>36.65</v>
      </c>
      <c r="G743" s="0" t="s">
        <v>43</v>
      </c>
    </row>
    <row r="744" customFormat="false" ht="15" hidden="false" customHeight="false" outlineLevel="0" collapsed="false">
      <c r="A744" s="0" t="s">
        <v>796</v>
      </c>
      <c r="B744" s="6" t="n">
        <v>40813</v>
      </c>
      <c r="C744" s="0" t="n">
        <v>16181</v>
      </c>
      <c r="D744" s="0" t="s">
        <v>42</v>
      </c>
      <c r="E744" s="0" t="n">
        <v>11</v>
      </c>
      <c r="F744" s="0" t="n">
        <v>305.54</v>
      </c>
      <c r="G744" s="0" t="s">
        <v>43</v>
      </c>
    </row>
    <row r="745" customFormat="false" ht="15" hidden="false" customHeight="false" outlineLevel="0" collapsed="false">
      <c r="A745" s="0" t="s">
        <v>797</v>
      </c>
      <c r="B745" s="6" t="n">
        <v>40813</v>
      </c>
      <c r="C745" s="0" t="n">
        <v>15241</v>
      </c>
      <c r="D745" s="0" t="s">
        <v>42</v>
      </c>
      <c r="E745" s="0" t="n">
        <v>4</v>
      </c>
      <c r="F745" s="0" t="n">
        <v>66.66</v>
      </c>
      <c r="G745" s="0" t="s">
        <v>43</v>
      </c>
    </row>
    <row r="746" customFormat="false" ht="15" hidden="false" customHeight="false" outlineLevel="0" collapsed="false">
      <c r="A746" s="0" t="s">
        <v>798</v>
      </c>
      <c r="B746" s="6" t="n">
        <v>40813</v>
      </c>
      <c r="C746" s="0" t="n">
        <v>17002</v>
      </c>
      <c r="D746" s="0" t="s">
        <v>42</v>
      </c>
      <c r="E746" s="0" t="n">
        <v>1</v>
      </c>
      <c r="F746" s="0" t="n">
        <v>-5.95</v>
      </c>
      <c r="G746" s="0" t="s">
        <v>65</v>
      </c>
    </row>
    <row r="747" customFormat="false" ht="15" hidden="false" customHeight="false" outlineLevel="0" collapsed="false">
      <c r="A747" s="0" t="s">
        <v>799</v>
      </c>
      <c r="B747" s="6" t="n">
        <v>40814</v>
      </c>
      <c r="C747" s="0" t="n">
        <v>17581</v>
      </c>
      <c r="D747" s="0" t="s">
        <v>42</v>
      </c>
      <c r="E747" s="0" t="n">
        <v>2</v>
      </c>
      <c r="F747" s="0" t="n">
        <v>-17.85</v>
      </c>
      <c r="G747" s="0" t="s">
        <v>65</v>
      </c>
    </row>
    <row r="748" customFormat="false" ht="15" hidden="false" customHeight="false" outlineLevel="0" collapsed="false">
      <c r="A748" s="0" t="s">
        <v>800</v>
      </c>
      <c r="B748" s="6" t="n">
        <v>40814</v>
      </c>
      <c r="C748" s="0" t="n">
        <v>18223</v>
      </c>
      <c r="D748" s="0" t="s">
        <v>42</v>
      </c>
      <c r="E748" s="0" t="n">
        <v>1</v>
      </c>
      <c r="F748" s="0" t="n">
        <v>-2.08</v>
      </c>
      <c r="G748" s="0" t="s">
        <v>65</v>
      </c>
    </row>
    <row r="749" customFormat="false" ht="15" hidden="false" customHeight="false" outlineLevel="0" collapsed="false">
      <c r="A749" s="0" t="s">
        <v>801</v>
      </c>
      <c r="B749" s="6" t="n">
        <v>40814</v>
      </c>
      <c r="C749" s="0" t="n">
        <v>12352</v>
      </c>
      <c r="D749" s="0" t="s">
        <v>452</v>
      </c>
      <c r="E749" s="0" t="n">
        <v>14</v>
      </c>
      <c r="F749" s="0" t="n">
        <v>266.25</v>
      </c>
      <c r="G749" s="0" t="s">
        <v>43</v>
      </c>
    </row>
    <row r="750" customFormat="false" ht="15" hidden="false" customHeight="false" outlineLevel="0" collapsed="false">
      <c r="A750" s="0" t="s">
        <v>802</v>
      </c>
      <c r="B750" s="6" t="n">
        <v>40814</v>
      </c>
      <c r="C750" s="0" t="n">
        <v>12393</v>
      </c>
      <c r="D750" s="0" t="s">
        <v>393</v>
      </c>
      <c r="E750" s="0" t="n">
        <v>25</v>
      </c>
      <c r="F750" s="0" t="n">
        <v>521.5</v>
      </c>
      <c r="G750" s="0" t="s">
        <v>43</v>
      </c>
    </row>
    <row r="751" customFormat="false" ht="15" hidden="false" customHeight="false" outlineLevel="0" collapsed="false">
      <c r="A751" s="0" t="s">
        <v>803</v>
      </c>
      <c r="B751" s="6" t="n">
        <v>40815</v>
      </c>
      <c r="C751" s="0" t="n">
        <v>16929</v>
      </c>
      <c r="D751" s="0" t="s">
        <v>42</v>
      </c>
      <c r="E751" s="0" t="n">
        <v>5</v>
      </c>
      <c r="F751" s="0" t="n">
        <v>110.84</v>
      </c>
      <c r="G751" s="0" t="s">
        <v>43</v>
      </c>
    </row>
    <row r="752" customFormat="false" ht="15" hidden="false" customHeight="false" outlineLevel="0" collapsed="false">
      <c r="A752" s="0" t="s">
        <v>804</v>
      </c>
      <c r="B752" s="6" t="n">
        <v>40815</v>
      </c>
      <c r="C752" s="0" t="n">
        <v>16059</v>
      </c>
      <c r="D752" s="0" t="s">
        <v>42</v>
      </c>
      <c r="E752" s="0" t="n">
        <v>40</v>
      </c>
      <c r="F752" s="0" t="n">
        <v>403.26</v>
      </c>
      <c r="G752" s="0" t="s">
        <v>43</v>
      </c>
    </row>
    <row r="753" customFormat="false" ht="15" hidden="false" customHeight="false" outlineLevel="0" collapsed="false">
      <c r="A753" s="0" t="s">
        <v>805</v>
      </c>
      <c r="B753" s="6" t="n">
        <v>40815</v>
      </c>
      <c r="C753" s="0" t="n">
        <v>15370</v>
      </c>
      <c r="D753" s="0" t="s">
        <v>42</v>
      </c>
      <c r="E753" s="0" t="n">
        <v>23</v>
      </c>
      <c r="F753" s="0" t="n">
        <v>525.79</v>
      </c>
      <c r="G753" s="0" t="s">
        <v>43</v>
      </c>
    </row>
    <row r="754" customFormat="false" ht="15" hidden="false" customHeight="false" outlineLevel="0" collapsed="false">
      <c r="A754" s="0" t="s">
        <v>806</v>
      </c>
      <c r="B754" s="6" t="n">
        <v>40815</v>
      </c>
      <c r="C754" s="0" t="n">
        <v>16589</v>
      </c>
      <c r="D754" s="0" t="s">
        <v>42</v>
      </c>
      <c r="E754" s="0" t="n">
        <v>18</v>
      </c>
      <c r="F754" s="0" t="n">
        <v>244.56</v>
      </c>
      <c r="G754" s="0" t="s">
        <v>43</v>
      </c>
    </row>
    <row r="755" customFormat="false" ht="15" hidden="false" customHeight="false" outlineLevel="0" collapsed="false">
      <c r="A755" s="0" t="s">
        <v>807</v>
      </c>
      <c r="B755" s="6" t="n">
        <v>40816</v>
      </c>
      <c r="C755" s="0" t="n">
        <v>13575</v>
      </c>
      <c r="D755" s="0" t="s">
        <v>42</v>
      </c>
      <c r="E755" s="0" t="n">
        <v>16</v>
      </c>
      <c r="F755" s="0" t="n">
        <v>258.46</v>
      </c>
      <c r="G755" s="0" t="s">
        <v>43</v>
      </c>
    </row>
    <row r="756" customFormat="false" ht="15" hidden="false" customHeight="false" outlineLevel="0" collapsed="false">
      <c r="A756" s="0" t="s">
        <v>808</v>
      </c>
      <c r="B756" s="6" t="n">
        <v>40816</v>
      </c>
      <c r="C756" s="0" t="n">
        <v>17949</v>
      </c>
      <c r="D756" s="0" t="s">
        <v>42</v>
      </c>
      <c r="E756" s="0" t="n">
        <v>1</v>
      </c>
      <c r="F756" s="0" t="n">
        <v>2496</v>
      </c>
      <c r="G756" s="0" t="s">
        <v>43</v>
      </c>
    </row>
    <row r="757" customFormat="false" ht="15" hidden="false" customHeight="false" outlineLevel="0" collapsed="false">
      <c r="A757" s="0" t="s">
        <v>809</v>
      </c>
      <c r="B757" s="6" t="n">
        <v>40816</v>
      </c>
      <c r="C757" s="0" t="n">
        <v>17949</v>
      </c>
      <c r="D757" s="0" t="s">
        <v>42</v>
      </c>
      <c r="E757" s="0" t="n">
        <v>1</v>
      </c>
      <c r="F757" s="0" t="n">
        <v>1272</v>
      </c>
      <c r="G757" s="0" t="s">
        <v>43</v>
      </c>
    </row>
    <row r="758" customFormat="false" ht="15" hidden="false" customHeight="false" outlineLevel="0" collapsed="false">
      <c r="A758" s="0" t="s">
        <v>810</v>
      </c>
      <c r="B758" s="6" t="n">
        <v>40816</v>
      </c>
      <c r="C758" s="0" t="n">
        <v>17949</v>
      </c>
      <c r="D758" s="0" t="s">
        <v>42</v>
      </c>
      <c r="E758" s="0" t="n">
        <v>1</v>
      </c>
      <c r="F758" s="0" t="n">
        <v>720</v>
      </c>
      <c r="G758" s="0" t="s">
        <v>43</v>
      </c>
    </row>
    <row r="759" customFormat="false" ht="15" hidden="false" customHeight="false" outlineLevel="0" collapsed="false">
      <c r="A759" s="0" t="s">
        <v>811</v>
      </c>
      <c r="B759" s="6" t="n">
        <v>40820</v>
      </c>
      <c r="C759" s="0" t="n">
        <v>15241</v>
      </c>
      <c r="D759" s="0" t="s">
        <v>42</v>
      </c>
      <c r="E759" s="0" t="n">
        <v>15</v>
      </c>
      <c r="F759" s="0" t="n">
        <v>344.92</v>
      </c>
      <c r="G759" s="0" t="s">
        <v>43</v>
      </c>
    </row>
    <row r="760" customFormat="false" ht="15" hidden="false" customHeight="false" outlineLevel="0" collapsed="false">
      <c r="A760" s="0" t="s">
        <v>812</v>
      </c>
      <c r="B760" s="6" t="n">
        <v>40820</v>
      </c>
      <c r="C760" s="0" t="n">
        <v>15739</v>
      </c>
      <c r="D760" s="0" t="s">
        <v>42</v>
      </c>
      <c r="E760" s="0" t="n">
        <v>8</v>
      </c>
      <c r="F760" s="0" t="n">
        <v>449.12</v>
      </c>
      <c r="G760" s="0" t="s">
        <v>43</v>
      </c>
    </row>
    <row r="761" customFormat="false" ht="15" hidden="false" customHeight="false" outlineLevel="0" collapsed="false">
      <c r="A761" s="0" t="s">
        <v>813</v>
      </c>
      <c r="B761" s="6" t="n">
        <v>40821</v>
      </c>
      <c r="C761" s="0" t="n">
        <v>16059</v>
      </c>
      <c r="D761" s="0" t="s">
        <v>42</v>
      </c>
      <c r="E761" s="0" t="n">
        <v>6</v>
      </c>
      <c r="F761" s="0" t="n">
        <v>105.3</v>
      </c>
      <c r="G761" s="0" t="s">
        <v>43</v>
      </c>
    </row>
    <row r="762" customFormat="false" ht="15" hidden="false" customHeight="false" outlineLevel="0" collapsed="false">
      <c r="A762" s="0" t="s">
        <v>814</v>
      </c>
      <c r="B762" s="6" t="n">
        <v>40821</v>
      </c>
      <c r="C762" s="0" t="n">
        <v>18223</v>
      </c>
      <c r="D762" s="0" t="s">
        <v>42</v>
      </c>
      <c r="E762" s="0" t="n">
        <v>26</v>
      </c>
      <c r="F762" s="0" t="n">
        <v>480.43</v>
      </c>
      <c r="G762" s="0" t="s">
        <v>43</v>
      </c>
    </row>
    <row r="763" customFormat="false" ht="15" hidden="false" customHeight="false" outlineLevel="0" collapsed="false">
      <c r="A763" s="0" t="s">
        <v>815</v>
      </c>
      <c r="B763" s="6" t="n">
        <v>40822</v>
      </c>
      <c r="C763" s="0" t="n">
        <v>17453</v>
      </c>
      <c r="D763" s="0" t="s">
        <v>42</v>
      </c>
      <c r="E763" s="0" t="n">
        <v>9</v>
      </c>
      <c r="F763" s="0" t="n">
        <v>342</v>
      </c>
      <c r="G763" s="0" t="s">
        <v>43</v>
      </c>
    </row>
    <row r="764" customFormat="false" ht="15" hidden="false" customHeight="false" outlineLevel="0" collapsed="false">
      <c r="A764" s="0" t="s">
        <v>816</v>
      </c>
      <c r="B764" s="6" t="n">
        <v>40823</v>
      </c>
      <c r="C764" s="0" t="n">
        <v>17030</v>
      </c>
      <c r="D764" s="0" t="s">
        <v>42</v>
      </c>
      <c r="E764" s="0" t="n">
        <v>11</v>
      </c>
      <c r="F764" s="0" t="n">
        <v>146.87</v>
      </c>
      <c r="G764" s="0" t="s">
        <v>43</v>
      </c>
    </row>
    <row r="765" customFormat="false" ht="15" hidden="false" customHeight="false" outlineLevel="0" collapsed="false">
      <c r="A765" s="0" t="s">
        <v>817</v>
      </c>
      <c r="B765" s="6" t="n">
        <v>40823</v>
      </c>
      <c r="C765" s="0" t="n">
        <v>15815</v>
      </c>
      <c r="D765" s="0" t="s">
        <v>42</v>
      </c>
      <c r="E765" s="0" t="n">
        <v>9</v>
      </c>
      <c r="F765" s="0" t="n">
        <v>225.9</v>
      </c>
      <c r="G765" s="0" t="s">
        <v>43</v>
      </c>
    </row>
    <row r="766" customFormat="false" ht="15" hidden="false" customHeight="false" outlineLevel="0" collapsed="false">
      <c r="A766" s="0" t="s">
        <v>818</v>
      </c>
      <c r="B766" s="6" t="n">
        <v>40826</v>
      </c>
      <c r="C766" s="0" t="n">
        <v>17949</v>
      </c>
      <c r="D766" s="0" t="s">
        <v>42</v>
      </c>
      <c r="E766" s="0" t="n">
        <v>3</v>
      </c>
      <c r="F766" s="0" t="n">
        <v>676.32</v>
      </c>
      <c r="G766" s="0" t="s">
        <v>43</v>
      </c>
    </row>
    <row r="767" customFormat="false" ht="15" hidden="false" customHeight="false" outlineLevel="0" collapsed="false">
      <c r="A767" s="0" t="s">
        <v>819</v>
      </c>
      <c r="B767" s="6" t="n">
        <v>40826</v>
      </c>
      <c r="C767" s="0" t="n">
        <v>14201</v>
      </c>
      <c r="D767" s="0" t="s">
        <v>42</v>
      </c>
      <c r="E767" s="0" t="n">
        <v>7</v>
      </c>
      <c r="F767" s="0" t="n">
        <v>120.3</v>
      </c>
      <c r="G767" s="0" t="s">
        <v>43</v>
      </c>
    </row>
    <row r="768" customFormat="false" ht="15" hidden="false" customHeight="false" outlineLevel="0" collapsed="false">
      <c r="A768" s="0" t="s">
        <v>820</v>
      </c>
      <c r="B768" s="6" t="n">
        <v>40827</v>
      </c>
      <c r="C768" s="0" t="n">
        <v>15370</v>
      </c>
      <c r="D768" s="0" t="s">
        <v>42</v>
      </c>
      <c r="E768" s="0" t="n">
        <v>1</v>
      </c>
      <c r="F768" s="0" t="n">
        <v>33</v>
      </c>
      <c r="G768" s="0" t="s">
        <v>43</v>
      </c>
    </row>
    <row r="769" customFormat="false" ht="15" hidden="false" customHeight="false" outlineLevel="0" collapsed="false">
      <c r="A769" s="0" t="s">
        <v>821</v>
      </c>
      <c r="B769" s="6" t="n">
        <v>40828</v>
      </c>
      <c r="C769" s="0" t="n">
        <v>13575</v>
      </c>
      <c r="D769" s="0" t="s">
        <v>42</v>
      </c>
      <c r="E769" s="0" t="n">
        <v>10</v>
      </c>
      <c r="F769" s="0" t="n">
        <v>147.41</v>
      </c>
      <c r="G769" s="0" t="s">
        <v>43</v>
      </c>
    </row>
    <row r="770" customFormat="false" ht="15" hidden="false" customHeight="false" outlineLevel="0" collapsed="false">
      <c r="A770" s="0" t="s">
        <v>822</v>
      </c>
      <c r="B770" s="6" t="n">
        <v>40830</v>
      </c>
      <c r="C770" s="0" t="n">
        <v>16950</v>
      </c>
      <c r="D770" s="0" t="s">
        <v>42</v>
      </c>
      <c r="E770" s="0" t="n">
        <v>15</v>
      </c>
      <c r="F770" s="0" t="n">
        <v>400.15</v>
      </c>
      <c r="G770" s="0" t="s">
        <v>43</v>
      </c>
    </row>
    <row r="771" customFormat="false" ht="15" hidden="false" customHeight="false" outlineLevel="0" collapsed="false">
      <c r="A771" s="0" t="s">
        <v>823</v>
      </c>
      <c r="B771" s="6" t="n">
        <v>40830</v>
      </c>
      <c r="C771" s="0" t="n">
        <v>15482</v>
      </c>
      <c r="D771" s="0" t="s">
        <v>42</v>
      </c>
      <c r="E771" s="0" t="n">
        <v>1</v>
      </c>
      <c r="F771" s="0" t="n">
        <v>40</v>
      </c>
      <c r="G771" s="0" t="s">
        <v>43</v>
      </c>
    </row>
    <row r="772" customFormat="false" ht="15" hidden="false" customHeight="false" outlineLevel="0" collapsed="false">
      <c r="A772" s="0" t="s">
        <v>824</v>
      </c>
      <c r="B772" s="6" t="n">
        <v>40830</v>
      </c>
      <c r="C772" s="0" t="n">
        <v>17949</v>
      </c>
      <c r="D772" s="0" t="s">
        <v>42</v>
      </c>
      <c r="E772" s="0" t="n">
        <v>1</v>
      </c>
      <c r="F772" s="0" t="n">
        <v>108</v>
      </c>
      <c r="G772" s="0" t="s">
        <v>43</v>
      </c>
    </row>
    <row r="773" customFormat="false" ht="15" hidden="false" customHeight="false" outlineLevel="0" collapsed="false">
      <c r="A773" s="0" t="s">
        <v>825</v>
      </c>
      <c r="B773" s="6" t="n">
        <v>40835</v>
      </c>
      <c r="C773" s="0" t="n">
        <v>17350</v>
      </c>
      <c r="D773" s="0" t="s">
        <v>42</v>
      </c>
      <c r="E773" s="0" t="n">
        <v>24</v>
      </c>
      <c r="F773" s="0" t="n">
        <v>156.24</v>
      </c>
      <c r="G773" s="0" t="s">
        <v>43</v>
      </c>
    </row>
    <row r="774" customFormat="false" ht="15" hidden="false" customHeight="false" outlineLevel="0" collapsed="false">
      <c r="A774" s="0" t="s">
        <v>826</v>
      </c>
      <c r="B774" s="6" t="n">
        <v>40835</v>
      </c>
      <c r="C774" s="0" t="n">
        <v>17350</v>
      </c>
      <c r="D774" s="0" t="s">
        <v>42</v>
      </c>
      <c r="E774" s="0" t="n">
        <v>1</v>
      </c>
      <c r="F774" s="0" t="n">
        <v>-29.88</v>
      </c>
      <c r="G774" s="0" t="s">
        <v>65</v>
      </c>
    </row>
    <row r="775" customFormat="false" ht="15" hidden="false" customHeight="false" outlineLevel="0" collapsed="false">
      <c r="A775" s="0" t="s">
        <v>827</v>
      </c>
      <c r="B775" s="6" t="n">
        <v>40836</v>
      </c>
      <c r="C775" s="0" t="n">
        <v>16260</v>
      </c>
      <c r="D775" s="0" t="s">
        <v>42</v>
      </c>
      <c r="E775" s="0" t="n">
        <v>18</v>
      </c>
      <c r="F775" s="0" t="n">
        <v>1035.45</v>
      </c>
      <c r="G775" s="0" t="s">
        <v>43</v>
      </c>
    </row>
    <row r="776" customFormat="false" ht="15" hidden="false" customHeight="false" outlineLevel="0" collapsed="false">
      <c r="A776" s="0" t="s">
        <v>828</v>
      </c>
      <c r="B776" s="6" t="n">
        <v>40837</v>
      </c>
      <c r="C776" s="0" t="n">
        <v>17832</v>
      </c>
      <c r="D776" s="0" t="s">
        <v>42</v>
      </c>
      <c r="E776" s="0" t="n">
        <v>61</v>
      </c>
      <c r="F776" s="0" t="n">
        <v>155.37</v>
      </c>
      <c r="G776" s="0" t="s">
        <v>43</v>
      </c>
    </row>
    <row r="777" customFormat="false" ht="15" hidden="false" customHeight="false" outlineLevel="0" collapsed="false">
      <c r="A777" s="0" t="s">
        <v>829</v>
      </c>
      <c r="B777" s="6" t="n">
        <v>40840</v>
      </c>
      <c r="C777" s="0" t="n">
        <v>15482</v>
      </c>
      <c r="D777" s="0" t="s">
        <v>42</v>
      </c>
      <c r="E777" s="0" t="n">
        <v>7</v>
      </c>
      <c r="F777" s="0" t="n">
        <v>360</v>
      </c>
      <c r="G777" s="0" t="s">
        <v>43</v>
      </c>
    </row>
    <row r="778" customFormat="false" ht="15" hidden="false" customHeight="false" outlineLevel="0" collapsed="false">
      <c r="A778" s="0" t="s">
        <v>830</v>
      </c>
      <c r="B778" s="6" t="n">
        <v>40840</v>
      </c>
      <c r="C778" s="0" t="n">
        <v>17949</v>
      </c>
      <c r="D778" s="0" t="s">
        <v>42</v>
      </c>
      <c r="E778" s="0" t="n">
        <v>1</v>
      </c>
      <c r="F778" s="0" t="n">
        <v>-464.9</v>
      </c>
      <c r="G778" s="0" t="s">
        <v>65</v>
      </c>
    </row>
    <row r="779" customFormat="false" ht="15" hidden="false" customHeight="false" outlineLevel="0" collapsed="false">
      <c r="A779" s="0" t="s">
        <v>831</v>
      </c>
      <c r="B779" s="6" t="n">
        <v>40841</v>
      </c>
      <c r="C779" s="0" t="n">
        <v>17350</v>
      </c>
      <c r="D779" s="0" t="s">
        <v>42</v>
      </c>
      <c r="E779" s="0" t="n">
        <v>37</v>
      </c>
      <c r="F779" s="0" t="n">
        <v>734.85</v>
      </c>
      <c r="G779" s="0" t="s">
        <v>43</v>
      </c>
    </row>
    <row r="780" customFormat="false" ht="15" hidden="false" customHeight="false" outlineLevel="0" collapsed="false">
      <c r="A780" s="0" t="s">
        <v>832</v>
      </c>
      <c r="B780" s="6" t="n">
        <v>40841</v>
      </c>
      <c r="C780" s="0" t="n">
        <v>15482</v>
      </c>
      <c r="D780" s="0" t="s">
        <v>42</v>
      </c>
      <c r="E780" s="0" t="n">
        <v>7</v>
      </c>
      <c r="F780" s="0" t="n">
        <v>-360</v>
      </c>
      <c r="G780" s="0" t="s">
        <v>65</v>
      </c>
    </row>
    <row r="781" customFormat="false" ht="15" hidden="false" customHeight="false" outlineLevel="0" collapsed="false">
      <c r="A781" s="0" t="s">
        <v>833</v>
      </c>
      <c r="B781" s="6" t="n">
        <v>40841</v>
      </c>
      <c r="C781" s="0" t="n">
        <v>15482</v>
      </c>
      <c r="D781" s="0" t="s">
        <v>42</v>
      </c>
      <c r="E781" s="0" t="n">
        <v>7</v>
      </c>
      <c r="F781" s="0" t="n">
        <v>360</v>
      </c>
      <c r="G781" s="0" t="s">
        <v>43</v>
      </c>
    </row>
    <row r="782" customFormat="false" ht="15" hidden="false" customHeight="false" outlineLevel="0" collapsed="false">
      <c r="A782" s="0" t="s">
        <v>834</v>
      </c>
      <c r="B782" s="6" t="n">
        <v>40842</v>
      </c>
      <c r="C782" s="0" t="n">
        <v>17895</v>
      </c>
      <c r="D782" s="0" t="s">
        <v>42</v>
      </c>
      <c r="E782" s="0" t="n">
        <v>16</v>
      </c>
      <c r="F782" s="0" t="n">
        <v>98</v>
      </c>
      <c r="G782" s="0" t="s">
        <v>43</v>
      </c>
    </row>
    <row r="783" customFormat="false" ht="15" hidden="false" customHeight="false" outlineLevel="0" collapsed="false">
      <c r="A783" s="0" t="s">
        <v>835</v>
      </c>
      <c r="B783" s="6" t="n">
        <v>40843</v>
      </c>
      <c r="C783" s="0" t="n">
        <v>14227</v>
      </c>
      <c r="D783" s="0" t="s">
        <v>42</v>
      </c>
      <c r="E783" s="0" t="n">
        <v>2</v>
      </c>
      <c r="F783" s="0" t="n">
        <v>-24.75</v>
      </c>
      <c r="G783" s="0" t="s">
        <v>65</v>
      </c>
    </row>
    <row r="784" customFormat="false" ht="15" hidden="false" customHeight="false" outlineLevel="0" collapsed="false">
      <c r="A784" s="0" t="s">
        <v>836</v>
      </c>
      <c r="B784" s="6" t="n">
        <v>40844</v>
      </c>
      <c r="C784" s="0" t="n">
        <v>17949</v>
      </c>
      <c r="D784" s="0" t="s">
        <v>42</v>
      </c>
      <c r="E784" s="0" t="n">
        <v>1</v>
      </c>
      <c r="F784" s="0" t="n">
        <v>1434.24</v>
      </c>
      <c r="G784" s="0" t="s">
        <v>43</v>
      </c>
    </row>
    <row r="785" customFormat="false" ht="15" hidden="false" customHeight="false" outlineLevel="0" collapsed="false">
      <c r="A785" s="0" t="s">
        <v>837</v>
      </c>
      <c r="B785" s="6" t="n">
        <v>40846</v>
      </c>
      <c r="C785" s="0" t="n">
        <v>15370</v>
      </c>
      <c r="D785" s="0" t="s">
        <v>42</v>
      </c>
      <c r="E785" s="0" t="n">
        <v>2</v>
      </c>
      <c r="F785" s="0" t="n">
        <v>313.8</v>
      </c>
      <c r="G785" s="0" t="s">
        <v>43</v>
      </c>
    </row>
    <row r="786" customFormat="false" ht="15" hidden="false" customHeight="false" outlineLevel="0" collapsed="false">
      <c r="A786" s="0" t="s">
        <v>838</v>
      </c>
      <c r="B786" s="6" t="n">
        <v>40847</v>
      </c>
      <c r="C786" s="0" t="n">
        <v>18223</v>
      </c>
      <c r="D786" s="0" t="s">
        <v>42</v>
      </c>
      <c r="E786" s="0" t="n">
        <v>35</v>
      </c>
      <c r="F786" s="0" t="n">
        <v>1389.05</v>
      </c>
      <c r="G786" s="0" t="s">
        <v>43</v>
      </c>
    </row>
    <row r="787" customFormat="false" ht="15" hidden="false" customHeight="false" outlineLevel="0" collapsed="false">
      <c r="A787" s="0" t="s">
        <v>839</v>
      </c>
      <c r="B787" s="6" t="n">
        <v>40848</v>
      </c>
      <c r="C787" s="0" t="n">
        <v>14243</v>
      </c>
      <c r="D787" s="0" t="s">
        <v>42</v>
      </c>
      <c r="E787" s="0" t="n">
        <v>8</v>
      </c>
      <c r="F787" s="0" t="n">
        <v>175.4</v>
      </c>
      <c r="G787" s="0" t="s">
        <v>43</v>
      </c>
    </row>
    <row r="788" customFormat="false" ht="15" hidden="false" customHeight="false" outlineLevel="0" collapsed="false">
      <c r="A788" s="0" t="s">
        <v>840</v>
      </c>
      <c r="B788" s="6" t="n">
        <v>40848</v>
      </c>
      <c r="C788" s="0" t="n">
        <v>17668</v>
      </c>
      <c r="D788" s="0" t="s">
        <v>42</v>
      </c>
      <c r="E788" s="0" t="n">
        <v>8</v>
      </c>
      <c r="F788" s="0" t="n">
        <v>161.85</v>
      </c>
      <c r="G788" s="0" t="s">
        <v>43</v>
      </c>
    </row>
    <row r="789" customFormat="false" ht="15" hidden="false" customHeight="false" outlineLevel="0" collapsed="false">
      <c r="A789" s="0" t="s">
        <v>841</v>
      </c>
      <c r="B789" s="6" t="n">
        <v>40850</v>
      </c>
      <c r="C789" s="0" t="n">
        <v>16929</v>
      </c>
      <c r="D789" s="0" t="s">
        <v>42</v>
      </c>
      <c r="E789" s="0" t="n">
        <v>8</v>
      </c>
      <c r="F789" s="0" t="n">
        <v>105.78</v>
      </c>
      <c r="G789" s="0" t="s">
        <v>43</v>
      </c>
    </row>
    <row r="790" customFormat="false" ht="15" hidden="false" customHeight="false" outlineLevel="0" collapsed="false">
      <c r="A790" s="0" t="s">
        <v>842</v>
      </c>
      <c r="B790" s="6" t="n">
        <v>40850</v>
      </c>
      <c r="C790" s="0" t="n">
        <v>18205</v>
      </c>
      <c r="D790" s="0" t="s">
        <v>42</v>
      </c>
      <c r="E790" s="0" t="n">
        <v>17</v>
      </c>
      <c r="F790" s="0" t="n">
        <v>291.6</v>
      </c>
      <c r="G790" s="0" t="s">
        <v>43</v>
      </c>
    </row>
    <row r="791" customFormat="false" ht="15" hidden="false" customHeight="false" outlineLevel="0" collapsed="false">
      <c r="A791" s="0" t="s">
        <v>843</v>
      </c>
      <c r="B791" s="6" t="n">
        <v>40850</v>
      </c>
      <c r="C791" s="0" t="n">
        <v>12352</v>
      </c>
      <c r="D791" s="0" t="s">
        <v>452</v>
      </c>
      <c r="E791" s="0" t="n">
        <v>15</v>
      </c>
      <c r="F791" s="0" t="n">
        <v>311.73</v>
      </c>
      <c r="G791" s="0" t="s">
        <v>43</v>
      </c>
    </row>
    <row r="792" customFormat="false" ht="15" hidden="false" customHeight="false" outlineLevel="0" collapsed="false">
      <c r="A792" s="0" t="s">
        <v>844</v>
      </c>
      <c r="B792" s="6" t="n">
        <v>40850</v>
      </c>
      <c r="C792" s="0" t="n">
        <v>15482</v>
      </c>
      <c r="D792" s="0" t="s">
        <v>42</v>
      </c>
      <c r="E792" s="0" t="n">
        <v>9</v>
      </c>
      <c r="F792" s="0" t="n">
        <v>1915.6</v>
      </c>
      <c r="G792" s="0" t="s">
        <v>43</v>
      </c>
    </row>
    <row r="793" customFormat="false" ht="15" hidden="false" customHeight="false" outlineLevel="0" collapsed="false">
      <c r="A793" s="0" t="s">
        <v>845</v>
      </c>
      <c r="B793" s="6" t="n">
        <v>40850</v>
      </c>
      <c r="C793" s="0" t="n">
        <v>15482</v>
      </c>
      <c r="D793" s="0" t="s">
        <v>42</v>
      </c>
      <c r="E793" s="0" t="n">
        <v>1</v>
      </c>
      <c r="F793" s="0" t="n">
        <v>-262.8</v>
      </c>
      <c r="G793" s="0" t="s">
        <v>65</v>
      </c>
    </row>
    <row r="794" customFormat="false" ht="15" hidden="false" customHeight="false" outlineLevel="0" collapsed="false">
      <c r="A794" s="0" t="s">
        <v>846</v>
      </c>
      <c r="B794" s="6" t="n">
        <v>40851</v>
      </c>
      <c r="C794" s="0" t="n">
        <v>12397</v>
      </c>
      <c r="D794" s="0" t="s">
        <v>735</v>
      </c>
      <c r="E794" s="0" t="n">
        <v>56</v>
      </c>
      <c r="F794" s="0" t="n">
        <v>1195.09</v>
      </c>
      <c r="G794" s="0" t="s">
        <v>43</v>
      </c>
    </row>
    <row r="795" customFormat="false" ht="15" hidden="false" customHeight="false" outlineLevel="0" collapsed="false">
      <c r="A795" s="0" t="s">
        <v>847</v>
      </c>
      <c r="B795" s="6" t="n">
        <v>40851</v>
      </c>
      <c r="C795" s="0" t="n">
        <v>15482</v>
      </c>
      <c r="D795" s="0" t="s">
        <v>42</v>
      </c>
      <c r="E795" s="0" t="n">
        <v>9</v>
      </c>
      <c r="F795" s="0" t="n">
        <v>-1652.8</v>
      </c>
      <c r="G795" s="0" t="s">
        <v>65</v>
      </c>
    </row>
    <row r="796" customFormat="false" ht="15" hidden="false" customHeight="false" outlineLevel="0" collapsed="false">
      <c r="A796" s="0" t="s">
        <v>848</v>
      </c>
      <c r="B796" s="6" t="n">
        <v>40853</v>
      </c>
      <c r="C796" s="0" t="n">
        <v>15017</v>
      </c>
      <c r="D796" s="0" t="s">
        <v>42</v>
      </c>
      <c r="E796" s="0" t="n">
        <v>20</v>
      </c>
      <c r="F796" s="0" t="n">
        <v>125.58</v>
      </c>
      <c r="G796" s="0" t="s">
        <v>43</v>
      </c>
    </row>
    <row r="797" customFormat="false" ht="15" hidden="false" customHeight="false" outlineLevel="0" collapsed="false">
      <c r="A797" s="0" t="s">
        <v>849</v>
      </c>
      <c r="B797" s="6" t="n">
        <v>40853</v>
      </c>
      <c r="C797" s="0" t="n">
        <v>15514</v>
      </c>
      <c r="D797" s="0" t="s">
        <v>42</v>
      </c>
      <c r="E797" s="0" t="n">
        <v>33</v>
      </c>
      <c r="F797" s="0" t="n">
        <v>555.39</v>
      </c>
      <c r="G797" s="0" t="s">
        <v>43</v>
      </c>
    </row>
    <row r="798" customFormat="false" ht="15" hidden="false" customHeight="false" outlineLevel="0" collapsed="false">
      <c r="A798" s="0" t="s">
        <v>850</v>
      </c>
      <c r="B798" s="6" t="n">
        <v>40853</v>
      </c>
      <c r="C798" s="0" t="n">
        <v>15514</v>
      </c>
      <c r="D798" s="0" t="s">
        <v>42</v>
      </c>
      <c r="E798" s="0" t="n">
        <v>1</v>
      </c>
      <c r="F798" s="0" t="n">
        <v>29.7</v>
      </c>
      <c r="G798" s="0" t="s">
        <v>43</v>
      </c>
    </row>
    <row r="799" customFormat="false" ht="15" hidden="false" customHeight="false" outlineLevel="0" collapsed="false">
      <c r="A799" s="0" t="s">
        <v>851</v>
      </c>
      <c r="B799" s="6" t="n">
        <v>40853</v>
      </c>
      <c r="C799" s="0" t="n">
        <v>16445</v>
      </c>
      <c r="D799" s="0" t="s">
        <v>42</v>
      </c>
      <c r="E799" s="0" t="n">
        <v>63</v>
      </c>
      <c r="F799" s="0" t="n">
        <v>230.51</v>
      </c>
      <c r="G799" s="0" t="s">
        <v>43</v>
      </c>
    </row>
    <row r="800" customFormat="false" ht="15" hidden="false" customHeight="false" outlineLevel="0" collapsed="false">
      <c r="A800" s="0" t="s">
        <v>852</v>
      </c>
      <c r="B800" s="6" t="n">
        <v>40853</v>
      </c>
      <c r="C800" s="0" t="n">
        <v>17581</v>
      </c>
      <c r="D800" s="0" t="s">
        <v>42</v>
      </c>
      <c r="E800" s="0" t="n">
        <v>55</v>
      </c>
      <c r="F800" s="0" t="n">
        <v>1349.69</v>
      </c>
      <c r="G800" s="0" t="s">
        <v>43</v>
      </c>
    </row>
    <row r="801" customFormat="false" ht="15" hidden="false" customHeight="false" outlineLevel="0" collapsed="false">
      <c r="A801" s="0" t="s">
        <v>853</v>
      </c>
      <c r="B801" s="6" t="n">
        <v>40853</v>
      </c>
      <c r="C801" s="0" t="n">
        <v>17581</v>
      </c>
      <c r="D801" s="0" t="s">
        <v>42</v>
      </c>
      <c r="E801" s="0" t="n">
        <v>8</v>
      </c>
      <c r="F801" s="0" t="n">
        <v>174.9</v>
      </c>
      <c r="G801" s="0" t="s">
        <v>43</v>
      </c>
    </row>
    <row r="802" customFormat="false" ht="15" hidden="false" customHeight="false" outlineLevel="0" collapsed="false">
      <c r="A802" s="0" t="s">
        <v>854</v>
      </c>
      <c r="B802" s="6" t="n">
        <v>40853</v>
      </c>
      <c r="C802" s="0" t="n">
        <v>17581</v>
      </c>
      <c r="D802" s="0" t="s">
        <v>42</v>
      </c>
      <c r="E802" s="0" t="n">
        <v>3</v>
      </c>
      <c r="F802" s="0" t="n">
        <v>157.7</v>
      </c>
      <c r="G802" s="0" t="s">
        <v>43</v>
      </c>
    </row>
    <row r="803" customFormat="false" ht="15" hidden="false" customHeight="false" outlineLevel="0" collapsed="false">
      <c r="A803" s="0" t="s">
        <v>855</v>
      </c>
      <c r="B803" s="6" t="n">
        <v>40855</v>
      </c>
      <c r="C803" s="0" t="n">
        <v>18223</v>
      </c>
      <c r="D803" s="0" t="s">
        <v>42</v>
      </c>
      <c r="E803" s="0" t="n">
        <v>4</v>
      </c>
      <c r="F803" s="0" t="n">
        <v>-37.57</v>
      </c>
      <c r="G803" s="0" t="s">
        <v>65</v>
      </c>
    </row>
    <row r="804" customFormat="false" ht="15" hidden="false" customHeight="false" outlineLevel="0" collapsed="false">
      <c r="A804" s="0" t="s">
        <v>856</v>
      </c>
      <c r="B804" s="6" t="n">
        <v>40855</v>
      </c>
      <c r="C804" s="0" t="n">
        <v>16618</v>
      </c>
      <c r="D804" s="0" t="s">
        <v>42</v>
      </c>
      <c r="E804" s="0" t="n">
        <v>42</v>
      </c>
      <c r="F804" s="0" t="n">
        <v>1206.3</v>
      </c>
      <c r="G804" s="0" t="s">
        <v>43</v>
      </c>
    </row>
    <row r="805" customFormat="false" ht="15" hidden="false" customHeight="false" outlineLevel="0" collapsed="false">
      <c r="A805" s="0" t="s">
        <v>857</v>
      </c>
      <c r="B805" s="6" t="n">
        <v>40856</v>
      </c>
      <c r="C805" s="0" t="n">
        <v>14543</v>
      </c>
      <c r="D805" s="0" t="s">
        <v>42</v>
      </c>
      <c r="E805" s="0" t="n">
        <v>5</v>
      </c>
      <c r="F805" s="0" t="n">
        <v>312.78</v>
      </c>
      <c r="G805" s="0" t="s">
        <v>43</v>
      </c>
    </row>
    <row r="806" customFormat="false" ht="15" hidden="false" customHeight="false" outlineLevel="0" collapsed="false">
      <c r="A806" s="0" t="s">
        <v>858</v>
      </c>
      <c r="B806" s="6" t="n">
        <v>40857</v>
      </c>
      <c r="C806" s="0" t="n">
        <v>12541</v>
      </c>
      <c r="D806" s="0" t="s">
        <v>571</v>
      </c>
      <c r="E806" s="0" t="n">
        <v>24</v>
      </c>
      <c r="F806" s="0" t="n">
        <v>445.04</v>
      </c>
      <c r="G806" s="0" t="s">
        <v>43</v>
      </c>
    </row>
    <row r="807" customFormat="false" ht="15" hidden="false" customHeight="false" outlineLevel="0" collapsed="false">
      <c r="A807" s="0" t="s">
        <v>859</v>
      </c>
      <c r="B807" s="6" t="n">
        <v>40857</v>
      </c>
      <c r="C807" s="0" t="n">
        <v>17791</v>
      </c>
      <c r="D807" s="0" t="s">
        <v>42</v>
      </c>
      <c r="E807" s="0" t="n">
        <v>10</v>
      </c>
      <c r="F807" s="0" t="n">
        <v>106.1</v>
      </c>
      <c r="G807" s="0" t="s">
        <v>43</v>
      </c>
    </row>
    <row r="808" customFormat="false" ht="15" hidden="false" customHeight="false" outlineLevel="0" collapsed="false">
      <c r="A808" s="0" t="s">
        <v>860</v>
      </c>
      <c r="B808" s="6" t="n">
        <v>40857</v>
      </c>
      <c r="C808" s="0" t="n">
        <v>16628</v>
      </c>
      <c r="D808" s="0" t="s">
        <v>42</v>
      </c>
      <c r="E808" s="0" t="n">
        <v>30</v>
      </c>
      <c r="F808" s="0" t="n">
        <v>568.21</v>
      </c>
      <c r="G808" s="0" t="s">
        <v>43</v>
      </c>
    </row>
    <row r="809" customFormat="false" ht="15" hidden="false" customHeight="false" outlineLevel="0" collapsed="false">
      <c r="A809" s="0" t="s">
        <v>861</v>
      </c>
      <c r="B809" s="6" t="n">
        <v>40857</v>
      </c>
      <c r="C809" s="0" t="n">
        <v>16907</v>
      </c>
      <c r="D809" s="0" t="s">
        <v>42</v>
      </c>
      <c r="E809" s="0" t="n">
        <v>31</v>
      </c>
      <c r="F809" s="0" t="n">
        <v>269.77</v>
      </c>
      <c r="G809" s="0" t="s">
        <v>43</v>
      </c>
    </row>
    <row r="810" customFormat="false" ht="15" hidden="false" customHeight="false" outlineLevel="0" collapsed="false">
      <c r="A810" s="0" t="s">
        <v>862</v>
      </c>
      <c r="B810" s="6" t="n">
        <v>40858</v>
      </c>
      <c r="C810" s="0" t="n">
        <v>14543</v>
      </c>
      <c r="D810" s="0" t="s">
        <v>42</v>
      </c>
      <c r="E810" s="0" t="n">
        <v>1</v>
      </c>
      <c r="F810" s="0" t="n">
        <v>15.8</v>
      </c>
      <c r="G810" s="0" t="s">
        <v>43</v>
      </c>
    </row>
    <row r="811" customFormat="false" ht="15" hidden="false" customHeight="false" outlineLevel="0" collapsed="false">
      <c r="A811" s="0" t="s">
        <v>863</v>
      </c>
      <c r="B811" s="6" t="n">
        <v>40860</v>
      </c>
      <c r="C811" s="0" t="n">
        <v>17041</v>
      </c>
      <c r="D811" s="0" t="s">
        <v>42</v>
      </c>
      <c r="E811" s="0" t="n">
        <v>24</v>
      </c>
      <c r="F811" s="0" t="n">
        <v>330.68</v>
      </c>
      <c r="G811" s="0" t="s">
        <v>43</v>
      </c>
    </row>
    <row r="812" customFormat="false" ht="15" hidden="false" customHeight="false" outlineLevel="0" collapsed="false">
      <c r="A812" s="0" t="s">
        <v>864</v>
      </c>
      <c r="B812" s="6" t="n">
        <v>40860</v>
      </c>
      <c r="C812" s="0" t="n">
        <v>14227</v>
      </c>
      <c r="D812" s="0" t="s">
        <v>42</v>
      </c>
      <c r="E812" s="0" t="n">
        <v>15</v>
      </c>
      <c r="F812" s="0" t="n">
        <v>319.06</v>
      </c>
      <c r="G812" s="0" t="s">
        <v>43</v>
      </c>
    </row>
    <row r="813" customFormat="false" ht="15" hidden="false" customHeight="false" outlineLevel="0" collapsed="false">
      <c r="A813" s="0" t="s">
        <v>865</v>
      </c>
      <c r="B813" s="6" t="n">
        <v>40861</v>
      </c>
      <c r="C813" s="0" t="n">
        <v>15203</v>
      </c>
      <c r="D813" s="0" t="s">
        <v>42</v>
      </c>
      <c r="E813" s="0" t="n">
        <v>24</v>
      </c>
      <c r="F813" s="0" t="n">
        <v>310.08</v>
      </c>
      <c r="G813" s="0" t="s">
        <v>43</v>
      </c>
    </row>
    <row r="814" customFormat="false" ht="15" hidden="false" customHeight="false" outlineLevel="0" collapsed="false">
      <c r="A814" s="0" t="s">
        <v>866</v>
      </c>
      <c r="B814" s="6" t="n">
        <v>40861</v>
      </c>
      <c r="C814" s="0" t="n">
        <v>15482</v>
      </c>
      <c r="D814" s="0" t="s">
        <v>42</v>
      </c>
      <c r="E814" s="0" t="n">
        <v>13</v>
      </c>
      <c r="F814" s="0" t="n">
        <v>1617.56</v>
      </c>
      <c r="G814" s="0" t="s">
        <v>43</v>
      </c>
    </row>
    <row r="815" customFormat="false" ht="15" hidden="false" customHeight="false" outlineLevel="0" collapsed="false">
      <c r="A815" s="0" t="s">
        <v>867</v>
      </c>
      <c r="B815" s="6" t="n">
        <v>40861</v>
      </c>
      <c r="C815" s="0" t="n">
        <v>15482</v>
      </c>
      <c r="D815" s="0" t="s">
        <v>42</v>
      </c>
      <c r="E815" s="0" t="n">
        <v>15</v>
      </c>
      <c r="F815" s="0" t="n">
        <v>1355.56</v>
      </c>
      <c r="G815" s="0" t="s">
        <v>43</v>
      </c>
    </row>
    <row r="816" customFormat="false" ht="15" hidden="false" customHeight="false" outlineLevel="0" collapsed="false">
      <c r="A816" s="0" t="s">
        <v>868</v>
      </c>
      <c r="B816" s="6" t="n">
        <v>40861</v>
      </c>
      <c r="C816" s="0" t="n">
        <v>17793</v>
      </c>
      <c r="D816" s="0" t="s">
        <v>42</v>
      </c>
      <c r="E816" s="0" t="n">
        <v>58</v>
      </c>
      <c r="F816" s="0" t="n">
        <v>323.04</v>
      </c>
      <c r="G816" s="0" t="s">
        <v>43</v>
      </c>
    </row>
    <row r="817" customFormat="false" ht="15" hidden="false" customHeight="false" outlineLevel="0" collapsed="false">
      <c r="A817" s="0" t="s">
        <v>869</v>
      </c>
      <c r="B817" s="6" t="n">
        <v>40862</v>
      </c>
      <c r="C817" s="0" t="n">
        <v>18259</v>
      </c>
      <c r="D817" s="0" t="s">
        <v>42</v>
      </c>
      <c r="E817" s="0" t="n">
        <v>14</v>
      </c>
      <c r="F817" s="0" t="n">
        <v>1070.4</v>
      </c>
      <c r="G817" s="0" t="s">
        <v>43</v>
      </c>
    </row>
    <row r="818" customFormat="false" ht="15" hidden="false" customHeight="false" outlineLevel="0" collapsed="false">
      <c r="A818" s="0" t="s">
        <v>870</v>
      </c>
      <c r="B818" s="6" t="n">
        <v>40862</v>
      </c>
      <c r="C818" s="0" t="n">
        <v>15514</v>
      </c>
      <c r="D818" s="0" t="s">
        <v>42</v>
      </c>
      <c r="E818" s="0" t="n">
        <v>2</v>
      </c>
      <c r="F818" s="0" t="n">
        <v>355.23</v>
      </c>
      <c r="G818" s="0" t="s">
        <v>43</v>
      </c>
    </row>
    <row r="819" customFormat="false" ht="15" hidden="false" customHeight="false" outlineLevel="0" collapsed="false">
      <c r="A819" s="0" t="s">
        <v>871</v>
      </c>
      <c r="B819" s="6" t="n">
        <v>40863</v>
      </c>
      <c r="C819" s="0" t="n">
        <v>17198</v>
      </c>
      <c r="D819" s="0" t="s">
        <v>42</v>
      </c>
      <c r="E819" s="0" t="n">
        <v>19</v>
      </c>
      <c r="F819" s="0" t="n">
        <v>170.56</v>
      </c>
      <c r="G819" s="0" t="s">
        <v>43</v>
      </c>
    </row>
    <row r="820" customFormat="false" ht="15" hidden="false" customHeight="false" outlineLevel="0" collapsed="false">
      <c r="A820" s="0" t="s">
        <v>872</v>
      </c>
      <c r="B820" s="6" t="n">
        <v>40863</v>
      </c>
      <c r="C820" s="0" t="n">
        <v>13575</v>
      </c>
      <c r="D820" s="0" t="s">
        <v>42</v>
      </c>
      <c r="E820" s="0" t="n">
        <v>7</v>
      </c>
      <c r="F820" s="0" t="n">
        <v>107.45</v>
      </c>
      <c r="G820" s="0" t="s">
        <v>43</v>
      </c>
    </row>
    <row r="821" customFormat="false" ht="15" hidden="false" customHeight="false" outlineLevel="0" collapsed="false">
      <c r="A821" s="0" t="s">
        <v>873</v>
      </c>
      <c r="B821" s="6" t="n">
        <v>40863</v>
      </c>
      <c r="C821" s="0" t="n">
        <v>13285</v>
      </c>
      <c r="D821" s="0" t="s">
        <v>42</v>
      </c>
      <c r="E821" s="0" t="n">
        <v>50</v>
      </c>
      <c r="F821" s="0" t="n">
        <v>739.02</v>
      </c>
      <c r="G821" s="0" t="s">
        <v>43</v>
      </c>
    </row>
    <row r="822" customFormat="false" ht="15" hidden="false" customHeight="false" outlineLevel="0" collapsed="false">
      <c r="A822" s="0" t="s">
        <v>874</v>
      </c>
      <c r="B822" s="6" t="n">
        <v>40864</v>
      </c>
      <c r="C822" s="0" t="n">
        <v>16929</v>
      </c>
      <c r="D822" s="0" t="s">
        <v>42</v>
      </c>
      <c r="E822" s="0" t="n">
        <v>10</v>
      </c>
      <c r="F822" s="0" t="n">
        <v>207.99</v>
      </c>
      <c r="G822" s="0" t="s">
        <v>43</v>
      </c>
    </row>
    <row r="823" customFormat="false" ht="15" hidden="false" customHeight="false" outlineLevel="0" collapsed="false">
      <c r="A823" s="0" t="s">
        <v>875</v>
      </c>
      <c r="B823" s="6" t="n">
        <v>40864</v>
      </c>
      <c r="C823" s="0" t="n">
        <v>14931</v>
      </c>
      <c r="D823" s="0" t="s">
        <v>613</v>
      </c>
      <c r="E823" s="0" t="n">
        <v>9</v>
      </c>
      <c r="F823" s="0" t="n">
        <v>211.63</v>
      </c>
      <c r="G823" s="0" t="s">
        <v>43</v>
      </c>
    </row>
    <row r="824" customFormat="false" ht="15" hidden="false" customHeight="false" outlineLevel="0" collapsed="false">
      <c r="A824" s="0" t="s">
        <v>876</v>
      </c>
      <c r="B824" s="6" t="n">
        <v>40864</v>
      </c>
      <c r="C824" s="0" t="n">
        <v>15124</v>
      </c>
      <c r="D824" s="0" t="s">
        <v>42</v>
      </c>
      <c r="E824" s="0" t="n">
        <v>6</v>
      </c>
      <c r="F824" s="0" t="n">
        <v>93.44</v>
      </c>
      <c r="G824" s="0" t="s">
        <v>43</v>
      </c>
    </row>
    <row r="825" customFormat="false" ht="15" hidden="false" customHeight="false" outlineLevel="0" collapsed="false">
      <c r="A825" s="0" t="s">
        <v>877</v>
      </c>
      <c r="B825" s="6" t="n">
        <v>40864</v>
      </c>
      <c r="C825" s="0" t="n">
        <v>12997</v>
      </c>
      <c r="D825" s="0" t="s">
        <v>42</v>
      </c>
      <c r="E825" s="0" t="n">
        <v>10</v>
      </c>
      <c r="F825" s="0" t="n">
        <v>310.5</v>
      </c>
      <c r="G825" s="0" t="s">
        <v>43</v>
      </c>
    </row>
    <row r="826" customFormat="false" ht="15" hidden="false" customHeight="false" outlineLevel="0" collapsed="false">
      <c r="A826" s="0" t="s">
        <v>878</v>
      </c>
      <c r="B826" s="6" t="n">
        <v>40868</v>
      </c>
      <c r="C826" s="0" t="n">
        <v>18080</v>
      </c>
      <c r="D826" s="0" t="s">
        <v>42</v>
      </c>
      <c r="E826" s="0" t="n">
        <v>1</v>
      </c>
      <c r="F826" s="0" t="n">
        <v>390</v>
      </c>
      <c r="G826" s="0" t="s">
        <v>43</v>
      </c>
    </row>
    <row r="827" customFormat="false" ht="15" hidden="false" customHeight="false" outlineLevel="0" collapsed="false">
      <c r="A827" s="0" t="s">
        <v>879</v>
      </c>
      <c r="B827" s="6" t="n">
        <v>40868</v>
      </c>
      <c r="C827" s="0" t="n">
        <v>16139</v>
      </c>
      <c r="D827" s="0" t="s">
        <v>42</v>
      </c>
      <c r="E827" s="0" t="n">
        <v>16</v>
      </c>
      <c r="F827" s="0" t="n">
        <v>329.04</v>
      </c>
      <c r="G827" s="0" t="s">
        <v>43</v>
      </c>
    </row>
    <row r="828" customFormat="false" ht="15" hidden="false" customHeight="false" outlineLevel="0" collapsed="false">
      <c r="A828" s="0" t="s">
        <v>880</v>
      </c>
      <c r="B828" s="6" t="n">
        <v>40869</v>
      </c>
      <c r="C828" s="0" t="n">
        <v>17949</v>
      </c>
      <c r="D828" s="0" t="s">
        <v>42</v>
      </c>
      <c r="E828" s="0" t="n">
        <v>1</v>
      </c>
      <c r="F828" s="0" t="n">
        <v>720</v>
      </c>
      <c r="G828" s="0" t="s">
        <v>43</v>
      </c>
    </row>
    <row r="829" customFormat="false" ht="15" hidden="false" customHeight="false" outlineLevel="0" collapsed="false">
      <c r="A829" s="0" t="s">
        <v>881</v>
      </c>
      <c r="B829" s="6" t="n">
        <v>40869</v>
      </c>
      <c r="C829" s="0" t="n">
        <v>17453</v>
      </c>
      <c r="D829" s="0" t="s">
        <v>42</v>
      </c>
      <c r="E829" s="0" t="n">
        <v>10</v>
      </c>
      <c r="F829" s="0" t="n">
        <v>144.72</v>
      </c>
      <c r="G829" s="0" t="s">
        <v>43</v>
      </c>
    </row>
    <row r="830" customFormat="false" ht="15" hidden="false" customHeight="false" outlineLevel="0" collapsed="false">
      <c r="A830" s="0" t="s">
        <v>882</v>
      </c>
      <c r="B830" s="6" t="n">
        <v>40869</v>
      </c>
      <c r="C830" s="0" t="n">
        <v>16929</v>
      </c>
      <c r="D830" s="0" t="s">
        <v>42</v>
      </c>
      <c r="E830" s="0" t="n">
        <v>14</v>
      </c>
      <c r="F830" s="0" t="n">
        <v>235.96</v>
      </c>
      <c r="G830" s="0" t="s">
        <v>43</v>
      </c>
    </row>
    <row r="831" customFormat="false" ht="15" hidden="false" customHeight="false" outlineLevel="0" collapsed="false">
      <c r="A831" s="0" t="s">
        <v>883</v>
      </c>
      <c r="B831" s="6" t="n">
        <v>40871</v>
      </c>
      <c r="C831" s="0" t="n">
        <v>15482</v>
      </c>
      <c r="D831" s="0" t="s">
        <v>42</v>
      </c>
      <c r="E831" s="0" t="n">
        <v>12</v>
      </c>
      <c r="F831" s="0" t="n">
        <v>2210.64</v>
      </c>
      <c r="G831" s="0" t="s">
        <v>43</v>
      </c>
    </row>
    <row r="832" customFormat="false" ht="15" hidden="false" customHeight="false" outlineLevel="0" collapsed="false">
      <c r="A832" s="0" t="s">
        <v>884</v>
      </c>
      <c r="B832" s="6" t="n">
        <v>40871</v>
      </c>
      <c r="C832" s="0" t="n">
        <v>15482</v>
      </c>
      <c r="D832" s="0" t="s">
        <v>42</v>
      </c>
      <c r="E832" s="0" t="n">
        <v>12</v>
      </c>
      <c r="F832" s="0" t="n">
        <v>-2210.64</v>
      </c>
      <c r="G832" s="0" t="s">
        <v>65</v>
      </c>
    </row>
    <row r="833" customFormat="false" ht="15" hidden="false" customHeight="false" outlineLevel="0" collapsed="false">
      <c r="A833" s="0" t="s">
        <v>885</v>
      </c>
      <c r="B833" s="6" t="n">
        <v>40871</v>
      </c>
      <c r="C833" s="0" t="n">
        <v>15482</v>
      </c>
      <c r="D833" s="0" t="s">
        <v>42</v>
      </c>
      <c r="E833" s="0" t="n">
        <v>12</v>
      </c>
      <c r="F833" s="0" t="n">
        <v>1092.1</v>
      </c>
      <c r="G833" s="0" t="s">
        <v>43</v>
      </c>
    </row>
    <row r="834" customFormat="false" ht="15" hidden="false" customHeight="false" outlineLevel="0" collapsed="false">
      <c r="A834" s="0" t="s">
        <v>886</v>
      </c>
      <c r="B834" s="6" t="n">
        <v>40871</v>
      </c>
      <c r="C834" s="0" t="n">
        <v>15514</v>
      </c>
      <c r="D834" s="0" t="s">
        <v>42</v>
      </c>
      <c r="E834" s="0" t="n">
        <v>26</v>
      </c>
      <c r="F834" s="0" t="n">
        <v>137.97</v>
      </c>
      <c r="G834" s="0" t="s">
        <v>43</v>
      </c>
    </row>
    <row r="835" customFormat="false" ht="15" hidden="false" customHeight="false" outlineLevel="0" collapsed="false">
      <c r="A835" s="0" t="s">
        <v>887</v>
      </c>
      <c r="B835" s="6" t="n">
        <v>40874</v>
      </c>
      <c r="C835" s="0" t="n">
        <v>15514</v>
      </c>
      <c r="D835" s="0" t="s">
        <v>42</v>
      </c>
      <c r="E835" s="0" t="n">
        <v>8</v>
      </c>
      <c r="F835" s="0" t="n">
        <v>499.23</v>
      </c>
      <c r="G835" s="0" t="s">
        <v>43</v>
      </c>
    </row>
    <row r="836" customFormat="false" ht="15" hidden="false" customHeight="false" outlineLevel="0" collapsed="false">
      <c r="A836" s="0" t="s">
        <v>888</v>
      </c>
      <c r="B836" s="6" t="n">
        <v>40875</v>
      </c>
      <c r="C836" s="0" t="n">
        <v>17299</v>
      </c>
      <c r="D836" s="0" t="s">
        <v>42</v>
      </c>
      <c r="E836" s="0" t="n">
        <v>4</v>
      </c>
      <c r="F836" s="0" t="n">
        <v>91.06</v>
      </c>
      <c r="G836" s="0" t="s">
        <v>43</v>
      </c>
    </row>
    <row r="837" customFormat="false" ht="15" hidden="false" customHeight="false" outlineLevel="0" collapsed="false">
      <c r="A837" s="0" t="s">
        <v>889</v>
      </c>
      <c r="B837" s="6" t="n">
        <v>40875</v>
      </c>
      <c r="C837" s="0" t="n">
        <v>18101</v>
      </c>
      <c r="D837" s="0" t="s">
        <v>42</v>
      </c>
      <c r="E837" s="0" t="n">
        <v>28</v>
      </c>
      <c r="F837" s="0" t="n">
        <v>113.42</v>
      </c>
      <c r="G837" s="0" t="s">
        <v>43</v>
      </c>
    </row>
    <row r="838" customFormat="false" ht="15" hidden="false" customHeight="false" outlineLevel="0" collapsed="false">
      <c r="A838" s="0" t="s">
        <v>890</v>
      </c>
      <c r="B838" s="6" t="n">
        <v>40878</v>
      </c>
      <c r="C838" s="0" t="n">
        <v>14243</v>
      </c>
      <c r="D838" s="0" t="s">
        <v>42</v>
      </c>
      <c r="E838" s="0" t="n">
        <v>6</v>
      </c>
      <c r="F838" s="0" t="n">
        <v>107.42</v>
      </c>
      <c r="G838" s="0" t="s">
        <v>43</v>
      </c>
    </row>
    <row r="839" customFormat="false" ht="15" hidden="false" customHeight="false" outlineLevel="0" collapsed="false">
      <c r="A839" s="0" t="s">
        <v>891</v>
      </c>
      <c r="B839" s="6" t="n">
        <v>40878</v>
      </c>
      <c r="C839" s="0" t="n">
        <v>17350</v>
      </c>
      <c r="D839" s="0" t="s">
        <v>42</v>
      </c>
      <c r="E839" s="0" t="n">
        <v>6</v>
      </c>
      <c r="F839" s="0" t="n">
        <v>322.74</v>
      </c>
      <c r="G839" s="0" t="s">
        <v>43</v>
      </c>
    </row>
    <row r="840" customFormat="false" ht="15" hidden="false" customHeight="false" outlineLevel="0" collapsed="false">
      <c r="A840" s="0" t="s">
        <v>892</v>
      </c>
      <c r="B840" s="6" t="n">
        <v>40878</v>
      </c>
      <c r="C840" s="0" t="n">
        <v>17350</v>
      </c>
      <c r="D840" s="0" t="s">
        <v>42</v>
      </c>
      <c r="E840" s="0" t="n">
        <v>4</v>
      </c>
      <c r="F840" s="0" t="n">
        <v>72.24</v>
      </c>
      <c r="G840" s="0" t="s">
        <v>43</v>
      </c>
    </row>
    <row r="841" customFormat="false" ht="15" hidden="false" customHeight="false" outlineLevel="0" collapsed="false">
      <c r="A841" s="0" t="s">
        <v>893</v>
      </c>
      <c r="B841" s="6" t="n">
        <v>40879</v>
      </c>
      <c r="C841" s="0" t="n">
        <v>17949</v>
      </c>
      <c r="D841" s="0" t="s">
        <v>42</v>
      </c>
      <c r="E841" s="0" t="n">
        <v>1</v>
      </c>
      <c r="F841" s="0" t="n">
        <v>81.36</v>
      </c>
      <c r="G841" s="0" t="s">
        <v>43</v>
      </c>
    </row>
    <row r="842" customFormat="false" ht="15" hidden="false" customHeight="false" outlineLevel="0" collapsed="false">
      <c r="A842" s="0" t="s">
        <v>894</v>
      </c>
      <c r="B842" s="6" t="n">
        <v>40879</v>
      </c>
      <c r="C842" s="0" t="n">
        <v>17949</v>
      </c>
      <c r="D842" s="0" t="s">
        <v>42</v>
      </c>
      <c r="E842" s="0" t="n">
        <v>1</v>
      </c>
      <c r="F842" s="0" t="n">
        <v>720</v>
      </c>
      <c r="G842" s="0" t="s">
        <v>43</v>
      </c>
    </row>
    <row r="843" customFormat="false" ht="15" hidden="false" customHeight="false" outlineLevel="0" collapsed="false">
      <c r="A843" s="0" t="s">
        <v>895</v>
      </c>
      <c r="B843" s="6" t="n">
        <v>40879</v>
      </c>
      <c r="C843" s="0" t="n">
        <v>17949</v>
      </c>
      <c r="D843" s="0" t="s">
        <v>42</v>
      </c>
      <c r="E843" s="0" t="n">
        <v>1</v>
      </c>
      <c r="F843" s="0" t="n">
        <v>-81.36</v>
      </c>
      <c r="G843" s="0" t="s">
        <v>65</v>
      </c>
    </row>
    <row r="844" customFormat="false" ht="15" hidden="false" customHeight="false" outlineLevel="0" collapsed="false">
      <c r="A844" s="0" t="s">
        <v>896</v>
      </c>
      <c r="B844" s="6" t="n">
        <v>40879</v>
      </c>
      <c r="C844" s="0" t="n">
        <v>17949</v>
      </c>
      <c r="D844" s="0" t="s">
        <v>42</v>
      </c>
      <c r="E844" s="0" t="n">
        <v>1</v>
      </c>
      <c r="F844" s="0" t="n">
        <v>129.36</v>
      </c>
      <c r="G844" s="0" t="s">
        <v>43</v>
      </c>
    </row>
    <row r="845" customFormat="false" ht="15" hidden="false" customHeight="false" outlineLevel="0" collapsed="false">
      <c r="A845" s="0" t="s">
        <v>897</v>
      </c>
      <c r="B845" s="6" t="n">
        <v>40879</v>
      </c>
      <c r="C845" s="0" t="n">
        <v>14594</v>
      </c>
      <c r="D845" s="0" t="s">
        <v>42</v>
      </c>
      <c r="E845" s="0" t="n">
        <v>22</v>
      </c>
      <c r="F845" s="0" t="n">
        <v>124.83</v>
      </c>
      <c r="G845" s="0" t="s">
        <v>43</v>
      </c>
    </row>
    <row r="846" customFormat="false" ht="15" hidden="false" customHeight="false" outlineLevel="0" collapsed="false">
      <c r="A846" s="0" t="s">
        <v>898</v>
      </c>
      <c r="B846" s="6" t="n">
        <v>40882</v>
      </c>
      <c r="C846" s="0" t="n">
        <v>18223</v>
      </c>
      <c r="D846" s="0" t="s">
        <v>42</v>
      </c>
      <c r="E846" s="0" t="n">
        <v>23</v>
      </c>
      <c r="F846" s="0" t="n">
        <v>578.72</v>
      </c>
      <c r="G846" s="0" t="s">
        <v>43</v>
      </c>
    </row>
    <row r="847" customFormat="false" ht="15" hidden="false" customHeight="false" outlineLevel="0" collapsed="false">
      <c r="A847" s="0" t="s">
        <v>899</v>
      </c>
      <c r="B847" s="6" t="n">
        <v>40882</v>
      </c>
      <c r="C847" s="0" t="n">
        <v>14931</v>
      </c>
      <c r="D847" s="0" t="s">
        <v>613</v>
      </c>
      <c r="E847" s="0" t="n">
        <v>5</v>
      </c>
      <c r="F847" s="0" t="n">
        <v>198.4</v>
      </c>
      <c r="G847" s="0" t="s">
        <v>43</v>
      </c>
    </row>
    <row r="848" customFormat="false" ht="15" hidden="false" customHeight="false" outlineLevel="0" collapsed="false">
      <c r="A848" s="0" t="s">
        <v>900</v>
      </c>
      <c r="B848" s="6" t="n">
        <v>40883</v>
      </c>
      <c r="C848" s="0" t="n">
        <v>16929</v>
      </c>
      <c r="D848" s="0" t="s">
        <v>42</v>
      </c>
      <c r="E848" s="0" t="n">
        <v>12</v>
      </c>
      <c r="F848" s="0" t="n">
        <v>205.94</v>
      </c>
      <c r="G848" s="0" t="s">
        <v>43</v>
      </c>
    </row>
    <row r="849" customFormat="false" ht="15" hidden="false" customHeight="false" outlineLevel="0" collapsed="false">
      <c r="A849" s="0" t="s">
        <v>901</v>
      </c>
      <c r="B849" s="6" t="n">
        <v>40883</v>
      </c>
      <c r="C849" s="0" t="n">
        <v>14543</v>
      </c>
      <c r="D849" s="0" t="s">
        <v>42</v>
      </c>
      <c r="E849" s="0" t="n">
        <v>4</v>
      </c>
      <c r="F849" s="0" t="n">
        <v>-32.05</v>
      </c>
      <c r="G849" s="0" t="s">
        <v>65</v>
      </c>
    </row>
    <row r="850" customFormat="false" ht="15" hidden="false" customHeight="false" outlineLevel="0" collapsed="false">
      <c r="A850" s="0" t="s">
        <v>902</v>
      </c>
      <c r="B850" s="6" t="n">
        <v>40885</v>
      </c>
      <c r="C850" s="0" t="n">
        <v>18223</v>
      </c>
      <c r="D850" s="0" t="s">
        <v>42</v>
      </c>
      <c r="E850" s="0" t="n">
        <v>2</v>
      </c>
      <c r="F850" s="0" t="n">
        <v>-3.8</v>
      </c>
      <c r="G850" s="0" t="s">
        <v>65</v>
      </c>
    </row>
    <row r="851" customFormat="false" ht="15" hidden="false" customHeight="false" outlineLevel="0" collapsed="false">
      <c r="A851" s="0" t="s">
        <v>903</v>
      </c>
      <c r="B851" s="6" t="n">
        <v>40885</v>
      </c>
      <c r="C851" s="0" t="n">
        <v>17668</v>
      </c>
      <c r="D851" s="0" t="s">
        <v>42</v>
      </c>
      <c r="E851" s="0" t="n">
        <v>7</v>
      </c>
      <c r="F851" s="0" t="n">
        <v>185.9</v>
      </c>
      <c r="G851" s="0" t="s">
        <v>43</v>
      </c>
    </row>
    <row r="852" customFormat="false" ht="15" hidden="false" customHeight="false" outlineLevel="0" collapsed="false">
      <c r="A852" s="0" t="s">
        <v>904</v>
      </c>
      <c r="B852" s="6" t="n">
        <v>40885</v>
      </c>
      <c r="C852" s="0" t="n">
        <v>17949</v>
      </c>
      <c r="D852" s="0" t="s">
        <v>42</v>
      </c>
      <c r="E852" s="0" t="n">
        <v>1</v>
      </c>
      <c r="F852" s="0" t="n">
        <v>1080</v>
      </c>
      <c r="G852" s="0" t="s">
        <v>43</v>
      </c>
    </row>
    <row r="853" customFormat="false" ht="15" hidden="false" customHeight="false" outlineLevel="0" collapsed="false">
      <c r="A853" s="0" t="s">
        <v>905</v>
      </c>
      <c r="B853" s="6" t="n">
        <v>40885</v>
      </c>
      <c r="C853" s="0" t="n">
        <v>17949</v>
      </c>
      <c r="D853" s="0" t="s">
        <v>42</v>
      </c>
      <c r="E853" s="0" t="n">
        <v>1</v>
      </c>
      <c r="F853" s="0" t="n">
        <v>864</v>
      </c>
      <c r="G853" s="0" t="s">
        <v>43</v>
      </c>
    </row>
    <row r="854" customFormat="false" ht="15" hidden="false" customHeight="false" outlineLevel="0" collapsed="false">
      <c r="A854" s="0" t="s">
        <v>906</v>
      </c>
      <c r="B854" s="6" t="n">
        <v>40886</v>
      </c>
      <c r="C854" s="0" t="n">
        <v>17581</v>
      </c>
      <c r="D854" s="0" t="s">
        <v>42</v>
      </c>
      <c r="E854" s="0" t="n">
        <v>30</v>
      </c>
      <c r="F854" s="0" t="n">
        <v>903.62</v>
      </c>
      <c r="G854" s="0" t="s">
        <v>43</v>
      </c>
    </row>
    <row r="855" customFormat="false" ht="15" hidden="false" customHeight="false" outlineLevel="0" collapsed="false">
      <c r="A855" s="0" t="s">
        <v>907</v>
      </c>
      <c r="B855" s="6" t="n">
        <v>40886</v>
      </c>
      <c r="C855" s="0" t="n">
        <v>17581</v>
      </c>
      <c r="D855" s="0" t="s">
        <v>42</v>
      </c>
      <c r="E855" s="0" t="n">
        <v>3</v>
      </c>
      <c r="F855" s="0" t="n">
        <v>51.18</v>
      </c>
      <c r="G855" s="0" t="s">
        <v>43</v>
      </c>
    </row>
    <row r="856" customFormat="false" ht="15" hidden="false" customHeight="false" outlineLevel="0" collapsed="false">
      <c r="A856" s="0" t="s">
        <v>908</v>
      </c>
      <c r="B856" s="6" t="n">
        <v>40886</v>
      </c>
      <c r="C856" s="0" t="n">
        <v>17581</v>
      </c>
      <c r="D856" s="0" t="s">
        <v>42</v>
      </c>
      <c r="E856" s="0" t="n">
        <v>2</v>
      </c>
      <c r="F856" s="0" t="n">
        <v>29.88</v>
      </c>
      <c r="G856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2026-10-30T04:40:41Z</dcterms:created>
  <dc:creator>openpyxl</dc:creator>
  <dc:description/>
  <dc:language>en-US</dc:language>
  <cp:lastModifiedBy/>
  <dcterms:modified xsi:type="dcterms:W3CDTF">2026-10-30T04:40:41Z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