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Orders" sheetId="2" state="visible" r:id="rId4"/>
    <sheet name="Catalog" sheetId="3" state="visible" r:id="rId5"/>
    <sheet name="Regions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de-learning</author>
  </authors>
  <commentList>
    <comment ref="G2" authorId="0">
      <text>
        <r>
          <rPr>
            <sz val="10"/>
            <rFont val="Arial"/>
            <family val="2"/>
          </rPr>
          <t xml:space="preserve">TODO: Mô tả từ Catalog (cột mã nằm BÊN PHẢI cột mô tả: dùng XLOOKUP hoặc INDEX/MATCH); không thấy → "NOT IN CATALOG"</t>
        </r>
      </text>
    </comment>
    <comment ref="H2" authorId="0">
      <text>
        <r>
          <rPr>
            <sz val="10"/>
            <rFont val="Arial"/>
            <family val="2"/>
          </rPr>
          <t xml:space="preserve">TODO: Giá niêm yết: VLOOKUP khớp chính xác (FALSE) trên Catalog!B:C; không thấy → "" (IFNA)</t>
        </r>
      </text>
    </comment>
    <comment ref="I2" authorId="0">
      <text>
        <r>
          <rPr>
            <sz val="10"/>
            <rFont val="Arial"/>
            <family val="2"/>
          </rPr>
          <t xml:space="preserve">TODO: EU / Non-EU từ bảng NGANG Regions (HLOOKUP)</t>
        </r>
      </text>
    </comment>
    <comment ref="J2" authorId="0">
      <text>
        <r>
          <rPr>
            <sz val="10"/>
            <rFont val="Arial"/>
            <family val="2"/>
          </rPr>
          <t xml:space="preserve">TODO: Quantity * Price</t>
        </r>
      </text>
    </comment>
    <comment ref="K2" authorId="0">
      <text>
        <r>
          <rPr>
            <sz val="10"/>
            <rFont val="Arial"/>
            <family val="2"/>
          </rPr>
          <t xml:space="preserve">TODO: Mức giảm so với giá niêm yết = 1 - Price/ListPrice; ListPrice trống → ""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de-learning</author>
  </authors>
  <commentList>
    <comment ref="B2" authorId="0">
      <text>
        <r>
          <rPr>
            <sz val="10"/>
            <rFont val="Arial"/>
            <family val="2"/>
          </rPr>
          <t xml:space="preserve">TODO: điền công thức</t>
        </r>
      </text>
    </comment>
    <comment ref="B3" authorId="0">
      <text>
        <r>
          <rPr>
            <sz val="10"/>
            <rFont val="Arial"/>
            <family val="2"/>
          </rPr>
          <t xml:space="preserve">TODO: điền công thức</t>
        </r>
      </text>
    </comment>
    <comment ref="B4" authorId="0">
      <text>
        <r>
          <rPr>
            <sz val="10"/>
            <rFont val="Arial"/>
            <family val="2"/>
          </rPr>
          <t xml:space="preserve">TODO: điền công thức</t>
        </r>
      </text>
    </comment>
    <comment ref="B5" authorId="0">
      <text>
        <r>
          <rPr>
            <sz val="10"/>
            <rFont val="Arial"/>
            <family val="2"/>
          </rPr>
          <t xml:space="preserve">TODO: điền công thức</t>
        </r>
      </text>
    </comment>
    <comment ref="B6" authorId="0">
      <text>
        <r>
          <rPr>
            <sz val="10"/>
            <rFont val="Arial"/>
            <family val="2"/>
          </rPr>
          <t xml:space="preserve">TODO: điền công thức</t>
        </r>
      </text>
    </comment>
    <comment ref="B9" authorId="0">
      <text>
        <r>
          <rPr>
            <sz val="10"/>
            <rFont val="Arial"/>
            <family val="2"/>
          </rPr>
          <t xml:space="preserve">TODO: điền công thức</t>
        </r>
      </text>
    </comment>
  </commentList>
</comments>
</file>

<file path=xl/sharedStrings.xml><?xml version="1.0" encoding="utf-8"?>
<sst xmlns="http://schemas.openxmlformats.org/spreadsheetml/2006/main" count="12835" uniqueCount="8518">
  <si>
    <t xml:space="preserve">Bài 02 — Tra cứu danh mục giá: XLOOKUP, VLOOKUP, HLOOKUP, INDEX/MATCH</t>
  </si>
  <si>
    <t xml:space="preserve">Nguồn dữ liệu</t>
  </si>
  <si>
    <t xml:space="preserve">Online Retail II (UCI Machine Learning Repository, Daqing Chen, 2019), https://archive.ics.uci.edu/dataset/502/online+retail+ii — giấy phép CC BY 4.0</t>
  </si>
  <si>
    <t xml:space="preserve">Trích mẫu</t>
  </si>
  <si>
    <t xml:space="preserve">Orders: 1518 dòng bán hợp lệ (không huỷ, Quantity &gt; 0, Price &gt; 0) của khách ngoài Anh, 01–09/12/2011, sheet 'Year 2010-2011'. Catalog: 4101 mã hàng của sheet 'Year 2009-2010' (năm trước), mô tả phổ biến nhất (đã TRIM) và giá niêm yết = giá xuất hiện nhiều nhất trên dòng hợp lệ. Regions: EU/Non-EU theo thành viên EU năm 2011.</t>
  </si>
  <si>
    <t xml:space="preserve">Giấy phép</t>
  </si>
  <si>
    <t xml:space="preserve">CC BY 4.0: được chia sẻ và chỉnh sửa, phải ghi nguồn như trên. Trích mẫu này chỉ để học.</t>
  </si>
  <si>
    <t xml:space="preserve">Quy ước</t>
  </si>
  <si>
    <t xml:space="preserve">Ô nền vàng là ô TODO: điền CÔNG THỨC (bắt đầu bằng =), không gõ số. Test đọc cả công thức lẫn giá trị.</t>
  </si>
  <si>
    <t xml:space="preserve">Lưu tệp</t>
  </si>
  <si>
    <t xml:space="preserve">LibreOffice: File &gt; Save, chọn 'Use Excel 2007-365!' (giữ định dạng .xlsx). Excel: Ctrl+S.</t>
  </si>
  <si>
    <t xml:space="preserve">Chạy test</t>
  </si>
  <si>
    <t xml:space="preserve">uv run pytest &lt;thư mục bài&gt; -q (xem lệnh trong đề bài trên app)</t>
  </si>
  <si>
    <t xml:space="preserve">Việc cần làm</t>
  </si>
  <si>
    <t xml:space="preserve">1. Sheet Orders: điền công thức hàng 2 các cột G–K (ô vàng) rồi kéo xuống hết bảng.</t>
  </si>
  <si>
    <t xml:space="preserve">2. Sheet Summary: điền B2:B6 và B9 (B9 dùng INDEX/MATCH tra giá của mã nhập ở B8).</t>
  </si>
  <si>
    <t xml:space="preserve">3. Lưu .xlsx rồi chạy test.</t>
  </si>
  <si>
    <t xml:space="preserve">Invoice</t>
  </si>
  <si>
    <t xml:space="preserve">InvoiceDate</t>
  </si>
  <si>
    <t xml:space="preserve">Country</t>
  </si>
  <si>
    <t xml:space="preserve">StockCode</t>
  </si>
  <si>
    <t xml:space="preserve">Quantity</t>
  </si>
  <si>
    <t xml:space="preserve">Price</t>
  </si>
  <si>
    <t xml:space="preserve">Description</t>
  </si>
  <si>
    <t xml:space="preserve">ListPrice</t>
  </si>
  <si>
    <t xml:space="preserve">Region</t>
  </si>
  <si>
    <t xml:space="preserve">LineValue</t>
  </si>
  <si>
    <t xml:space="preserve">DiscountPct</t>
  </si>
  <si>
    <t xml:space="preserve">579901</t>
  </si>
  <si>
    <t xml:space="preserve">Germany</t>
  </si>
  <si>
    <t xml:space="preserve">22055</t>
  </si>
  <si>
    <t xml:space="preserve">21232</t>
  </si>
  <si>
    <t xml:space="preserve">22649</t>
  </si>
  <si>
    <t xml:space="preserve">37448</t>
  </si>
  <si>
    <t xml:space="preserve">37447</t>
  </si>
  <si>
    <t xml:space="preserve">47559B</t>
  </si>
  <si>
    <t xml:space="preserve">47567B</t>
  </si>
  <si>
    <t xml:space="preserve">23578</t>
  </si>
  <si>
    <t xml:space="preserve">22398</t>
  </si>
  <si>
    <t xml:space="preserve">POST</t>
  </si>
  <si>
    <t xml:space="preserve">579910</t>
  </si>
  <si>
    <t xml:space="preserve">EIRE</t>
  </si>
  <si>
    <t xml:space="preserve">85034C</t>
  </si>
  <si>
    <t xml:space="preserve">23111</t>
  </si>
  <si>
    <t xml:space="preserve">21212</t>
  </si>
  <si>
    <t xml:space="preserve">84378</t>
  </si>
  <si>
    <t xml:space="preserve">20749</t>
  </si>
  <si>
    <t xml:space="preserve">20750</t>
  </si>
  <si>
    <t xml:space="preserve">20970</t>
  </si>
  <si>
    <t xml:space="preserve">22749</t>
  </si>
  <si>
    <t xml:space="preserve">22766</t>
  </si>
  <si>
    <t xml:space="preserve">20973</t>
  </si>
  <si>
    <t xml:space="preserve">21259</t>
  </si>
  <si>
    <t xml:space="preserve">21257</t>
  </si>
  <si>
    <t xml:space="preserve">22423</t>
  </si>
  <si>
    <t xml:space="preserve">23270</t>
  </si>
  <si>
    <t xml:space="preserve">C2</t>
  </si>
  <si>
    <t xml:space="preserve">579927</t>
  </si>
  <si>
    <t xml:space="preserve">22698</t>
  </si>
  <si>
    <t xml:space="preserve">22699</t>
  </si>
  <si>
    <t xml:space="preserve">22697</t>
  </si>
  <si>
    <t xml:space="preserve">21871</t>
  </si>
  <si>
    <t xml:space="preserve">22725</t>
  </si>
  <si>
    <t xml:space="preserve">22727</t>
  </si>
  <si>
    <t xml:space="preserve">22726</t>
  </si>
  <si>
    <t xml:space="preserve">22728</t>
  </si>
  <si>
    <t xml:space="preserve">22730</t>
  </si>
  <si>
    <t xml:space="preserve">22734</t>
  </si>
  <si>
    <t xml:space="preserve">23406</t>
  </si>
  <si>
    <t xml:space="preserve">22786</t>
  </si>
  <si>
    <t xml:space="preserve">23174</t>
  </si>
  <si>
    <t xml:space="preserve">21537</t>
  </si>
  <si>
    <t xml:space="preserve">23172</t>
  </si>
  <si>
    <t xml:space="preserve">23170</t>
  </si>
  <si>
    <t xml:space="preserve">23171</t>
  </si>
  <si>
    <t xml:space="preserve">23173</t>
  </si>
  <si>
    <t xml:space="preserve">22913</t>
  </si>
  <si>
    <t xml:space="preserve">22914</t>
  </si>
  <si>
    <t xml:space="preserve">22984</t>
  </si>
  <si>
    <t xml:space="preserve">23175</t>
  </si>
  <si>
    <t xml:space="preserve">580120</t>
  </si>
  <si>
    <t xml:space="preserve">France</t>
  </si>
  <si>
    <t xml:space="preserve">23084</t>
  </si>
  <si>
    <t xml:space="preserve">21731</t>
  </si>
  <si>
    <t xml:space="preserve">22355</t>
  </si>
  <si>
    <t xml:space="preserve">23390</t>
  </si>
  <si>
    <t xml:space="preserve">22385</t>
  </si>
  <si>
    <t xml:space="preserve">85099B</t>
  </si>
  <si>
    <t xml:space="preserve">22435</t>
  </si>
  <si>
    <t xml:space="preserve">22419</t>
  </si>
  <si>
    <t xml:space="preserve">51014L</t>
  </si>
  <si>
    <t xml:space="preserve">580123</t>
  </si>
  <si>
    <t xml:space="preserve">Finland</t>
  </si>
  <si>
    <t xml:space="preserve">84997C</t>
  </si>
  <si>
    <t xml:space="preserve">84997D</t>
  </si>
  <si>
    <t xml:space="preserve">84997A</t>
  </si>
  <si>
    <t xml:space="preserve">580124</t>
  </si>
  <si>
    <t xml:space="preserve">23176</t>
  </si>
  <si>
    <t xml:space="preserve">22138</t>
  </si>
  <si>
    <t xml:space="preserve">22139</t>
  </si>
  <si>
    <t xml:space="preserve">22617</t>
  </si>
  <si>
    <t xml:space="preserve">23080</t>
  </si>
  <si>
    <t xml:space="preserve">22379</t>
  </si>
  <si>
    <t xml:space="preserve">20712</t>
  </si>
  <si>
    <t xml:space="preserve">35471D</t>
  </si>
  <si>
    <t xml:space="preserve">22153</t>
  </si>
  <si>
    <t xml:space="preserve">23212</t>
  </si>
  <si>
    <t xml:space="preserve">23311</t>
  </si>
  <si>
    <t xml:space="preserve">23312</t>
  </si>
  <si>
    <t xml:space="preserve">22834</t>
  </si>
  <si>
    <t xml:space="preserve">580126</t>
  </si>
  <si>
    <t xml:space="preserve">23318</t>
  </si>
  <si>
    <t xml:space="preserve">23319</t>
  </si>
  <si>
    <t xml:space="preserve">22821</t>
  </si>
  <si>
    <t xml:space="preserve">23354</t>
  </si>
  <si>
    <t xml:space="preserve">23437</t>
  </si>
  <si>
    <t xml:space="preserve">23545</t>
  </si>
  <si>
    <t xml:space="preserve">23349</t>
  </si>
  <si>
    <t xml:space="preserve">23076</t>
  </si>
  <si>
    <t xml:space="preserve">22752</t>
  </si>
  <si>
    <t xml:space="preserve">23494</t>
  </si>
  <si>
    <t xml:space="preserve">23493</t>
  </si>
  <si>
    <t xml:space="preserve">20726</t>
  </si>
  <si>
    <t xml:space="preserve">22662</t>
  </si>
  <si>
    <t xml:space="preserve">22974</t>
  </si>
  <si>
    <t xml:space="preserve">22972</t>
  </si>
  <si>
    <t xml:space="preserve">22970</t>
  </si>
  <si>
    <t xml:space="preserve">22301</t>
  </si>
  <si>
    <t xml:space="preserve">580127</t>
  </si>
  <si>
    <t xml:space="preserve">22043</t>
  </si>
  <si>
    <t xml:space="preserve">22909</t>
  </si>
  <si>
    <t xml:space="preserve">23220</t>
  </si>
  <si>
    <t xml:space="preserve">23224</t>
  </si>
  <si>
    <t xml:space="preserve">23225</t>
  </si>
  <si>
    <t xml:space="preserve">23221</t>
  </si>
  <si>
    <t xml:space="preserve">22574</t>
  </si>
  <si>
    <t xml:space="preserve">22576</t>
  </si>
  <si>
    <t xml:space="preserve">23264</t>
  </si>
  <si>
    <t xml:space="preserve">22601</t>
  </si>
  <si>
    <t xml:space="preserve">21790</t>
  </si>
  <si>
    <t xml:space="preserve">21705</t>
  </si>
  <si>
    <t xml:space="preserve">71053</t>
  </si>
  <si>
    <t xml:space="preserve">22312</t>
  </si>
  <si>
    <t xml:space="preserve">22311</t>
  </si>
  <si>
    <t xml:space="preserve">21914</t>
  </si>
  <si>
    <t xml:space="preserve">22065</t>
  </si>
  <si>
    <t xml:space="preserve">23320</t>
  </si>
  <si>
    <t xml:space="preserve">580144</t>
  </si>
  <si>
    <t xml:space="preserve">22557</t>
  </si>
  <si>
    <t xml:space="preserve">22553</t>
  </si>
  <si>
    <t xml:space="preserve">22620</t>
  </si>
  <si>
    <t xml:space="preserve">22556</t>
  </si>
  <si>
    <t xml:space="preserve">580152</t>
  </si>
  <si>
    <t xml:space="preserve">Belgium</t>
  </si>
  <si>
    <t xml:space="preserve">21499</t>
  </si>
  <si>
    <t xml:space="preserve">21500</t>
  </si>
  <si>
    <t xml:space="preserve">16169M</t>
  </si>
  <si>
    <t xml:space="preserve">21498</t>
  </si>
  <si>
    <t xml:space="preserve">21495</t>
  </si>
  <si>
    <t xml:space="preserve">22704</t>
  </si>
  <si>
    <t xml:space="preserve">22046</t>
  </si>
  <si>
    <t xml:space="preserve">22045</t>
  </si>
  <si>
    <t xml:space="preserve">22706</t>
  </si>
  <si>
    <t xml:space="preserve">22707</t>
  </si>
  <si>
    <t xml:space="preserve">22708</t>
  </si>
  <si>
    <t xml:space="preserve">16156L</t>
  </si>
  <si>
    <t xml:space="preserve">16156S</t>
  </si>
  <si>
    <t xml:space="preserve">16161U</t>
  </si>
  <si>
    <t xml:space="preserve">22908</t>
  </si>
  <si>
    <t xml:space="preserve">22613</t>
  </si>
  <si>
    <t xml:space="preserve">22712</t>
  </si>
  <si>
    <t xml:space="preserve">21199</t>
  </si>
  <si>
    <t xml:space="preserve">21508</t>
  </si>
  <si>
    <t xml:space="preserve">22716</t>
  </si>
  <si>
    <t xml:space="preserve">21380</t>
  </si>
  <si>
    <t xml:space="preserve">21207</t>
  </si>
  <si>
    <t xml:space="preserve">21126</t>
  </si>
  <si>
    <t xml:space="preserve">21197</t>
  </si>
  <si>
    <t xml:space="preserve">22907</t>
  </si>
  <si>
    <t xml:space="preserve">580153</t>
  </si>
  <si>
    <t xml:space="preserve">Portugal</t>
  </si>
  <si>
    <t xml:space="preserve">22558</t>
  </si>
  <si>
    <t xml:space="preserve">22924</t>
  </si>
  <si>
    <t xml:space="preserve">22923</t>
  </si>
  <si>
    <t xml:space="preserve">22922</t>
  </si>
  <si>
    <t xml:space="preserve">22403</t>
  </si>
  <si>
    <t xml:space="preserve">22402</t>
  </si>
  <si>
    <t xml:space="preserve">22400</t>
  </si>
  <si>
    <t xml:space="preserve">22396</t>
  </si>
  <si>
    <t xml:space="preserve">22399</t>
  </si>
  <si>
    <t xml:space="preserve">22115</t>
  </si>
  <si>
    <t xml:space="preserve">82567</t>
  </si>
  <si>
    <t xml:space="preserve">21165</t>
  </si>
  <si>
    <t xml:space="preserve">21164</t>
  </si>
  <si>
    <t xml:space="preserve">22948</t>
  </si>
  <si>
    <t xml:space="preserve">21172</t>
  </si>
  <si>
    <t xml:space="preserve">82581</t>
  </si>
  <si>
    <t xml:space="preserve">82580</t>
  </si>
  <si>
    <t xml:space="preserve">21770</t>
  </si>
  <si>
    <t xml:space="preserve">21175</t>
  </si>
  <si>
    <t xml:space="preserve">21908</t>
  </si>
  <si>
    <t xml:space="preserve">23426</t>
  </si>
  <si>
    <t xml:space="preserve">21166</t>
  </si>
  <si>
    <t xml:space="preserve">85152</t>
  </si>
  <si>
    <t xml:space="preserve">21181</t>
  </si>
  <si>
    <t xml:space="preserve">82600</t>
  </si>
  <si>
    <t xml:space="preserve">22413</t>
  </si>
  <si>
    <t xml:space="preserve">21169</t>
  </si>
  <si>
    <t xml:space="preserve">21907</t>
  </si>
  <si>
    <t xml:space="preserve">23552</t>
  </si>
  <si>
    <t xml:space="preserve">23108</t>
  </si>
  <si>
    <t xml:space="preserve">22466</t>
  </si>
  <si>
    <t xml:space="preserve">22210</t>
  </si>
  <si>
    <t xml:space="preserve">22208</t>
  </si>
  <si>
    <t xml:space="preserve">23569</t>
  </si>
  <si>
    <t xml:space="preserve">22964</t>
  </si>
  <si>
    <t xml:space="preserve">22966</t>
  </si>
  <si>
    <t xml:space="preserve">22416</t>
  </si>
  <si>
    <t xml:space="preserve">22417</t>
  </si>
  <si>
    <t xml:space="preserve">84992</t>
  </si>
  <si>
    <t xml:space="preserve">22951</t>
  </si>
  <si>
    <t xml:space="preserve">580154</t>
  </si>
  <si>
    <t xml:space="preserve">22624</t>
  </si>
  <si>
    <t xml:space="preserve">22626</t>
  </si>
  <si>
    <t xml:space="preserve">21481</t>
  </si>
  <si>
    <t xml:space="preserve">580158</t>
  </si>
  <si>
    <t xml:space="preserve">USA</t>
  </si>
  <si>
    <t xml:space="preserve">23344</t>
  </si>
  <si>
    <t xml:space="preserve">23209</t>
  </si>
  <si>
    <t xml:space="preserve">79191C</t>
  </si>
  <si>
    <t xml:space="preserve">23392</t>
  </si>
  <si>
    <t xml:space="preserve">84828</t>
  </si>
  <si>
    <t xml:space="preserve">23158</t>
  </si>
  <si>
    <t xml:space="preserve">21507</t>
  </si>
  <si>
    <t xml:space="preserve">22027</t>
  </si>
  <si>
    <t xml:space="preserve">580160</t>
  </si>
  <si>
    <t xml:space="preserve">23480</t>
  </si>
  <si>
    <t xml:space="preserve">23571</t>
  </si>
  <si>
    <t xml:space="preserve">23582</t>
  </si>
  <si>
    <t xml:space="preserve">21544</t>
  </si>
  <si>
    <t xml:space="preserve">85099F</t>
  </si>
  <si>
    <t xml:space="preserve">23343</t>
  </si>
  <si>
    <t xml:space="preserve">22551</t>
  </si>
  <si>
    <t xml:space="preserve">22554</t>
  </si>
  <si>
    <t xml:space="preserve">22555</t>
  </si>
  <si>
    <t xml:space="preserve">22635</t>
  </si>
  <si>
    <t xml:space="preserve">23508</t>
  </si>
  <si>
    <t xml:space="preserve">23345</t>
  </si>
  <si>
    <t xml:space="preserve">22636</t>
  </si>
  <si>
    <t xml:space="preserve">22302</t>
  </si>
  <si>
    <t xml:space="preserve">22303</t>
  </si>
  <si>
    <t xml:space="preserve">22306</t>
  </si>
  <si>
    <t xml:space="preserve">23191</t>
  </si>
  <si>
    <t xml:space="preserve">23192</t>
  </si>
  <si>
    <t xml:space="preserve">20724</t>
  </si>
  <si>
    <t xml:space="preserve">22661</t>
  </si>
  <si>
    <t xml:space="preserve">20723</t>
  </si>
  <si>
    <t xml:space="preserve">21156</t>
  </si>
  <si>
    <t xml:space="preserve">22898</t>
  </si>
  <si>
    <t xml:space="preserve">22299</t>
  </si>
  <si>
    <t xml:space="preserve">22646</t>
  </si>
  <si>
    <t xml:space="preserve">23198</t>
  </si>
  <si>
    <t xml:space="preserve">22352</t>
  </si>
  <si>
    <t xml:space="preserve">21558</t>
  </si>
  <si>
    <t xml:space="preserve">21559</t>
  </si>
  <si>
    <t xml:space="preserve">21561</t>
  </si>
  <si>
    <t xml:space="preserve">23290</t>
  </si>
  <si>
    <t xml:space="preserve">22561</t>
  </si>
  <si>
    <t xml:space="preserve">23235</t>
  </si>
  <si>
    <t xml:space="preserve">23244</t>
  </si>
  <si>
    <t xml:space="preserve">23298</t>
  </si>
  <si>
    <t xml:space="preserve">47566</t>
  </si>
  <si>
    <t xml:space="preserve">580265</t>
  </si>
  <si>
    <t xml:space="preserve">20713</t>
  </si>
  <si>
    <t xml:space="preserve">23200</t>
  </si>
  <si>
    <t xml:space="preserve">22386</t>
  </si>
  <si>
    <t xml:space="preserve">580281</t>
  </si>
  <si>
    <t xml:space="preserve">23560</t>
  </si>
  <si>
    <t xml:space="preserve">580285</t>
  </si>
  <si>
    <t xml:space="preserve">23284</t>
  </si>
  <si>
    <t xml:space="preserve">84913B</t>
  </si>
  <si>
    <t xml:space="preserve">22357</t>
  </si>
  <si>
    <t xml:space="preserve">580509</t>
  </si>
  <si>
    <t xml:space="preserve">22376</t>
  </si>
  <si>
    <t xml:space="preserve">23556</t>
  </si>
  <si>
    <t xml:space="preserve">90201B</t>
  </si>
  <si>
    <t xml:space="preserve">47578A</t>
  </si>
  <si>
    <t xml:space="preserve">23367</t>
  </si>
  <si>
    <t xml:space="preserve">23366</t>
  </si>
  <si>
    <t xml:space="preserve">84580</t>
  </si>
  <si>
    <t xml:space="preserve">23504</t>
  </si>
  <si>
    <t xml:space="preserve">21892</t>
  </si>
  <si>
    <t xml:space="preserve">22549</t>
  </si>
  <si>
    <t xml:space="preserve">21791</t>
  </si>
  <si>
    <t xml:space="preserve">23077</t>
  </si>
  <si>
    <t xml:space="preserve">23368</t>
  </si>
  <si>
    <t xml:space="preserve">21623</t>
  </si>
  <si>
    <t xml:space="preserve">22111</t>
  </si>
  <si>
    <t xml:space="preserve">23356</t>
  </si>
  <si>
    <t xml:space="preserve">580511</t>
  </si>
  <si>
    <t xml:space="preserve">21485</t>
  </si>
  <si>
    <t xml:space="preserve">22722</t>
  </si>
  <si>
    <t xml:space="preserve">22865</t>
  </si>
  <si>
    <t xml:space="preserve">22867</t>
  </si>
  <si>
    <t xml:space="preserve">22993</t>
  </si>
  <si>
    <t xml:space="preserve">23240</t>
  </si>
  <si>
    <t xml:space="preserve">23236</t>
  </si>
  <si>
    <t xml:space="preserve">22629</t>
  </si>
  <si>
    <t xml:space="preserve">22029</t>
  </si>
  <si>
    <t xml:space="preserve">23389</t>
  </si>
  <si>
    <t xml:space="preserve">22630</t>
  </si>
  <si>
    <t xml:space="preserve">84510A</t>
  </si>
  <si>
    <t xml:space="preserve">22692</t>
  </si>
  <si>
    <t xml:space="preserve">22915</t>
  </si>
  <si>
    <t xml:space="preserve">21154</t>
  </si>
  <si>
    <t xml:space="preserve">22632</t>
  </si>
  <si>
    <t xml:space="preserve">23237</t>
  </si>
  <si>
    <t xml:space="preserve">21484</t>
  </si>
  <si>
    <t xml:space="preserve">580512</t>
  </si>
  <si>
    <t xml:space="preserve">21389</t>
  </si>
  <si>
    <t xml:space="preserve">21114</t>
  </si>
  <si>
    <t xml:space="preserve">21452</t>
  </si>
  <si>
    <t xml:space="preserve">23473</t>
  </si>
  <si>
    <t xml:space="preserve">23475</t>
  </si>
  <si>
    <t xml:space="preserve">23583</t>
  </si>
  <si>
    <t xml:space="preserve">580528</t>
  </si>
  <si>
    <t xml:space="preserve">21115</t>
  </si>
  <si>
    <t xml:space="preserve">21411</t>
  </si>
  <si>
    <t xml:space="preserve">21408</t>
  </si>
  <si>
    <t xml:space="preserve">21462</t>
  </si>
  <si>
    <t xml:space="preserve">22119</t>
  </si>
  <si>
    <t xml:space="preserve">22123</t>
  </si>
  <si>
    <t xml:space="preserve">22182</t>
  </si>
  <si>
    <t xml:space="preserve">22393</t>
  </si>
  <si>
    <t xml:space="preserve">22446</t>
  </si>
  <si>
    <t xml:space="preserve">22448</t>
  </si>
  <si>
    <t xml:space="preserve">22473</t>
  </si>
  <si>
    <t xml:space="preserve">22509</t>
  </si>
  <si>
    <t xml:space="preserve">22721</t>
  </si>
  <si>
    <t xml:space="preserve">22754</t>
  </si>
  <si>
    <t xml:space="preserve">22753</t>
  </si>
  <si>
    <t xml:space="preserve">22799</t>
  </si>
  <si>
    <t xml:space="preserve">70006</t>
  </si>
  <si>
    <t xml:space="preserve">84031A</t>
  </si>
  <si>
    <t xml:space="preserve">72819</t>
  </si>
  <si>
    <t xml:space="preserve">84819</t>
  </si>
  <si>
    <t xml:space="preserve">22577</t>
  </si>
  <si>
    <t xml:space="preserve">22578</t>
  </si>
  <si>
    <t xml:space="preserve">23146</t>
  </si>
  <si>
    <t xml:space="preserve">22110</t>
  </si>
  <si>
    <t xml:space="preserve">85183B</t>
  </si>
  <si>
    <t xml:space="preserve">85183A</t>
  </si>
  <si>
    <t xml:space="preserve">85178</t>
  </si>
  <si>
    <t xml:space="preserve">580531</t>
  </si>
  <si>
    <t xml:space="preserve">22223</t>
  </si>
  <si>
    <t xml:space="preserve">22471</t>
  </si>
  <si>
    <t xml:space="preserve">580534</t>
  </si>
  <si>
    <t xml:space="preserve">23199</t>
  </si>
  <si>
    <t xml:space="preserve">85099C</t>
  </si>
  <si>
    <t xml:space="preserve">580536</t>
  </si>
  <si>
    <t xml:space="preserve">21881</t>
  </si>
  <si>
    <t xml:space="preserve">20719</t>
  </si>
  <si>
    <t xml:space="preserve">22619</t>
  </si>
  <si>
    <t xml:space="preserve">23203</t>
  </si>
  <si>
    <t xml:space="preserve">23202</t>
  </si>
  <si>
    <t xml:space="preserve">23204</t>
  </si>
  <si>
    <t xml:space="preserve">22356</t>
  </si>
  <si>
    <t xml:space="preserve">22381</t>
  </si>
  <si>
    <t xml:space="preserve">16169E</t>
  </si>
  <si>
    <t xml:space="preserve">23115</t>
  </si>
  <si>
    <t xml:space="preserve">20682</t>
  </si>
  <si>
    <t xml:space="preserve">21880</t>
  </si>
  <si>
    <t xml:space="preserve">22090</t>
  </si>
  <si>
    <t xml:space="preserve">22628</t>
  </si>
  <si>
    <t xml:space="preserve">580545</t>
  </si>
  <si>
    <t xml:space="preserve">23418</t>
  </si>
  <si>
    <t xml:space="preserve">23398</t>
  </si>
  <si>
    <t xml:space="preserve">23455</t>
  </si>
  <si>
    <t xml:space="preserve">21891</t>
  </si>
  <si>
    <t xml:space="preserve">23570</t>
  </si>
  <si>
    <t xml:space="preserve">580548</t>
  </si>
  <si>
    <t xml:space="preserve">22625</t>
  </si>
  <si>
    <t xml:space="preserve">580553</t>
  </si>
  <si>
    <t xml:space="preserve">21242</t>
  </si>
  <si>
    <t xml:space="preserve">21243</t>
  </si>
  <si>
    <t xml:space="preserve">21245</t>
  </si>
  <si>
    <t xml:space="preserve">21238</t>
  </si>
  <si>
    <t xml:space="preserve">21239</t>
  </si>
  <si>
    <t xml:space="preserve">84997B</t>
  </si>
  <si>
    <t xml:space="preserve">23328</t>
  </si>
  <si>
    <t xml:space="preserve">23303</t>
  </si>
  <si>
    <t xml:space="preserve">23305</t>
  </si>
  <si>
    <t xml:space="preserve">23304</t>
  </si>
  <si>
    <t xml:space="preserve">20677</t>
  </si>
  <si>
    <t xml:space="preserve">20674</t>
  </si>
  <si>
    <t xml:space="preserve">20675</t>
  </si>
  <si>
    <t xml:space="preserve">20676</t>
  </si>
  <si>
    <t xml:space="preserve">20975</t>
  </si>
  <si>
    <t xml:space="preserve">22083</t>
  </si>
  <si>
    <t xml:space="preserve">21240</t>
  </si>
  <si>
    <t xml:space="preserve">580555</t>
  </si>
  <si>
    <t xml:space="preserve">23314</t>
  </si>
  <si>
    <t xml:space="preserve">23382</t>
  </si>
  <si>
    <t xml:space="preserve">23272</t>
  </si>
  <si>
    <t xml:space="preserve">23273</t>
  </si>
  <si>
    <t xml:space="preserve">23274</t>
  </si>
  <si>
    <t xml:space="preserve">23086</t>
  </si>
  <si>
    <t xml:space="preserve">21733</t>
  </si>
  <si>
    <t xml:space="preserve">23321</t>
  </si>
  <si>
    <t xml:space="preserve">23332</t>
  </si>
  <si>
    <t xml:space="preserve">23099</t>
  </si>
  <si>
    <t xml:space="preserve">22767</t>
  </si>
  <si>
    <t xml:space="preserve">85123A</t>
  </si>
  <si>
    <t xml:space="preserve">580557</t>
  </si>
  <si>
    <t xml:space="preserve">22465</t>
  </si>
  <si>
    <t xml:space="preserve">84970L</t>
  </si>
  <si>
    <t xml:space="preserve">22169</t>
  </si>
  <si>
    <t xml:space="preserve">580558</t>
  </si>
  <si>
    <t xml:space="preserve">Channel Islands</t>
  </si>
  <si>
    <t xml:space="preserve">22086</t>
  </si>
  <si>
    <t xml:space="preserve">22910</t>
  </si>
  <si>
    <t xml:space="preserve">21621</t>
  </si>
  <si>
    <t xml:space="preserve">23503</t>
  </si>
  <si>
    <t xml:space="preserve">23355</t>
  </si>
  <si>
    <t xml:space="preserve">580638</t>
  </si>
  <si>
    <t xml:space="preserve">Norway</t>
  </si>
  <si>
    <t xml:space="preserve">22720</t>
  </si>
  <si>
    <t xml:space="preserve">21976</t>
  </si>
  <si>
    <t xml:space="preserve">580648</t>
  </si>
  <si>
    <t xml:space="preserve">23351</t>
  </si>
  <si>
    <t xml:space="preserve">23353</t>
  </si>
  <si>
    <t xml:space="preserve">23489</t>
  </si>
  <si>
    <t xml:space="preserve">23266</t>
  </si>
  <si>
    <t xml:space="preserve">23265</t>
  </si>
  <si>
    <t xml:space="preserve">22654</t>
  </si>
  <si>
    <t xml:space="preserve">580704</t>
  </si>
  <si>
    <t xml:space="preserve">Sweden</t>
  </si>
  <si>
    <t xml:space="preserve">580705</t>
  </si>
  <si>
    <t xml:space="preserve">22816</t>
  </si>
  <si>
    <t xml:space="preserve">22895</t>
  </si>
  <si>
    <t xml:space="preserve">22973</t>
  </si>
  <si>
    <t xml:space="preserve">22328</t>
  </si>
  <si>
    <t xml:space="preserve">23245</t>
  </si>
  <si>
    <t xml:space="preserve">21035</t>
  </si>
  <si>
    <t xml:space="preserve">22627</t>
  </si>
  <si>
    <t xml:space="preserve">21086</t>
  </si>
  <si>
    <t xml:space="preserve">21987</t>
  </si>
  <si>
    <t xml:space="preserve">21988</t>
  </si>
  <si>
    <t xml:space="preserve">21094</t>
  </si>
  <si>
    <t xml:space="preserve">21989</t>
  </si>
  <si>
    <t xml:space="preserve">21080</t>
  </si>
  <si>
    <t xml:space="preserve">23156</t>
  </si>
  <si>
    <t xml:space="preserve">22437</t>
  </si>
  <si>
    <t xml:space="preserve">23295</t>
  </si>
  <si>
    <t xml:space="preserve">23293</t>
  </si>
  <si>
    <t xml:space="preserve">23231</t>
  </si>
  <si>
    <t xml:space="preserve">23250</t>
  </si>
  <si>
    <t xml:space="preserve">580706</t>
  </si>
  <si>
    <t xml:space="preserve">580716</t>
  </si>
  <si>
    <t xml:space="preserve">Denmark</t>
  </si>
  <si>
    <t xml:space="preserve">85227</t>
  </si>
  <si>
    <t xml:space="preserve">16237</t>
  </si>
  <si>
    <t xml:space="preserve">21576</t>
  </si>
  <si>
    <t xml:space="preserve">21579</t>
  </si>
  <si>
    <t xml:space="preserve">22631</t>
  </si>
  <si>
    <t xml:space="preserve">580734</t>
  </si>
  <si>
    <t xml:space="preserve">20725</t>
  </si>
  <si>
    <t xml:space="preserve">20728</t>
  </si>
  <si>
    <t xml:space="preserve">23581</t>
  </si>
  <si>
    <t xml:space="preserve">20718</t>
  </si>
  <si>
    <t xml:space="preserve">21430</t>
  </si>
  <si>
    <t xml:space="preserve">22114</t>
  </si>
  <si>
    <t xml:space="preserve">84375</t>
  </si>
  <si>
    <t xml:space="preserve">23357</t>
  </si>
  <si>
    <t xml:space="preserve">22600</t>
  </si>
  <si>
    <t xml:space="preserve">22602</t>
  </si>
  <si>
    <t xml:space="preserve">580736</t>
  </si>
  <si>
    <t xml:space="preserve">23580</t>
  </si>
  <si>
    <t xml:space="preserve">21706</t>
  </si>
  <si>
    <t xml:space="preserve">21707</t>
  </si>
  <si>
    <t xml:space="preserve">22431</t>
  </si>
  <si>
    <t xml:space="preserve">22367</t>
  </si>
  <si>
    <t xml:space="preserve">22326</t>
  </si>
  <si>
    <t xml:space="preserve">85114C</t>
  </si>
  <si>
    <t xml:space="preserve">22610</t>
  </si>
  <si>
    <t xml:space="preserve">23505</t>
  </si>
  <si>
    <t xml:space="preserve">580746</t>
  </si>
  <si>
    <t xml:space="preserve">Italy</t>
  </si>
  <si>
    <t xml:space="preserve">22847</t>
  </si>
  <si>
    <t xml:space="preserve">22846</t>
  </si>
  <si>
    <t xml:space="preserve">22667</t>
  </si>
  <si>
    <t xml:space="preserve">48138</t>
  </si>
  <si>
    <t xml:space="preserve">580752</t>
  </si>
  <si>
    <t xml:space="preserve">Greece</t>
  </si>
  <si>
    <t xml:space="preserve">20685</t>
  </si>
  <si>
    <t xml:space="preserve">22941</t>
  </si>
  <si>
    <t xml:space="preserve">20727</t>
  </si>
  <si>
    <t xml:space="preserve">21479</t>
  </si>
  <si>
    <t xml:space="preserve">22584</t>
  </si>
  <si>
    <t xml:space="preserve">22037</t>
  </si>
  <si>
    <t xml:space="preserve">20983</t>
  </si>
  <si>
    <t xml:space="preserve">20982</t>
  </si>
  <si>
    <t xml:space="preserve">22940</t>
  </si>
  <si>
    <t xml:space="preserve">22750</t>
  </si>
  <si>
    <t xml:space="preserve">22623</t>
  </si>
  <si>
    <t xml:space="preserve">22327</t>
  </si>
  <si>
    <t xml:space="preserve">23256</t>
  </si>
  <si>
    <t xml:space="preserve">22382</t>
  </si>
  <si>
    <t xml:space="preserve">23254</t>
  </si>
  <si>
    <t xml:space="preserve">22899</t>
  </si>
  <si>
    <t xml:space="preserve">580753</t>
  </si>
  <si>
    <t xml:space="preserve">21931</t>
  </si>
  <si>
    <t xml:space="preserve">23040</t>
  </si>
  <si>
    <t xml:space="preserve">22596</t>
  </si>
  <si>
    <t xml:space="preserve">22456</t>
  </si>
  <si>
    <t xml:space="preserve">48185</t>
  </si>
  <si>
    <t xml:space="preserve">21977</t>
  </si>
  <si>
    <t xml:space="preserve">23163</t>
  </si>
  <si>
    <t xml:space="preserve">23020</t>
  </si>
  <si>
    <t xml:space="preserve">22467</t>
  </si>
  <si>
    <t xml:space="preserve">580756</t>
  </si>
  <si>
    <t xml:space="preserve">72800E</t>
  </si>
  <si>
    <t xml:space="preserve">23255</t>
  </si>
  <si>
    <t xml:space="preserve">580955</t>
  </si>
  <si>
    <t xml:space="preserve">Spain</t>
  </si>
  <si>
    <t xml:space="preserve">21974</t>
  </si>
  <si>
    <t xml:space="preserve">23597</t>
  </si>
  <si>
    <t xml:space="preserve">21209</t>
  </si>
  <si>
    <t xml:space="preserve">21981</t>
  </si>
  <si>
    <t xml:space="preserve">21982</t>
  </si>
  <si>
    <t xml:space="preserve">21980</t>
  </si>
  <si>
    <t xml:space="preserve">23546</t>
  </si>
  <si>
    <t xml:space="preserve">21121</t>
  </si>
  <si>
    <t xml:space="preserve">580965</t>
  </si>
  <si>
    <t xml:space="preserve">23576</t>
  </si>
  <si>
    <t xml:space="preserve">23562</t>
  </si>
  <si>
    <t xml:space="preserve">23007</t>
  </si>
  <si>
    <t xml:space="preserve">23241</t>
  </si>
  <si>
    <t xml:space="preserve">21135</t>
  </si>
  <si>
    <t xml:space="preserve">22944</t>
  </si>
  <si>
    <t xml:space="preserve">22959</t>
  </si>
  <si>
    <t xml:space="preserve">16161P</t>
  </si>
  <si>
    <t xml:space="preserve">22666</t>
  </si>
  <si>
    <t xml:space="preserve">23243</t>
  </si>
  <si>
    <t xml:space="preserve">21218</t>
  </si>
  <si>
    <t xml:space="preserve">580979</t>
  </si>
  <si>
    <t xml:space="preserve">23238</t>
  </si>
  <si>
    <t xml:space="preserve">23292</t>
  </si>
  <si>
    <t xml:space="preserve">23391</t>
  </si>
  <si>
    <t xml:space="preserve">23369</t>
  </si>
  <si>
    <t xml:space="preserve">21704</t>
  </si>
  <si>
    <t xml:space="preserve">23598</t>
  </si>
  <si>
    <t xml:space="preserve">580986</t>
  </si>
  <si>
    <t xml:space="preserve">22757</t>
  </si>
  <si>
    <t xml:space="preserve">22758</t>
  </si>
  <si>
    <t xml:space="preserve">22755</t>
  </si>
  <si>
    <t xml:space="preserve">22756</t>
  </si>
  <si>
    <t xml:space="preserve">22390</t>
  </si>
  <si>
    <t xml:space="preserve">21425</t>
  </si>
  <si>
    <t xml:space="preserve">21427</t>
  </si>
  <si>
    <t xml:space="preserve">21935</t>
  </si>
  <si>
    <t xml:space="preserve">22713</t>
  </si>
  <si>
    <t xml:space="preserve">22024</t>
  </si>
  <si>
    <t xml:space="preserve">23579</t>
  </si>
  <si>
    <t xml:space="preserve">581000</t>
  </si>
  <si>
    <t xml:space="preserve">22961</t>
  </si>
  <si>
    <t xml:space="preserve">21531</t>
  </si>
  <si>
    <t xml:space="preserve">22960</t>
  </si>
  <si>
    <t xml:space="preserve">22723</t>
  </si>
  <si>
    <t xml:space="preserve">22072</t>
  </si>
  <si>
    <t xml:space="preserve">84820</t>
  </si>
  <si>
    <t xml:space="preserve">23294</t>
  </si>
  <si>
    <t xml:space="preserve">581001</t>
  </si>
  <si>
    <t xml:space="preserve">22540</t>
  </si>
  <si>
    <t xml:space="preserve">22544</t>
  </si>
  <si>
    <t xml:space="preserve">23515</t>
  </si>
  <si>
    <t xml:space="preserve">23388</t>
  </si>
  <si>
    <t xml:space="preserve">581003</t>
  </si>
  <si>
    <t xml:space="preserve">21912</t>
  </si>
  <si>
    <t xml:space="preserve">22197</t>
  </si>
  <si>
    <t xml:space="preserve">21889</t>
  </si>
  <si>
    <t xml:space="preserve">22550</t>
  </si>
  <si>
    <t xml:space="preserve">21109</t>
  </si>
  <si>
    <t xml:space="preserve">22107</t>
  </si>
  <si>
    <t xml:space="preserve">22343</t>
  </si>
  <si>
    <t xml:space="preserve">22405</t>
  </si>
  <si>
    <t xml:space="preserve">23137</t>
  </si>
  <si>
    <t xml:space="preserve">23302</t>
  </si>
  <si>
    <t xml:space="preserve">23415</t>
  </si>
  <si>
    <t xml:space="preserve">23417</t>
  </si>
  <si>
    <t xml:space="preserve">23358</t>
  </si>
  <si>
    <t xml:space="preserve">84661A</t>
  </si>
  <si>
    <t xml:space="preserve">84661B</t>
  </si>
  <si>
    <t xml:space="preserve">84817</t>
  </si>
  <si>
    <t xml:space="preserve">23498</t>
  </si>
  <si>
    <t xml:space="preserve">22112</t>
  </si>
  <si>
    <t xml:space="preserve">22797</t>
  </si>
  <si>
    <t xml:space="preserve">21523</t>
  </si>
  <si>
    <t xml:space="preserve">48194</t>
  </si>
  <si>
    <t xml:space="preserve">22483</t>
  </si>
  <si>
    <t xml:space="preserve">84347</t>
  </si>
  <si>
    <t xml:space="preserve">85053</t>
  </si>
  <si>
    <t xml:space="preserve">21494</t>
  </si>
  <si>
    <t xml:space="preserve">22634</t>
  </si>
  <si>
    <t xml:space="preserve">51014A</t>
  </si>
  <si>
    <t xml:space="preserve">84536A</t>
  </si>
  <si>
    <t xml:space="preserve">20985</t>
  </si>
  <si>
    <t xml:space="preserve">22474</t>
  </si>
  <si>
    <t xml:space="preserve">22472</t>
  </si>
  <si>
    <t xml:space="preserve">47504H</t>
  </si>
  <si>
    <t xml:space="preserve">21975</t>
  </si>
  <si>
    <t xml:space="preserve">23461</t>
  </si>
  <si>
    <t xml:space="preserve">22607</t>
  </si>
  <si>
    <t xml:space="preserve">22605</t>
  </si>
  <si>
    <t xml:space="preserve">23107</t>
  </si>
  <si>
    <t xml:space="preserve">22384</t>
  </si>
  <si>
    <t xml:space="preserve">581006</t>
  </si>
  <si>
    <t xml:space="preserve">22269</t>
  </si>
  <si>
    <t xml:space="preserve">23186</t>
  </si>
  <si>
    <t xml:space="preserve">22278</t>
  </si>
  <si>
    <t xml:space="preserve">22464</t>
  </si>
  <si>
    <t xml:space="preserve">21162</t>
  </si>
  <si>
    <t xml:space="preserve">23307</t>
  </si>
  <si>
    <t xml:space="preserve">84993A</t>
  </si>
  <si>
    <t xml:space="preserve">84991</t>
  </si>
  <si>
    <t xml:space="preserve">23114</t>
  </si>
  <si>
    <t xml:space="preserve">23495</t>
  </si>
  <si>
    <t xml:space="preserve">22424</t>
  </si>
  <si>
    <t xml:space="preserve">23208</t>
  </si>
  <si>
    <t xml:space="preserve">21469</t>
  </si>
  <si>
    <t xml:space="preserve">21843</t>
  </si>
  <si>
    <t xml:space="preserve">22283</t>
  </si>
  <si>
    <t xml:space="preserve">23104</t>
  </si>
  <si>
    <t xml:space="preserve">22937</t>
  </si>
  <si>
    <t xml:space="preserve">22932</t>
  </si>
  <si>
    <t xml:space="preserve">22931</t>
  </si>
  <si>
    <t xml:space="preserve">20914</t>
  </si>
  <si>
    <t xml:space="preserve">581098</t>
  </si>
  <si>
    <t xml:space="preserve">23467</t>
  </si>
  <si>
    <t xml:space="preserve">22457</t>
  </si>
  <si>
    <t xml:space="preserve">23499</t>
  </si>
  <si>
    <t xml:space="preserve">22488</t>
  </si>
  <si>
    <t xml:space="preserve">23453</t>
  </si>
  <si>
    <t xml:space="preserve">23326</t>
  </si>
  <si>
    <t xml:space="preserve">23479</t>
  </si>
  <si>
    <t xml:space="preserve">21196</t>
  </si>
  <si>
    <t xml:space="preserve">21198</t>
  </si>
  <si>
    <t xml:space="preserve">22690</t>
  </si>
  <si>
    <t xml:space="preserve">21524</t>
  </si>
  <si>
    <t xml:space="preserve">48129</t>
  </si>
  <si>
    <t xml:space="preserve">48184</t>
  </si>
  <si>
    <t xml:space="preserve">23109</t>
  </si>
  <si>
    <t xml:space="preserve">21284</t>
  </si>
  <si>
    <t xml:space="preserve">21285</t>
  </si>
  <si>
    <t xml:space="preserve">21286</t>
  </si>
  <si>
    <t xml:space="preserve">21534</t>
  </si>
  <si>
    <t xml:space="preserve">85014B</t>
  </si>
  <si>
    <t xml:space="preserve">35970</t>
  </si>
  <si>
    <t xml:space="preserve">23058</t>
  </si>
  <si>
    <t xml:space="preserve">23103</t>
  </si>
  <si>
    <t xml:space="preserve">22571</t>
  </si>
  <si>
    <t xml:space="preserve">23210</t>
  </si>
  <si>
    <t xml:space="preserve">22771</t>
  </si>
  <si>
    <t xml:space="preserve">21672</t>
  </si>
  <si>
    <t xml:space="preserve">22774</t>
  </si>
  <si>
    <t xml:space="preserve">23029</t>
  </si>
  <si>
    <t xml:space="preserve">23026</t>
  </si>
  <si>
    <t xml:space="preserve">23035</t>
  </si>
  <si>
    <t xml:space="preserve">22567</t>
  </si>
  <si>
    <t xml:space="preserve">15056BL</t>
  </si>
  <si>
    <t xml:space="preserve">22791</t>
  </si>
  <si>
    <t xml:space="preserve">23168</t>
  </si>
  <si>
    <t xml:space="preserve">23419</t>
  </si>
  <si>
    <t xml:space="preserve">21742</t>
  </si>
  <si>
    <t xml:space="preserve">22782</t>
  </si>
  <si>
    <t xml:space="preserve">581171</t>
  </si>
  <si>
    <t xml:space="preserve">23118</t>
  </si>
  <si>
    <t xml:space="preserve">21509</t>
  </si>
  <si>
    <t xml:space="preserve">22028</t>
  </si>
  <si>
    <t xml:space="preserve">21258</t>
  </si>
  <si>
    <t xml:space="preserve">84077</t>
  </si>
  <si>
    <t xml:space="preserve">23154</t>
  </si>
  <si>
    <t xml:space="preserve">581175</t>
  </si>
  <si>
    <t xml:space="preserve">Netherlands</t>
  </si>
  <si>
    <t xml:space="preserve">23280</t>
  </si>
  <si>
    <t xml:space="preserve">23281</t>
  </si>
  <si>
    <t xml:space="preserve">23575</t>
  </si>
  <si>
    <t xml:space="preserve">23446</t>
  </si>
  <si>
    <t xml:space="preserve">22814</t>
  </si>
  <si>
    <t xml:space="preserve">23440</t>
  </si>
  <si>
    <t xml:space="preserve">22175</t>
  </si>
  <si>
    <t xml:space="preserve">21564</t>
  </si>
  <si>
    <t xml:space="preserve">21563</t>
  </si>
  <si>
    <t xml:space="preserve">22539</t>
  </si>
  <si>
    <t xml:space="preserve">22905</t>
  </si>
  <si>
    <t xml:space="preserve">84805B</t>
  </si>
  <si>
    <t xml:space="preserve">84804B</t>
  </si>
  <si>
    <t xml:space="preserve">84806A</t>
  </si>
  <si>
    <t xml:space="preserve">23561</t>
  </si>
  <si>
    <t xml:space="preserve">23229</t>
  </si>
  <si>
    <t xml:space="preserve">22432</t>
  </si>
  <si>
    <t xml:space="preserve">23483</t>
  </si>
  <si>
    <t xml:space="preserve">23447</t>
  </si>
  <si>
    <t xml:space="preserve">47593B</t>
  </si>
  <si>
    <t xml:space="preserve">23081</t>
  </si>
  <si>
    <t xml:space="preserve">21671</t>
  </si>
  <si>
    <t xml:space="preserve">22487</t>
  </si>
  <si>
    <t xml:space="preserve">22489</t>
  </si>
  <si>
    <t xml:space="preserve">22563</t>
  </si>
  <si>
    <t xml:space="preserve">581176</t>
  </si>
  <si>
    <t xml:space="preserve">22795</t>
  </si>
  <si>
    <t xml:space="preserve">23112</t>
  </si>
  <si>
    <t xml:space="preserve">581179</t>
  </si>
  <si>
    <t xml:space="preserve">22621</t>
  </si>
  <si>
    <t xml:space="preserve">23197</t>
  </si>
  <si>
    <t xml:space="preserve">23445</t>
  </si>
  <si>
    <t xml:space="preserve">23559</t>
  </si>
  <si>
    <t xml:space="preserve">23113</t>
  </si>
  <si>
    <t xml:space="preserve">23347</t>
  </si>
  <si>
    <t xml:space="preserve">23346</t>
  </si>
  <si>
    <t xml:space="preserve">23474</t>
  </si>
  <si>
    <t xml:space="preserve">84012</t>
  </si>
  <si>
    <t xml:space="preserve">581180</t>
  </si>
  <si>
    <t xml:space="preserve">Iceland</t>
  </si>
  <si>
    <t xml:space="preserve">23497</t>
  </si>
  <si>
    <t xml:space="preserve">21064</t>
  </si>
  <si>
    <t xml:space="preserve">84625A</t>
  </si>
  <si>
    <t xml:space="preserve">21265</t>
  </si>
  <si>
    <t xml:space="preserve">23271</t>
  </si>
  <si>
    <t xml:space="preserve">23506</t>
  </si>
  <si>
    <t xml:space="preserve">581182</t>
  </si>
  <si>
    <t xml:space="preserve">20831</t>
  </si>
  <si>
    <t xml:space="preserve">21128</t>
  </si>
  <si>
    <t xml:space="preserve">22199</t>
  </si>
  <si>
    <t xml:space="preserve">22203</t>
  </si>
  <si>
    <t xml:space="preserve">22442</t>
  </si>
  <si>
    <t xml:space="preserve">22496</t>
  </si>
  <si>
    <t xml:space="preserve">22366</t>
  </si>
  <si>
    <t xml:space="preserve">581183</t>
  </si>
  <si>
    <t xml:space="preserve">22200</t>
  </si>
  <si>
    <t xml:space="preserve">22057</t>
  </si>
  <si>
    <t xml:space="preserve">22059</t>
  </si>
  <si>
    <t xml:space="preserve">22063</t>
  </si>
  <si>
    <t xml:space="preserve">22124</t>
  </si>
  <si>
    <t xml:space="preserve">581184</t>
  </si>
  <si>
    <t xml:space="preserve">22221</t>
  </si>
  <si>
    <t xml:space="preserve">22475</t>
  </si>
  <si>
    <t xml:space="preserve">22776</t>
  </si>
  <si>
    <t xml:space="preserve">22220</t>
  </si>
  <si>
    <t xml:space="preserve">581193</t>
  </si>
  <si>
    <t xml:space="preserve">72349B</t>
  </si>
  <si>
    <t xml:space="preserve">85034B</t>
  </si>
  <si>
    <t xml:space="preserve">84843</t>
  </si>
  <si>
    <t xml:space="preserve">21216</t>
  </si>
  <si>
    <t xml:space="preserve">22469</t>
  </si>
  <si>
    <t xml:space="preserve">21883</t>
  </si>
  <si>
    <t xml:space="preserve">22645</t>
  </si>
  <si>
    <t xml:space="preserve">22644</t>
  </si>
  <si>
    <t xml:space="preserve">22219</t>
  </si>
  <si>
    <t xml:space="preserve">23227</t>
  </si>
  <si>
    <t xml:space="preserve">23263</t>
  </si>
  <si>
    <t xml:space="preserve">72741</t>
  </si>
  <si>
    <t xml:space="preserve">23452</t>
  </si>
  <si>
    <t xml:space="preserve">22851</t>
  </si>
  <si>
    <t xml:space="preserve">22896</t>
  </si>
  <si>
    <t xml:space="preserve">22391</t>
  </si>
  <si>
    <t xml:space="preserve">23454</t>
  </si>
  <si>
    <t xml:space="preserve">84535B</t>
  </si>
  <si>
    <t xml:space="preserve">23372</t>
  </si>
  <si>
    <t xml:space="preserve">23371</t>
  </si>
  <si>
    <t xml:space="preserve">23289</t>
  </si>
  <si>
    <t xml:space="preserve">23291</t>
  </si>
  <si>
    <t xml:space="preserve">85232D</t>
  </si>
  <si>
    <t xml:space="preserve">23247</t>
  </si>
  <si>
    <t xml:space="preserve">581232</t>
  </si>
  <si>
    <t xml:space="preserve">Austria</t>
  </si>
  <si>
    <t xml:space="preserve">20679</t>
  </si>
  <si>
    <t xml:space="preserve">15056N</t>
  </si>
  <si>
    <t xml:space="preserve">15056P</t>
  </si>
  <si>
    <t xml:space="preserve">581266</t>
  </si>
  <si>
    <t xml:space="preserve">21519</t>
  </si>
  <si>
    <t xml:space="preserve">22709</t>
  </si>
  <si>
    <t xml:space="preserve">23233</t>
  </si>
  <si>
    <t xml:space="preserve">23232</t>
  </si>
  <si>
    <t xml:space="preserve">22818</t>
  </si>
  <si>
    <t xml:space="preserve">22736</t>
  </si>
  <si>
    <t xml:space="preserve">22739</t>
  </si>
  <si>
    <t xml:space="preserve">22737</t>
  </si>
  <si>
    <t xml:space="preserve">22738</t>
  </si>
  <si>
    <t xml:space="preserve">22564</t>
  </si>
  <si>
    <t xml:space="preserve">22077</t>
  </si>
  <si>
    <t xml:space="preserve">22078</t>
  </si>
  <si>
    <t xml:space="preserve">23053</t>
  </si>
  <si>
    <t xml:space="preserve">22992</t>
  </si>
  <si>
    <t xml:space="preserve">21628</t>
  </si>
  <si>
    <t xml:space="preserve">22547</t>
  </si>
  <si>
    <t xml:space="preserve">84006</t>
  </si>
  <si>
    <t xml:space="preserve">17003</t>
  </si>
  <si>
    <t xml:space="preserve">21703</t>
  </si>
  <si>
    <t xml:space="preserve">21208</t>
  </si>
  <si>
    <t xml:space="preserve">21194</t>
  </si>
  <si>
    <t xml:space="preserve">16008</t>
  </si>
  <si>
    <t xml:space="preserve">85032C</t>
  </si>
  <si>
    <t xml:space="preserve">85032B</t>
  </si>
  <si>
    <t xml:space="preserve">22075</t>
  </si>
  <si>
    <t xml:space="preserve">22074</t>
  </si>
  <si>
    <t xml:space="preserve">22438</t>
  </si>
  <si>
    <t xml:space="preserve">23239</t>
  </si>
  <si>
    <t xml:space="preserve">581279</t>
  </si>
  <si>
    <t xml:space="preserve">22215</t>
  </si>
  <si>
    <t xml:space="preserve">581338</t>
  </si>
  <si>
    <t xml:space="preserve">581433</t>
  </si>
  <si>
    <t xml:space="preserve">22942</t>
  </si>
  <si>
    <t xml:space="preserve">22784</t>
  </si>
  <si>
    <t xml:space="preserve">21155</t>
  </si>
  <si>
    <t xml:space="preserve">21442</t>
  </si>
  <si>
    <t xml:space="preserve">22410</t>
  </si>
  <si>
    <t xml:space="preserve">22395</t>
  </si>
  <si>
    <t xml:space="preserve">22647</t>
  </si>
  <si>
    <t xml:space="preserve">22743</t>
  </si>
  <si>
    <t xml:space="preserve">22744</t>
  </si>
  <si>
    <t xml:space="preserve">22742</t>
  </si>
  <si>
    <t xml:space="preserve">23522</t>
  </si>
  <si>
    <t xml:space="preserve">72799E</t>
  </si>
  <si>
    <t xml:space="preserve">84509G</t>
  </si>
  <si>
    <t xml:space="preserve">84707B</t>
  </si>
  <si>
    <t xml:space="preserve">84821</t>
  </si>
  <si>
    <t xml:space="preserve">22171</t>
  </si>
  <si>
    <t xml:space="preserve">21108</t>
  </si>
  <si>
    <t xml:space="preserve">21111</t>
  </si>
  <si>
    <t xml:space="preserve">82486</t>
  </si>
  <si>
    <t xml:space="preserve">84509B</t>
  </si>
  <si>
    <t xml:space="preserve">22282</t>
  </si>
  <si>
    <t xml:space="preserve">23110</t>
  </si>
  <si>
    <t xml:space="preserve">22768</t>
  </si>
  <si>
    <t xml:space="preserve">22796</t>
  </si>
  <si>
    <t xml:space="preserve">21210</t>
  </si>
  <si>
    <t xml:space="preserve">23341</t>
  </si>
  <si>
    <t xml:space="preserve">22192</t>
  </si>
  <si>
    <t xml:space="preserve">48187</t>
  </si>
  <si>
    <t xml:space="preserve">79302M</t>
  </si>
  <si>
    <t xml:space="preserve">581476</t>
  </si>
  <si>
    <t xml:space="preserve">23184</t>
  </si>
  <si>
    <t xml:space="preserve">23167</t>
  </si>
  <si>
    <t xml:space="preserve">23166</t>
  </si>
  <si>
    <t xml:space="preserve">23165</t>
  </si>
  <si>
    <t xml:space="preserve">23004</t>
  </si>
  <si>
    <t xml:space="preserve">23002</t>
  </si>
  <si>
    <t xml:space="preserve">23000</t>
  </si>
  <si>
    <t xml:space="preserve">22998</t>
  </si>
  <si>
    <t xml:space="preserve">22994</t>
  </si>
  <si>
    <t xml:space="preserve">22835</t>
  </si>
  <si>
    <t xml:space="preserve">22693</t>
  </si>
  <si>
    <t xml:space="preserve">22670</t>
  </si>
  <si>
    <t xml:space="preserve">21874</t>
  </si>
  <si>
    <t xml:space="preserve">21872</t>
  </si>
  <si>
    <t xml:space="preserve">21533</t>
  </si>
  <si>
    <t xml:space="preserve">21248</t>
  </si>
  <si>
    <t xml:space="preserve">21159</t>
  </si>
  <si>
    <t xml:space="preserve">21158</t>
  </si>
  <si>
    <t xml:space="preserve">16016</t>
  </si>
  <si>
    <t xml:space="preserve">16014</t>
  </si>
  <si>
    <t xml:space="preserve">84596F</t>
  </si>
  <si>
    <t xml:space="preserve">84596B</t>
  </si>
  <si>
    <t xml:space="preserve">72760B</t>
  </si>
  <si>
    <t xml:space="preserve">72232</t>
  </si>
  <si>
    <t xml:space="preserve">23430</t>
  </si>
  <si>
    <t xml:space="preserve">23429</t>
  </si>
  <si>
    <t xml:space="preserve">23428</t>
  </si>
  <si>
    <t xml:space="preserve">581491</t>
  </si>
  <si>
    <t xml:space="preserve">581493</t>
  </si>
  <si>
    <t xml:space="preserve">79190B</t>
  </si>
  <si>
    <t xml:space="preserve">79190A</t>
  </si>
  <si>
    <t xml:space="preserve">22151</t>
  </si>
  <si>
    <t xml:space="preserve">79191B</t>
  </si>
  <si>
    <t xml:space="preserve">71459</t>
  </si>
  <si>
    <t xml:space="preserve">84945</t>
  </si>
  <si>
    <t xml:space="preserve">22252</t>
  </si>
  <si>
    <t xml:space="preserve">22807</t>
  </si>
  <si>
    <t xml:space="preserve">581494</t>
  </si>
  <si>
    <t xml:space="preserve">21506</t>
  </si>
  <si>
    <t xml:space="preserve">22633</t>
  </si>
  <si>
    <t xml:space="preserve">10125</t>
  </si>
  <si>
    <t xml:space="preserve">581570</t>
  </si>
  <si>
    <t xml:space="preserve">22141</t>
  </si>
  <si>
    <t xml:space="preserve">22331</t>
  </si>
  <si>
    <t xml:space="preserve">22505</t>
  </si>
  <si>
    <t xml:space="preserve">581574</t>
  </si>
  <si>
    <t xml:space="preserve">581578</t>
  </si>
  <si>
    <t xml:space="preserve">21124</t>
  </si>
  <si>
    <t xml:space="preserve">21122</t>
  </si>
  <si>
    <t xml:space="preserve">22976</t>
  </si>
  <si>
    <t xml:space="preserve">21918</t>
  </si>
  <si>
    <t xml:space="preserve">22991</t>
  </si>
  <si>
    <t xml:space="preserve">22622</t>
  </si>
  <si>
    <t xml:space="preserve">23037</t>
  </si>
  <si>
    <t xml:space="preserve">23550</t>
  </si>
  <si>
    <t xml:space="preserve">22711</t>
  </si>
  <si>
    <t xml:space="preserve">21497</t>
  </si>
  <si>
    <t xml:space="preserve">22585</t>
  </si>
  <si>
    <t xml:space="preserve">23205</t>
  </si>
  <si>
    <t xml:space="preserve">23201</t>
  </si>
  <si>
    <t xml:space="preserve">22081</t>
  </si>
  <si>
    <t xml:space="preserve">22080</t>
  </si>
  <si>
    <t xml:space="preserve">23215</t>
  </si>
  <si>
    <t xml:space="preserve">581587</t>
  </si>
  <si>
    <t xml:space="preserve">*Boombox Ipod Classic</t>
  </si>
  <si>
    <t xml:space="preserve">21120</t>
  </si>
  <si>
    <t xml:space="preserve">*USB Office Glitter Lamp</t>
  </si>
  <si>
    <t xml:space="preserve">20739</t>
  </si>
  <si>
    <t xml:space="preserve">*USB Office Mirror Ball</t>
  </si>
  <si>
    <t xml:space="preserve">20954</t>
  </si>
  <si>
    <t xml:space="preserve">10 COLOUR SPACEBOY PEN</t>
  </si>
  <si>
    <t xml:space="preserve">22418</t>
  </si>
  <si>
    <t xml:space="preserve">12 ASS ZINC CHRISTMAS DECORATIONS</t>
  </si>
  <si>
    <t xml:space="preserve">35962</t>
  </si>
  <si>
    <t xml:space="preserve">12 COLOURED PARTY BALLOONS</t>
  </si>
  <si>
    <t xml:space="preserve">22436</t>
  </si>
  <si>
    <t xml:space="preserve">12 DAISY PEGS IN WOOD BOX</t>
  </si>
  <si>
    <t xml:space="preserve">21448</t>
  </si>
  <si>
    <t xml:space="preserve">12 EGG HOUSE PAINTED WOOD</t>
  </si>
  <si>
    <t xml:space="preserve">12 IVORY ROSE PEG PLACE SETTINGS</t>
  </si>
  <si>
    <t xml:space="preserve">21447</t>
  </si>
  <si>
    <t xml:space="preserve">12 MESSAGE CARDS WITH ENVELOPES</t>
  </si>
  <si>
    <t xml:space="preserve">22906</t>
  </si>
  <si>
    <t xml:space="preserve">12 MINI TOADSTOOL PEGS</t>
  </si>
  <si>
    <t xml:space="preserve">21440</t>
  </si>
  <si>
    <t xml:space="preserve">12 PENCIL SMALL TUBE WOODLAND</t>
  </si>
  <si>
    <t xml:space="preserve">12 PENCILS SMALL TUBE POSY</t>
  </si>
  <si>
    <t xml:space="preserve">20976</t>
  </si>
  <si>
    <t xml:space="preserve">12 PENCILS SMALL TUBE RED SPOTTY</t>
  </si>
  <si>
    <t xml:space="preserve">12 PENCILS SMALL TUBE SKULL</t>
  </si>
  <si>
    <t xml:space="preserve">20974</t>
  </si>
  <si>
    <t xml:space="preserve">12 PENCILS TALL TUBE POSY</t>
  </si>
  <si>
    <t xml:space="preserve">20984</t>
  </si>
  <si>
    <t xml:space="preserve">12 PENCILS TALL TUBE RED SPOTTY</t>
  </si>
  <si>
    <t xml:space="preserve">12 PENCILS TALL TUBE SKULLS</t>
  </si>
  <si>
    <t xml:space="preserve">12 PENCILS TALL TUBE WOODLAND</t>
  </si>
  <si>
    <t xml:space="preserve">20981</t>
  </si>
  <si>
    <t xml:space="preserve">12 PINK HEN+CHICKS IN BASKET</t>
  </si>
  <si>
    <t xml:space="preserve">84461</t>
  </si>
  <si>
    <t xml:space="preserve">12 PINK ROSE PEG PLACE SETTINGS</t>
  </si>
  <si>
    <t xml:space="preserve">21445</t>
  </si>
  <si>
    <t xml:space="preserve">12 RED ROSE PEG PLACE SETTINGS</t>
  </si>
  <si>
    <t xml:space="preserve">21446</t>
  </si>
  <si>
    <t xml:space="preserve">15 PINK FLUFFY CHICKS IN BOX</t>
  </si>
  <si>
    <t xml:space="preserve">84465</t>
  </si>
  <si>
    <t xml:space="preserve">15CM CHRISTMAS GLASS BALL 20 LIGHTS</t>
  </si>
  <si>
    <t xml:space="preserve">85048</t>
  </si>
  <si>
    <t xml:space="preserve">2 DAISIES HAIR COMB</t>
  </si>
  <si>
    <t xml:space="preserve">90168</t>
  </si>
  <si>
    <t xml:space="preserve">2 PICTURE BOOK EGGS EASTER BUNNY</t>
  </si>
  <si>
    <t xml:space="preserve">21458</t>
  </si>
  <si>
    <t xml:space="preserve">2 PICTURE BOOK EGGS EASTER CHICKS</t>
  </si>
  <si>
    <t xml:space="preserve">21456</t>
  </si>
  <si>
    <t xml:space="preserve">2 PICTURE BOOK EGGS EASTER DUCKS</t>
  </si>
  <si>
    <t xml:space="preserve">21457</t>
  </si>
  <si>
    <t xml:space="preserve">20 DOLLY PEGS RETROSPOT</t>
  </si>
  <si>
    <t xml:space="preserve">200 BENDY SKULL STRAWS</t>
  </si>
  <si>
    <t xml:space="preserve">22316</t>
  </si>
  <si>
    <t xml:space="preserve">200 RED + WHITE BENDY STRAWS</t>
  </si>
  <si>
    <t xml:space="preserve">22315</t>
  </si>
  <si>
    <t xml:space="preserve">24 HANGING EASTER EGGS FLORAL TUB</t>
  </si>
  <si>
    <t xml:space="preserve">21437</t>
  </si>
  <si>
    <t xml:space="preserve">3 BIRDS CANVAS SCREEN</t>
  </si>
  <si>
    <t xml:space="preserve">84731</t>
  </si>
  <si>
    <t xml:space="preserve">3 BLACK CATS W HEARTS BLANK CARD</t>
  </si>
  <si>
    <t xml:space="preserve">84206A</t>
  </si>
  <si>
    <t xml:space="preserve">3 GARDENIA MORRIS BOXED CANDLES</t>
  </si>
  <si>
    <t xml:space="preserve">85034A</t>
  </si>
  <si>
    <t xml:space="preserve">3 HEARTS HANGING DECORATION RUSTIC</t>
  </si>
  <si>
    <t xml:space="preserve">22158</t>
  </si>
  <si>
    <t xml:space="preserve">3 HOOK PHOTO SHELF ANTIQUE WHITE</t>
  </si>
  <si>
    <t xml:space="preserve">3 PIECE SPACEBOY COOKIE CUTTER SET</t>
  </si>
  <si>
    <t xml:space="preserve">3 PINK HEN+CHICKS IN BASKET</t>
  </si>
  <si>
    <t xml:space="preserve">84462</t>
  </si>
  <si>
    <t xml:space="preserve">3 ROSE MORRIS BOXED CANDLES</t>
  </si>
  <si>
    <t xml:space="preserve">3 STRIPEY MICE FELTCRAFT</t>
  </si>
  <si>
    <t xml:space="preserve">22150</t>
  </si>
  <si>
    <t xml:space="preserve">3 TIER CAKE TIN GREEN AND CREAM</t>
  </si>
  <si>
    <t xml:space="preserve">22839</t>
  </si>
  <si>
    <t xml:space="preserve">3 TIER CAKE TIN RED AND CREAM</t>
  </si>
  <si>
    <t xml:space="preserve">22838</t>
  </si>
  <si>
    <t xml:space="preserve">3 TIER SWEETHEART GARDEN SHELF</t>
  </si>
  <si>
    <t xml:space="preserve">22824</t>
  </si>
  <si>
    <t xml:space="preserve">3 TRADITIONAl BISCUIT CUTTERS SET</t>
  </si>
  <si>
    <t xml:space="preserve">22965</t>
  </si>
  <si>
    <t xml:space="preserve">3 WHITE CHOC MORRIS BOXED CANDLES</t>
  </si>
  <si>
    <t xml:space="preserve">3 WICK CHRISTMAS BRIAR CANDLE</t>
  </si>
  <si>
    <t xml:space="preserve">72815</t>
  </si>
  <si>
    <t xml:space="preserve">36 DOILIES DOLLY GIRL</t>
  </si>
  <si>
    <t xml:space="preserve">22949</t>
  </si>
  <si>
    <t xml:space="preserve">36 DOILIES SPACEBOY DESIGN</t>
  </si>
  <si>
    <t xml:space="preserve">36 DOILIES VINTAGE CHRISTMAS</t>
  </si>
  <si>
    <t xml:space="preserve">22950</t>
  </si>
  <si>
    <t xml:space="preserve">36 FOIL HEART CAKE CASES</t>
  </si>
  <si>
    <t xml:space="preserve">22956</t>
  </si>
  <si>
    <t xml:space="preserve">36 FOIL STAR CAKE CASES</t>
  </si>
  <si>
    <t xml:space="preserve">22955</t>
  </si>
  <si>
    <t xml:space="preserve">36 PENCILS TUBE POSY</t>
  </si>
  <si>
    <t xml:space="preserve">20980</t>
  </si>
  <si>
    <t xml:space="preserve">36 PENCILS TUBE RED SPOTTY</t>
  </si>
  <si>
    <t xml:space="preserve">20979</t>
  </si>
  <si>
    <t xml:space="preserve">36 PENCILS TUBE SKULLS</t>
  </si>
  <si>
    <t xml:space="preserve">20978</t>
  </si>
  <si>
    <t xml:space="preserve">36 PENCILS TUBE WOODLAND</t>
  </si>
  <si>
    <t xml:space="preserve">20977</t>
  </si>
  <si>
    <t xml:space="preserve">3D CHRISTMAS STAMPS STICKERS</t>
  </si>
  <si>
    <t xml:space="preserve">22731</t>
  </si>
  <si>
    <t xml:space="preserve">3D DOG PICTURE PLAYING CARDS</t>
  </si>
  <si>
    <t xml:space="preserve">84558A</t>
  </si>
  <si>
    <t xml:space="preserve">3D HEARTS HONEYCOMB PAPER GARLAND</t>
  </si>
  <si>
    <t xml:space="preserve">21188</t>
  </si>
  <si>
    <t xml:space="preserve">3D SHEET OF CAT STICKERS</t>
  </si>
  <si>
    <t xml:space="preserve">84559B</t>
  </si>
  <si>
    <t xml:space="preserve">3D SHEET OF DOG STICKERS</t>
  </si>
  <si>
    <t xml:space="preserve">84559A</t>
  </si>
  <si>
    <t xml:space="preserve">3D SHEET OF SEA WORLD STICKERS</t>
  </si>
  <si>
    <t xml:space="preserve">84559D</t>
  </si>
  <si>
    <t xml:space="preserve">3D TRADITIONAL CHRISTMAS STICKERS</t>
  </si>
  <si>
    <t xml:space="preserve">22733</t>
  </si>
  <si>
    <t xml:space="preserve">3D VINTAGE CHRISTMAS STICKERS</t>
  </si>
  <si>
    <t xml:space="preserve">22732</t>
  </si>
  <si>
    <t xml:space="preserve">4 BURGUNDY WINE DINNER CANDLES</t>
  </si>
  <si>
    <t xml:space="preserve">72801G</t>
  </si>
  <si>
    <t xml:space="preserve">4 GOLD FLOCK CHRISTMAS BALLS</t>
  </si>
  <si>
    <t xml:space="preserve">35833G</t>
  </si>
  <si>
    <t xml:space="preserve">4 IVORY DINNER CANDLES GOLD FLOCK</t>
  </si>
  <si>
    <t xml:space="preserve">72800F</t>
  </si>
  <si>
    <t xml:space="preserve">4 IVORY DINNER CANDLES SILVER FLOCK</t>
  </si>
  <si>
    <t xml:space="preserve">4 LAVENDER BOTANICAL DINNER CANDLES</t>
  </si>
  <si>
    <t xml:space="preserve">21615</t>
  </si>
  <si>
    <t xml:space="preserve">4 LILY BOTANICAL DINNER CANDLES</t>
  </si>
  <si>
    <t xml:space="preserve">21617</t>
  </si>
  <si>
    <t xml:space="preserve">4 PEAR BOTANICAL DINNER CANDLES</t>
  </si>
  <si>
    <t xml:space="preserve">21616</t>
  </si>
  <si>
    <t xml:space="preserve">4 PINK FLOCK CHRISTMAS BALLS</t>
  </si>
  <si>
    <t xml:space="preserve">35833P</t>
  </si>
  <si>
    <t xml:space="preserve">4 TRADITIONAL SPINNING TOPS</t>
  </si>
  <si>
    <t xml:space="preserve">4 VANILLA BOTANICAL CANDLES</t>
  </si>
  <si>
    <t xml:space="preserve">21619</t>
  </si>
  <si>
    <t xml:space="preserve">4 WILDFLOWER BOTANICAL CANDLES</t>
  </si>
  <si>
    <t xml:space="preserve">21618</t>
  </si>
  <si>
    <t xml:space="preserve">5 HOOK BLACKBOARD ORGANISER</t>
  </si>
  <si>
    <t xml:space="preserve">22177</t>
  </si>
  <si>
    <t xml:space="preserve">5 STRAND GLASS NECKLACE AMBER</t>
  </si>
  <si>
    <t xml:space="preserve">90199D</t>
  </si>
  <si>
    <t xml:space="preserve">5 STRAND GLASS NECKLACE AMETHYST</t>
  </si>
  <si>
    <t xml:space="preserve">90199B</t>
  </si>
  <si>
    <t xml:space="preserve">5 STRAND GLASS NECKLACE BLACK</t>
  </si>
  <si>
    <t xml:space="preserve">90199A</t>
  </si>
  <si>
    <t xml:space="preserve">5 STRAND GLASS NECKLACE CRYSTAL</t>
  </si>
  <si>
    <t xml:space="preserve">90199C</t>
  </si>
  <si>
    <t xml:space="preserve">50CM METAL STRING WITH 7 CLIPS</t>
  </si>
  <si>
    <t xml:space="preserve">47481</t>
  </si>
  <si>
    <t xml:space="preserve">6 CHOCOLATE LOVE HEART T-LIGHTS</t>
  </si>
  <si>
    <t xml:space="preserve">85038</t>
  </si>
  <si>
    <t xml:space="preserve">6 CROCHET STRAWBERRIES</t>
  </si>
  <si>
    <t xml:space="preserve">22253</t>
  </si>
  <si>
    <t xml:space="preserve">6 EGG HOUSE PAINTED WOOD</t>
  </si>
  <si>
    <t xml:space="preserve">6 HOOK JEWEL STAND LILAC DRESS</t>
  </si>
  <si>
    <t xml:space="preserve">84572</t>
  </si>
  <si>
    <t xml:space="preserve">6 HOOK JEWELLERY STAND BLACK DRESS</t>
  </si>
  <si>
    <t xml:space="preserve">84396</t>
  </si>
  <si>
    <t xml:space="preserve">6 RABBIT CHAIN EASTER</t>
  </si>
  <si>
    <t xml:space="preserve">84447</t>
  </si>
  <si>
    <t xml:space="preserve">6 RIBBONS ELEGANT CHRISTMAS</t>
  </si>
  <si>
    <t xml:space="preserve">6 RIBBONS EMPIRE</t>
  </si>
  <si>
    <t xml:space="preserve">22076</t>
  </si>
  <si>
    <t xml:space="preserve">6 RIBBONS RUSTIC CHARM</t>
  </si>
  <si>
    <t xml:space="preserve">6 RIBBONS SHIMMERING PINKS</t>
  </si>
  <si>
    <t xml:space="preserve">6 ROCKET BALLOONS</t>
  </si>
  <si>
    <t xml:space="preserve">22439</t>
  </si>
  <si>
    <t xml:space="preserve">6 SEGMENT COLOURED SNACK BOWL</t>
  </si>
  <si>
    <t xml:space="preserve">84564</t>
  </si>
  <si>
    <t xml:space="preserve">60 CAKE CASES DOLLY GIRL DESIGN</t>
  </si>
  <si>
    <t xml:space="preserve">60 CAKE CASES VINTAGE CHRISTMAS</t>
  </si>
  <si>
    <t xml:space="preserve">22952</t>
  </si>
  <si>
    <t xml:space="preserve">60 GOLD AND SILVER FAIRY CAKE CASES</t>
  </si>
  <si>
    <t xml:space="preserve">84990</t>
  </si>
  <si>
    <t xml:space="preserve">60 TEATIME FAIRY CAKE CASES</t>
  </si>
  <si>
    <t xml:space="preserve">72 ROUND PINK DOILIES</t>
  </si>
  <si>
    <t xml:space="preserve">22330</t>
  </si>
  <si>
    <t xml:space="preserve">72 SWEETHEART FAIRY CAKE CASES</t>
  </si>
  <si>
    <t xml:space="preserve">75 BLACK FAIRY CAKE CASES</t>
  </si>
  <si>
    <t xml:space="preserve">84989B</t>
  </si>
  <si>
    <t xml:space="preserve">75 BLACK PETIT FOUR CASES</t>
  </si>
  <si>
    <t xml:space="preserve">84993B</t>
  </si>
  <si>
    <t xml:space="preserve">75 GREEN FAIRY CAKE CASES</t>
  </si>
  <si>
    <t xml:space="preserve">84989A</t>
  </si>
  <si>
    <t xml:space="preserve">75 GREEN PETIT FOUR CASES</t>
  </si>
  <si>
    <t xml:space="preserve">A4 WALL TIDY BLUE OFFICE</t>
  </si>
  <si>
    <t xml:space="preserve">71496A</t>
  </si>
  <si>
    <t xml:space="preserve">A4 WALL TIDY RED FLOWERS</t>
  </si>
  <si>
    <t xml:space="preserve">71496B</t>
  </si>
  <si>
    <t xml:space="preserve">ABSTRACT CIRCLE JOURNAL</t>
  </si>
  <si>
    <t xml:space="preserve">20770</t>
  </si>
  <si>
    <t xml:space="preserve">ABSTRACT CIRCLES NOTEBOOK</t>
  </si>
  <si>
    <t xml:space="preserve">20776</t>
  </si>
  <si>
    <t xml:space="preserve">ABSTRACT CIRCLES POCKET BOOK</t>
  </si>
  <si>
    <t xml:space="preserve">20758</t>
  </si>
  <si>
    <t xml:space="preserve">ABSTRACT CIRCLES SKETCHBOOK</t>
  </si>
  <si>
    <t xml:space="preserve">20764</t>
  </si>
  <si>
    <t xml:space="preserve">ACRYLIC BEAD CHAIN, BLUE</t>
  </si>
  <si>
    <t xml:space="preserve">35822B</t>
  </si>
  <si>
    <t xml:space="preserve">ACRYLIC BEAD CHAIN, PINK</t>
  </si>
  <si>
    <t xml:space="preserve">35822P</t>
  </si>
  <si>
    <t xml:space="preserve">ACRYLIC BEAD GARLAND,PINK</t>
  </si>
  <si>
    <t xml:space="preserve">35823P</t>
  </si>
  <si>
    <t xml:space="preserve">ACRYLIC GEOMETRIC LAMP</t>
  </si>
  <si>
    <t xml:space="preserve">85161</t>
  </si>
  <si>
    <t xml:space="preserve">ACRYLIC HANGING JEWEL,BLUE</t>
  </si>
  <si>
    <t xml:space="preserve">35819B</t>
  </si>
  <si>
    <t xml:space="preserve">ACRYLIC JEWEL ANGEL,BLUE</t>
  </si>
  <si>
    <t xml:space="preserve">35816B</t>
  </si>
  <si>
    <t xml:space="preserve">ACRYLIC JEWEL ANGEL,PINK</t>
  </si>
  <si>
    <t xml:space="preserve">35816P</t>
  </si>
  <si>
    <t xml:space="preserve">ACRYLIC JEWEL ICICLE, BLUE</t>
  </si>
  <si>
    <t xml:space="preserve">35818B</t>
  </si>
  <si>
    <t xml:space="preserve">ACRYLIC JEWEL ICICLE, CLEAR</t>
  </si>
  <si>
    <t xml:space="preserve">35818C</t>
  </si>
  <si>
    <t xml:space="preserve">ACRYLIC JEWEL ICICLE, PINK</t>
  </si>
  <si>
    <t xml:space="preserve">35818P</t>
  </si>
  <si>
    <t xml:space="preserve">ACRYLIC JEWEL SNOWFLAKE, PINK</t>
  </si>
  <si>
    <t xml:space="preserve">35815P</t>
  </si>
  <si>
    <t xml:space="preserve">ACRYLIC JEWEL SNOWFLAKE,BLUE</t>
  </si>
  <si>
    <t xml:space="preserve">35815B</t>
  </si>
  <si>
    <t xml:space="preserve">35817B</t>
  </si>
  <si>
    <t xml:space="preserve">ACRYLIC JEWEL SNOWFLAKE,PINK</t>
  </si>
  <si>
    <t xml:space="preserve">35817P</t>
  </si>
  <si>
    <t xml:space="preserve">ADVENT CALENDAR GINGHAM SACK</t>
  </si>
  <si>
    <t xml:space="preserve">22580</t>
  </si>
  <si>
    <t xml:space="preserve">AFGHAN SLIPPER SOCK PAIR</t>
  </si>
  <si>
    <t xml:space="preserve">51008</t>
  </si>
  <si>
    <t xml:space="preserve">AGED GLASS SILVER T-LIGHT HOLDER</t>
  </si>
  <si>
    <t xml:space="preserve">21326</t>
  </si>
  <si>
    <t xml:space="preserve">AIRLINE BAG VINTAGE JET SET BROWN</t>
  </si>
  <si>
    <t xml:space="preserve">22375</t>
  </si>
  <si>
    <t xml:space="preserve">AIRLINE BAG VINTAGE JET SET RED</t>
  </si>
  <si>
    <t xml:space="preserve">22374</t>
  </si>
  <si>
    <t xml:space="preserve">AIRLINE BAG VINTAGE JET SET WHITE</t>
  </si>
  <si>
    <t xml:space="preserve">AIRLINE BAG VINTAGE TOKYO 78</t>
  </si>
  <si>
    <t xml:space="preserve">22371</t>
  </si>
  <si>
    <t xml:space="preserve">AIRLINE BAG VINTAGE WORLD CHAMPION</t>
  </si>
  <si>
    <t xml:space="preserve">22372</t>
  </si>
  <si>
    <t xml:space="preserve">AIRLINE LOUNGE,METAL SIGN</t>
  </si>
  <si>
    <t xml:space="preserve">ALARM CLOCK BAKELIKE CHOCOLATE</t>
  </si>
  <si>
    <t xml:space="preserve">ALARM CLOCK BAKELIKE GREEN</t>
  </si>
  <si>
    <t xml:space="preserve">ALARM CLOCK BAKELIKE IVORY</t>
  </si>
  <si>
    <t xml:space="preserve">ALARM CLOCK BAKELIKE ORANGE</t>
  </si>
  <si>
    <t xml:space="preserve">22729</t>
  </si>
  <si>
    <t xml:space="preserve">ALARM CLOCK BAKELIKE PINK</t>
  </si>
  <si>
    <t xml:space="preserve">ALARM CLOCK BAKELIKE RED</t>
  </si>
  <si>
    <t xml:space="preserve">ALPHABET HEARTS STICKER SHEET</t>
  </si>
  <si>
    <t xml:space="preserve">21723</t>
  </si>
  <si>
    <t xml:space="preserve">ALPHABET STENCIL CRAFT</t>
  </si>
  <si>
    <t xml:space="preserve">AMAZON FEE</t>
  </si>
  <si>
    <t xml:space="preserve">AMAZONFEE</t>
  </si>
  <si>
    <t xml:space="preserve">AMBER 3 BEAD DROP EARRINGS</t>
  </si>
  <si>
    <t xml:space="preserve">90182A</t>
  </si>
  <si>
    <t xml:space="preserve">AMBER BERTIE GLASS BEAD BAG CHARM</t>
  </si>
  <si>
    <t xml:space="preserve">90125E</t>
  </si>
  <si>
    <t xml:space="preserve">AMBER BERTIE MOBILE PHONE CHARM</t>
  </si>
  <si>
    <t xml:space="preserve">90126C</t>
  </si>
  <si>
    <t xml:space="preserve">AMBER CHUNKY BEAD BRACELET W STRAP</t>
  </si>
  <si>
    <t xml:space="preserve">90184A</t>
  </si>
  <si>
    <t xml:space="preserve">AMBER CHUNKY GLASS+BEAD NECKLACE</t>
  </si>
  <si>
    <t xml:space="preserve">90178A</t>
  </si>
  <si>
    <t xml:space="preserve">AMBER CRYSTAL DROP EARRINGS</t>
  </si>
  <si>
    <t xml:space="preserve">90011E</t>
  </si>
  <si>
    <t xml:space="preserve">AMBER DIAMANTE EXPANDABLE RING</t>
  </si>
  <si>
    <t xml:space="preserve">90185A</t>
  </si>
  <si>
    <t xml:space="preserve">AMBER DROP EARRINGS W LONG BEADS</t>
  </si>
  <si>
    <t xml:space="preserve">90183A</t>
  </si>
  <si>
    <t xml:space="preserve">AMBER FINE BEAD NECKLACE W TASSEL</t>
  </si>
  <si>
    <t xml:space="preserve">90179A</t>
  </si>
  <si>
    <t xml:space="preserve">AMBER GLASS BRACELET HEART CHARMS</t>
  </si>
  <si>
    <t xml:space="preserve">90197D</t>
  </si>
  <si>
    <t xml:space="preserve">AMBER GLASS TASSLE BAG CHARM</t>
  </si>
  <si>
    <t xml:space="preserve">90129D</t>
  </si>
  <si>
    <t xml:space="preserve">AMBER GLASS/SHELL/PEARL NECKLACE</t>
  </si>
  <si>
    <t xml:space="preserve">90181A</t>
  </si>
  <si>
    <t xml:space="preserve">AMBER GLASS/SILVER BRACELET</t>
  </si>
  <si>
    <t xml:space="preserve">90010E</t>
  </si>
  <si>
    <t xml:space="preserve">AMBER VINTAGE EARRINGS</t>
  </si>
  <si>
    <t xml:space="preserve">90013E</t>
  </si>
  <si>
    <t xml:space="preserve">AMETHYST 3 BEAD DROP EARRINGS</t>
  </si>
  <si>
    <t xml:space="preserve">90182B</t>
  </si>
  <si>
    <t xml:space="preserve">AMETHYST CHUNKY BEAD BRACELET W STR</t>
  </si>
  <si>
    <t xml:space="preserve">90184B</t>
  </si>
  <si>
    <t xml:space="preserve">AMETHYST DIAMANTE EXPANDABLE RING</t>
  </si>
  <si>
    <t xml:space="preserve">90185B</t>
  </si>
  <si>
    <t xml:space="preserve">AMETHYST DROP EARRINGS W LONG BEADS</t>
  </si>
  <si>
    <t xml:space="preserve">90183B</t>
  </si>
  <si>
    <t xml:space="preserve">AMETHYST GLASS/SHELL/PEARL NECKLACE</t>
  </si>
  <si>
    <t xml:space="preserve">90181B</t>
  </si>
  <si>
    <t xml:space="preserve">AMETHYST HOOP EARRING FLORAL LEAF</t>
  </si>
  <si>
    <t xml:space="preserve">90186A</t>
  </si>
  <si>
    <t xml:space="preserve">ANGEL DECORATION 3 BUTTONS</t>
  </si>
  <si>
    <t xml:space="preserve">22154</t>
  </si>
  <si>
    <t xml:space="preserve">ANGEL DECORATION PAINTED ZINC</t>
  </si>
  <si>
    <t xml:space="preserve">22337</t>
  </si>
  <si>
    <t xml:space="preserve">ANGEL DECORATION STARS ON DRESS</t>
  </si>
  <si>
    <t xml:space="preserve">ANGEL DECORATION WITH LACE PADDED</t>
  </si>
  <si>
    <t xml:space="preserve">22157</t>
  </si>
  <si>
    <t xml:space="preserve">ANGEL ON KNEES METAL POLE 100CM H</t>
  </si>
  <si>
    <t xml:space="preserve">71101A</t>
  </si>
  <si>
    <t xml:space="preserve">ANIMAL STICKERS</t>
  </si>
  <si>
    <t xml:space="preserve">16011</t>
  </si>
  <si>
    <t xml:space="preserve">ANT COPPER LIME BOUDICCA BRACELET</t>
  </si>
  <si>
    <t xml:space="preserve">90161C</t>
  </si>
  <si>
    <t xml:space="preserve">ANT COPPER PINK BOUDICCA BRACELET</t>
  </si>
  <si>
    <t xml:space="preserve">90161D</t>
  </si>
  <si>
    <t xml:space="preserve">ANT COPPER RED BOUDICCA BRACELET</t>
  </si>
  <si>
    <t xml:space="preserve">90161A</t>
  </si>
  <si>
    <t xml:space="preserve">ANT COPPER TURQ BOUDICCA BRACELET</t>
  </si>
  <si>
    <t xml:space="preserve">90161B</t>
  </si>
  <si>
    <t xml:space="preserve">ANT SILVER FUSCHIA BOUDICCA RING</t>
  </si>
  <si>
    <t xml:space="preserve">90162C</t>
  </si>
  <si>
    <t xml:space="preserve">ANT SILVER LIME GREEN BOUDICCA RING</t>
  </si>
  <si>
    <t xml:space="preserve">90162B</t>
  </si>
  <si>
    <t xml:space="preserve">ANT SILVER PURPLE BOUDICCA RING</t>
  </si>
  <si>
    <t xml:space="preserve">90162D</t>
  </si>
  <si>
    <t xml:space="preserve">ANT SILVER TURQUOISE BOUDICCA RING</t>
  </si>
  <si>
    <t xml:space="preserve">90162A</t>
  </si>
  <si>
    <t xml:space="preserve">ANT WHITE HIGH RISE BIRD BOX</t>
  </si>
  <si>
    <t xml:space="preserve">84838</t>
  </si>
  <si>
    <t xml:space="preserve">ANT WHITE IRON BASKET</t>
  </si>
  <si>
    <t xml:space="preserve">84893</t>
  </si>
  <si>
    <t xml:space="preserve">ANT WHITE SWEETHEART TABLE W 3 DRAW</t>
  </si>
  <si>
    <t xml:space="preserve">85070</t>
  </si>
  <si>
    <t xml:space="preserve">ANT WHITE WIRE HEART SPIRAL</t>
  </si>
  <si>
    <t xml:space="preserve">84884A</t>
  </si>
  <si>
    <t xml:space="preserve">ANTIQUE ALL GLASS CANDLESTICK</t>
  </si>
  <si>
    <t xml:space="preserve">21012</t>
  </si>
  <si>
    <t xml:space="preserve">ANTIQUE CREAM CUTLERY CUPBOARD</t>
  </si>
  <si>
    <t xml:space="preserve">21270</t>
  </si>
  <si>
    <t xml:space="preserve">ANTIQUE CREAM CUTLERY SHELF</t>
  </si>
  <si>
    <t xml:space="preserve">21269</t>
  </si>
  <si>
    <t xml:space="preserve">ANTIQUE EDWARDIAN DRESSER</t>
  </si>
  <si>
    <t xml:space="preserve">21300</t>
  </si>
  <si>
    <t xml:space="preserve">ANTIQUE GLASS DRESSING TABLE POT</t>
  </si>
  <si>
    <t xml:space="preserve">22798</t>
  </si>
  <si>
    <t xml:space="preserve">ANTIQUE GLASS HEART DECORATION</t>
  </si>
  <si>
    <t xml:space="preserve">21143</t>
  </si>
  <si>
    <t xml:space="preserve">ANTIQUE GLASS PEDESTAL BOWL</t>
  </si>
  <si>
    <t xml:space="preserve">22801</t>
  </si>
  <si>
    <t xml:space="preserve">ANTIQUE GLASS PLACE SETTING</t>
  </si>
  <si>
    <t xml:space="preserve">21145</t>
  </si>
  <si>
    <t xml:space="preserve">ANTIQUE GLASS RIDGED HANGING BALL</t>
  </si>
  <si>
    <t xml:space="preserve">21146</t>
  </si>
  <si>
    <t xml:space="preserve">ANTIQUE LILY FAIRY LIGHTS</t>
  </si>
  <si>
    <t xml:space="preserve">85042</t>
  </si>
  <si>
    <t xml:space="preserve">ANTIQUE MID BLUE FLOWER EARRINGS</t>
  </si>
  <si>
    <t xml:space="preserve">90001B</t>
  </si>
  <si>
    <t xml:space="preserve">ANTIQUE OLIVE GREEN FLOWER EARRINGS</t>
  </si>
  <si>
    <t xml:space="preserve">90001D</t>
  </si>
  <si>
    <t xml:space="preserve">ANTIQUE OPAL WHITE FLOWER EARRINGS</t>
  </si>
  <si>
    <t xml:space="preserve">90001C</t>
  </si>
  <si>
    <t xml:space="preserve">ANTIQUE RASPBERRY FLOWER EARRINGS</t>
  </si>
  <si>
    <t xml:space="preserve">90001A</t>
  </si>
  <si>
    <t xml:space="preserve">ANTIQUE SILVER TEA GLASS ENGRAVED</t>
  </si>
  <si>
    <t xml:space="preserve">84947</t>
  </si>
  <si>
    <t xml:space="preserve">ANTIQUE SILVER TEA GLASS ETCHED</t>
  </si>
  <si>
    <t xml:space="preserve">84946</t>
  </si>
  <si>
    <t xml:space="preserve">ANTIQUE TALL SWIRLGLASS TRINKET POT</t>
  </si>
  <si>
    <t xml:space="preserve">22800</t>
  </si>
  <si>
    <t xml:space="preserve">APPLE BATH SPONGE</t>
  </si>
  <si>
    <t xml:space="preserve">20963</t>
  </si>
  <si>
    <t xml:space="preserve">APRON APPLE DELIGHT</t>
  </si>
  <si>
    <t xml:space="preserve">22939</t>
  </si>
  <si>
    <t xml:space="preserve">APRON MODERN VINTAGE COTTON</t>
  </si>
  <si>
    <t xml:space="preserve">21043</t>
  </si>
  <si>
    <t xml:space="preserve">AQUA BERTIE GLASS BEAD BAG CHARM</t>
  </si>
  <si>
    <t xml:space="preserve">90125B</t>
  </si>
  <si>
    <t xml:space="preserve">ARCHED GREY MIRROR</t>
  </si>
  <si>
    <t xml:space="preserve">21304</t>
  </si>
  <si>
    <t xml:space="preserve">AREA PATROLLED METAL SIGN</t>
  </si>
  <si>
    <t xml:space="preserve">82582</t>
  </si>
  <si>
    <t xml:space="preserve">ARMY CAMO BOOKCOVER TAPE</t>
  </si>
  <si>
    <t xml:space="preserve">10124G</t>
  </si>
  <si>
    <t xml:space="preserve">ARMY CAMO WRAPPING TAPE</t>
  </si>
  <si>
    <t xml:space="preserve">10123G</t>
  </si>
  <si>
    <t xml:space="preserve">ART LIGHTS,FUNK MONKEY</t>
  </si>
  <si>
    <t xml:space="preserve">ASS COL CIRCLE MOBILE</t>
  </si>
  <si>
    <t xml:space="preserve">44235</t>
  </si>
  <si>
    <t xml:space="preserve">ASS COL LARGE SAND FROG P'WEIGHT</t>
  </si>
  <si>
    <t xml:space="preserve">17165D</t>
  </si>
  <si>
    <t xml:space="preserve">ASS COL LARGE SAND GECKO P'WEIGHT</t>
  </si>
  <si>
    <t xml:space="preserve">17165B</t>
  </si>
  <si>
    <t xml:space="preserve">ASS COL SMALL SAND FROG P'WEIGHT</t>
  </si>
  <si>
    <t xml:space="preserve">17164D</t>
  </si>
  <si>
    <t xml:space="preserve">ASS COL SMALL SAND GECKO P'WEIGHT</t>
  </si>
  <si>
    <t xml:space="preserve">17164B</t>
  </si>
  <si>
    <t xml:space="preserve">ASS COLOUR GLOWING TIARAS</t>
  </si>
  <si>
    <t xml:space="preserve">84051</t>
  </si>
  <si>
    <t xml:space="preserve">ASS DES PHONE SPONGE CRAFT STICKER</t>
  </si>
  <si>
    <t xml:space="preserve">84827</t>
  </si>
  <si>
    <t xml:space="preserve">ASS FLORAL PRINT MULTI SCREWDRIVER</t>
  </si>
  <si>
    <t xml:space="preserve">47503A</t>
  </si>
  <si>
    <t xml:space="preserve">ASS FLORAL PRINT SCISSORS</t>
  </si>
  <si>
    <t xml:space="preserve">47503E</t>
  </si>
  <si>
    <t xml:space="preserve">ASS FLORAL PRINT SPIRIT LEVEL</t>
  </si>
  <si>
    <t xml:space="preserve">47503H</t>
  </si>
  <si>
    <t xml:space="preserve">ASS FLORAL PRINT TAPE MEASURE</t>
  </si>
  <si>
    <t xml:space="preserve">47503G</t>
  </si>
  <si>
    <t xml:space="preserve">ASS FLORAL PRINT TORCH</t>
  </si>
  <si>
    <t xml:space="preserve">47503F</t>
  </si>
  <si>
    <t xml:space="preserve">ASS RETROSPOOF MUGS,SPORTS</t>
  </si>
  <si>
    <t xml:space="preserve">37399</t>
  </si>
  <si>
    <t xml:space="preserve">ASS WINDPROOF MARIJUANA LIGHTERS</t>
  </si>
  <si>
    <t xml:space="preserve">79140</t>
  </si>
  <si>
    <t xml:space="preserve">ASSORTED BOTTLE TOP MAGNETS</t>
  </si>
  <si>
    <t xml:space="preserve">ASSORTED CAKES FRIDGE MAGNETS</t>
  </si>
  <si>
    <t xml:space="preserve">85216</t>
  </si>
  <si>
    <t xml:space="preserve">ASSORTED CHEESE FRIDGE MAGNETS</t>
  </si>
  <si>
    <t xml:space="preserve">85215</t>
  </si>
  <si>
    <t xml:space="preserve">ASSORTED CIRCULAR MOBILE</t>
  </si>
  <si>
    <t xml:space="preserve">44234</t>
  </si>
  <si>
    <t xml:space="preserve">ASSORTED COLOUR BIRD ORNAMENT</t>
  </si>
  <si>
    <t xml:space="preserve">84879</t>
  </si>
  <si>
    <t xml:space="preserve">ASSORTED COLOUR JUMBO PEN</t>
  </si>
  <si>
    <t xml:space="preserve">10138</t>
  </si>
  <si>
    <t xml:space="preserve">ASSORTED COLOUR LIZARD SUCTION HOOK</t>
  </si>
  <si>
    <t xml:space="preserve">47421</t>
  </si>
  <si>
    <t xml:space="preserve">ASSORTED COLOUR METAL CAT</t>
  </si>
  <si>
    <t xml:space="preserve">84192</t>
  </si>
  <si>
    <t xml:space="preserve">ASSORTED COLOUR MINI CASES</t>
  </si>
  <si>
    <t xml:space="preserve">ASSORTED COLOUR SET 6 TEASPOONS</t>
  </si>
  <si>
    <t xml:space="preserve">84969</t>
  </si>
  <si>
    <t xml:space="preserve">ASSORTED COLOUR SILK COIN PURSE</t>
  </si>
  <si>
    <t xml:space="preserve">85221</t>
  </si>
  <si>
    <t xml:space="preserve">ASSORTED COLOUR SILK COSMETIC PURSE</t>
  </si>
  <si>
    <t xml:space="preserve">85222</t>
  </si>
  <si>
    <t xml:space="preserve">ASSORTED COLOUR SILK GLASSES CASE</t>
  </si>
  <si>
    <t xml:space="preserve">85224</t>
  </si>
  <si>
    <t xml:space="preserve">ASSORTED COLOUR SUCTION CUP HOOK</t>
  </si>
  <si>
    <t xml:space="preserve">47420</t>
  </si>
  <si>
    <t xml:space="preserve">ASSORTED COLOUR T-LIGHT HOLDER</t>
  </si>
  <si>
    <t xml:space="preserve">84950</t>
  </si>
  <si>
    <t xml:space="preserve">ASSORTED COLOURS SILK FAN</t>
  </si>
  <si>
    <t xml:space="preserve">15036</t>
  </si>
  <si>
    <t xml:space="preserve">ASSORTED CREEPY CRAWLIES</t>
  </si>
  <si>
    <t xml:space="preserve">21830</t>
  </si>
  <si>
    <t xml:space="preserve">ASSORTED DESIGN FLOWER MUGS</t>
  </si>
  <si>
    <t xml:space="preserve">37409</t>
  </si>
  <si>
    <t xml:space="preserve">ASSORTED DESIGN GEISHA GIRL MUGS</t>
  </si>
  <si>
    <t xml:space="preserve">37408</t>
  </si>
  <si>
    <t xml:space="preserve">ASSORTED EASTER DECORATIONS BELLS</t>
  </si>
  <si>
    <t xml:space="preserve">22856</t>
  </si>
  <si>
    <t xml:space="preserve">ASSORTED EASTER GIFT TAGS</t>
  </si>
  <si>
    <t xml:space="preserve">22857</t>
  </si>
  <si>
    <t xml:space="preserve">ASSORTED FARMYARD ANIMALS IN BUCKET</t>
  </si>
  <si>
    <t xml:space="preserve">85198</t>
  </si>
  <si>
    <t xml:space="preserve">ASSORTED FLORAL SECATEURS</t>
  </si>
  <si>
    <t xml:space="preserve">47503K</t>
  </si>
  <si>
    <t xml:space="preserve">ASSORTED FLOWER COLOUR "LEIS"</t>
  </si>
  <si>
    <t xml:space="preserve">84212</t>
  </si>
  <si>
    <t xml:space="preserve">ASSORTED FRAGRANCE BATH CONFETTI</t>
  </si>
  <si>
    <t xml:space="preserve">18010</t>
  </si>
  <si>
    <t xml:space="preserve">ASSORTED FRUIT STRAWS</t>
  </si>
  <si>
    <t xml:space="preserve">30086C</t>
  </si>
  <si>
    <t xml:space="preserve">ASSORTED ICE CREAM FRIDGE MAGNETS</t>
  </si>
  <si>
    <t xml:space="preserve">85217</t>
  </si>
  <si>
    <t xml:space="preserve">ASSORTED INCENSE PACK</t>
  </si>
  <si>
    <t xml:space="preserve">17084R</t>
  </si>
  <si>
    <t xml:space="preserve">ASSORTED LAQUERED INCENSE HOLDERS</t>
  </si>
  <si>
    <t xml:space="preserve">17096</t>
  </si>
  <si>
    <t xml:space="preserve">ASSORTED MINI MADRAS NOTEBOOK</t>
  </si>
  <si>
    <t xml:space="preserve">21634</t>
  </si>
  <si>
    <t xml:space="preserve">ASSORTED MONKEY SUCTION CUP HOOK</t>
  </si>
  <si>
    <t xml:space="preserve">47422</t>
  </si>
  <si>
    <t xml:space="preserve">ASSORTED SANSKRIT MINI NOTEBOOK</t>
  </si>
  <si>
    <t xml:space="preserve">21637</t>
  </si>
  <si>
    <t xml:space="preserve">ASSORTED SANTA CHRISTMAS DECORATION</t>
  </si>
  <si>
    <t xml:space="preserve">35071</t>
  </si>
  <si>
    <t xml:space="preserve">ASSORTED SHAPED STENCIL FOR HENNA</t>
  </si>
  <si>
    <t xml:space="preserve">17061</t>
  </si>
  <si>
    <t xml:space="preserve">ASSORTED SHAPES PHOTO CLIP SILVER</t>
  </si>
  <si>
    <t xml:space="preserve">47469</t>
  </si>
  <si>
    <t xml:space="preserve">ASSORTED TUTTI FRUTTI BRACELET</t>
  </si>
  <si>
    <t xml:space="preserve">21650</t>
  </si>
  <si>
    <t xml:space="preserve">ASSORTED TUTTI FRUTTI FOB NOTEBOOK</t>
  </si>
  <si>
    <t xml:space="preserve">21640</t>
  </si>
  <si>
    <t xml:space="preserve">ASSORTED TUTTI FRUTTI HEART BOX</t>
  </si>
  <si>
    <t xml:space="preserve">21644</t>
  </si>
  <si>
    <t xml:space="preserve">ASSORTED TUTTI FRUTTI KEYRING</t>
  </si>
  <si>
    <t xml:space="preserve">21639</t>
  </si>
  <si>
    <t xml:space="preserve">ASSORTED TUTTI FRUTTI KEYRING BALL</t>
  </si>
  <si>
    <t xml:space="preserve">21641</t>
  </si>
  <si>
    <t xml:space="preserve">ASSORTED TUTTI FRUTTI LARGE PURSE</t>
  </si>
  <si>
    <t xml:space="preserve">21647</t>
  </si>
  <si>
    <t xml:space="preserve">ASSORTED TUTTI FRUTTI MIRROR</t>
  </si>
  <si>
    <t xml:space="preserve">21643</t>
  </si>
  <si>
    <t xml:space="preserve">ASSORTED TUTTI FRUTTI NOTEBOOK</t>
  </si>
  <si>
    <t xml:space="preserve">21638</t>
  </si>
  <si>
    <t xml:space="preserve">ASSORTED TUTTI FRUTTI PEN</t>
  </si>
  <si>
    <t xml:space="preserve">21642</t>
  </si>
  <si>
    <t xml:space="preserve">ASSORTED TUTTI FRUTTI PHOTO FRAME</t>
  </si>
  <si>
    <t xml:space="preserve">21649</t>
  </si>
  <si>
    <t xml:space="preserve">ASSORTED TUTTI FRUTTI ROUND BOX</t>
  </si>
  <si>
    <t xml:space="preserve">21645</t>
  </si>
  <si>
    <t xml:space="preserve">ASSORTED TUTTI FRUTTI SMALL PURSE</t>
  </si>
  <si>
    <t xml:space="preserve">21648</t>
  </si>
  <si>
    <t xml:space="preserve">ASSORTED WHITE EMBOSSED CHINA MUGS</t>
  </si>
  <si>
    <t xml:space="preserve">37441</t>
  </si>
  <si>
    <t xml:space="preserve">ASSTD COL BUTTERFLY/CRYSTAL W/CHIME</t>
  </si>
  <si>
    <t xml:space="preserve">75178</t>
  </si>
  <si>
    <t xml:space="preserve">ASSTD DESIGN 3D PAPER STICKERS</t>
  </si>
  <si>
    <t xml:space="preserve">84826</t>
  </si>
  <si>
    <t xml:space="preserve">ASSTD DESIGN BUBBLE GUM RING</t>
  </si>
  <si>
    <t xml:space="preserve">84270</t>
  </si>
  <si>
    <t xml:space="preserve">ASSTD DESIGN POP ART SLIM PEN</t>
  </si>
  <si>
    <t xml:space="preserve">84934</t>
  </si>
  <si>
    <t xml:space="preserve">ASSTD DESIGN RACING CAR PEN</t>
  </si>
  <si>
    <t xml:space="preserve">11001</t>
  </si>
  <si>
    <t xml:space="preserve">ASSTD FRUIT+FLOWERS FRIDGE MAGNETS</t>
  </si>
  <si>
    <t xml:space="preserve">84929</t>
  </si>
  <si>
    <t xml:space="preserve">ASSTD HEARTS DESIGN MUGS</t>
  </si>
  <si>
    <t xml:space="preserve">37345</t>
  </si>
  <si>
    <t xml:space="preserve">ASSTD MULTICOLOUR CIRCLES MUG</t>
  </si>
  <si>
    <t xml:space="preserve">37327</t>
  </si>
  <si>
    <t xml:space="preserve">ASSTD RASTA KEY-CHAINS</t>
  </si>
  <si>
    <t xml:space="preserve">17174</t>
  </si>
  <si>
    <t xml:space="preserve">Adjustment by Peter on Jun 25 2010</t>
  </si>
  <si>
    <t xml:space="preserve">ADJUST2</t>
  </si>
  <si>
    <t xml:space="preserve">Adjustment by john on 26/01/2010 16</t>
  </si>
  <si>
    <t xml:space="preserve">ADJUST</t>
  </si>
  <si>
    <t xml:space="preserve">BABUSHKA LIGHTS STRING OF 10</t>
  </si>
  <si>
    <t xml:space="preserve">22468</t>
  </si>
  <si>
    <t xml:space="preserve">BABY BOOM RIBBONS</t>
  </si>
  <si>
    <t xml:space="preserve">85049F</t>
  </si>
  <si>
    <t xml:space="preserve">BABY MOUSE RED GINGHAM DRESS</t>
  </si>
  <si>
    <t xml:space="preserve">21841</t>
  </si>
  <si>
    <t xml:space="preserve">BAG 125g SWIRLY MARBLES</t>
  </si>
  <si>
    <t xml:space="preserve">BAG 250g SWIRLY MARBLES</t>
  </si>
  <si>
    <t xml:space="preserve">BAG 500g SWIRLY MARBLES</t>
  </si>
  <si>
    <t xml:space="preserve">BAG OF SILVER STONES</t>
  </si>
  <si>
    <t xml:space="preserve">72051S</t>
  </si>
  <si>
    <t xml:space="preserve">BAKING MOULD CHOCOLATE CUPCAKES</t>
  </si>
  <si>
    <t xml:space="preserve">BAKING MOULD EASTER EGG MILK CHOC</t>
  </si>
  <si>
    <t xml:space="preserve">22933</t>
  </si>
  <si>
    <t xml:space="preserve">BAKING MOULD HEART MILK CHOCOLATE</t>
  </si>
  <si>
    <t xml:space="preserve">22930</t>
  </si>
  <si>
    <t xml:space="preserve">BAKING MOULD HEART WHITE CHOCOLATE</t>
  </si>
  <si>
    <t xml:space="preserve">BAKING MOULD ROSE MILK CHOCOLATE</t>
  </si>
  <si>
    <t xml:space="preserve">22935</t>
  </si>
  <si>
    <t xml:space="preserve">BAKING MOULD ROSE WHITE CHOCOLATE</t>
  </si>
  <si>
    <t xml:space="preserve">22936</t>
  </si>
  <si>
    <t xml:space="preserve">BAKING MOULD TOFFEE CUP CHOCOLATE</t>
  </si>
  <si>
    <t xml:space="preserve">BAKING SET 9 PIECE RETROSPOT</t>
  </si>
  <si>
    <t xml:space="preserve">BAKING SET SPACEBOY DESIGN</t>
  </si>
  <si>
    <t xml:space="preserve">BALLERINA HEART DECORATION.</t>
  </si>
  <si>
    <t xml:space="preserve">16239</t>
  </si>
  <si>
    <t xml:space="preserve">BALLOON ART MAKE YOUR OWN FLOWERS</t>
  </si>
  <si>
    <t xml:space="preserve">BALLOON PUMP WITH 10 BALLOONS</t>
  </si>
  <si>
    <t xml:space="preserve">22434</t>
  </si>
  <si>
    <t xml:space="preserve">BALLOON WATER BOMB PACK OF 35</t>
  </si>
  <si>
    <t xml:space="preserve">22440</t>
  </si>
  <si>
    <t xml:space="preserve">BALLOONS WRITING SET</t>
  </si>
  <si>
    <t xml:space="preserve">21328</t>
  </si>
  <si>
    <t xml:space="preserve">BANK ACCOUNT GREETING CARD</t>
  </si>
  <si>
    <t xml:space="preserve">21518</t>
  </si>
  <si>
    <t xml:space="preserve">BANQUET BIRTHDAY CARD</t>
  </si>
  <si>
    <t xml:space="preserve">22026</t>
  </si>
  <si>
    <t xml:space="preserve">BAROQUE BUTTERFLY EARRINGS CRYSTAL</t>
  </si>
  <si>
    <t xml:space="preserve">90025F</t>
  </si>
  <si>
    <t xml:space="preserve">BAROQUE BUTTERFLY EARRINGS GREEN</t>
  </si>
  <si>
    <t xml:space="preserve">90025C</t>
  </si>
  <si>
    <t xml:space="preserve">BAROQUE BUTTERFLY EARRINGS MONTANA</t>
  </si>
  <si>
    <t xml:space="preserve">90025E</t>
  </si>
  <si>
    <t xml:space="preserve">BAROQUE BUTTERFLY EARRINGS PINK</t>
  </si>
  <si>
    <t xml:space="preserve">90025D</t>
  </si>
  <si>
    <t xml:space="preserve">BAROQUE BUTTERFLY EARRINGS RED</t>
  </si>
  <si>
    <t xml:space="preserve">90025B</t>
  </si>
  <si>
    <t xml:space="preserve">BASKET OF FLOWERS SEWING KIT</t>
  </si>
  <si>
    <t xml:space="preserve">85177</t>
  </si>
  <si>
    <t xml:space="preserve">BASKET OF TOADSTOOLS</t>
  </si>
  <si>
    <t xml:space="preserve">21439</t>
  </si>
  <si>
    <t xml:space="preserve">BASKET/8 SCENTED LOVE TOKEN CANDLES</t>
  </si>
  <si>
    <t xml:space="preserve">72789</t>
  </si>
  <si>
    <t xml:space="preserve">BATH BUILDING BLOCK WORD</t>
  </si>
  <si>
    <t xml:space="preserve">21756</t>
  </si>
  <si>
    <t xml:space="preserve">BATH DUCK WATERING CAN</t>
  </si>
  <si>
    <t xml:space="preserve">84676</t>
  </si>
  <si>
    <t xml:space="preserve">BATHROOM METAL SIGN</t>
  </si>
  <si>
    <t xml:space="preserve">21171</t>
  </si>
  <si>
    <t xml:space="preserve">BATHROOM SCALES FOOTPRINTS IN SAND</t>
  </si>
  <si>
    <t xml:space="preserve">82011C</t>
  </si>
  <si>
    <t xml:space="preserve">BATHROOM SCALES RUBBER DUCKS</t>
  </si>
  <si>
    <t xml:space="preserve">82011B</t>
  </si>
  <si>
    <t xml:space="preserve">BATHROOM SCALES, FAG BREAK</t>
  </si>
  <si>
    <t xml:space="preserve">82011E</t>
  </si>
  <si>
    <t xml:space="preserve">BATHROOM SCALES, TROPICAL BEACH</t>
  </si>
  <si>
    <t xml:space="preserve">82011A</t>
  </si>
  <si>
    <t xml:space="preserve">BATHROOM SET LOVE HEART DESIGN</t>
  </si>
  <si>
    <t xml:space="preserve">22137</t>
  </si>
  <si>
    <t xml:space="preserve">BEACH HUT DESIGN BLACKBOARD</t>
  </si>
  <si>
    <t xml:space="preserve">84688</t>
  </si>
  <si>
    <t xml:space="preserve">BEACH HUT KEY CABINET</t>
  </si>
  <si>
    <t xml:space="preserve">84685</t>
  </si>
  <si>
    <t xml:space="preserve">BEACH HUT MIRROR</t>
  </si>
  <si>
    <t xml:space="preserve">84686</t>
  </si>
  <si>
    <t xml:space="preserve">BEACH HUT PHOTO FRAME</t>
  </si>
  <si>
    <t xml:space="preserve">84684</t>
  </si>
  <si>
    <t xml:space="preserve">BEACH HUT SHELF W 3 DRAWERS</t>
  </si>
  <si>
    <t xml:space="preserve">84687</t>
  </si>
  <si>
    <t xml:space="preserve">BEADED CRYSTAL HEART BLUE LARGE</t>
  </si>
  <si>
    <t xml:space="preserve">85130C</t>
  </si>
  <si>
    <t xml:space="preserve">BEADED CRYSTAL HEART BLUE ON STICK</t>
  </si>
  <si>
    <t xml:space="preserve">85131C</t>
  </si>
  <si>
    <t xml:space="preserve">BEADED CRYSTAL HEART BLUE SMALL</t>
  </si>
  <si>
    <t xml:space="preserve">85129C</t>
  </si>
  <si>
    <t xml:space="preserve">BEADED CRYSTAL HEART GREEN LARGE</t>
  </si>
  <si>
    <t xml:space="preserve">85130B</t>
  </si>
  <si>
    <t xml:space="preserve">BEADED CRYSTAL HEART GREEN ON STICK</t>
  </si>
  <si>
    <t xml:space="preserve">85131B</t>
  </si>
  <si>
    <t xml:space="preserve">BEADED CRYSTAL HEART GREEN SMALL</t>
  </si>
  <si>
    <t xml:space="preserve">85129B</t>
  </si>
  <si>
    <t xml:space="preserve">BEADED CRYSTAL HEART PINK LARGE</t>
  </si>
  <si>
    <t xml:space="preserve">85130D</t>
  </si>
  <si>
    <t xml:space="preserve">BEADED CRYSTAL HEART PINK ON STICK</t>
  </si>
  <si>
    <t xml:space="preserve">85131D</t>
  </si>
  <si>
    <t xml:space="preserve">BEADED CRYSTAL HEART PINK SMALL</t>
  </si>
  <si>
    <t xml:space="preserve">85129D</t>
  </si>
  <si>
    <t xml:space="preserve">BEADED LOVE HEART JEWELLERY SET</t>
  </si>
  <si>
    <t xml:space="preserve">90167</t>
  </si>
  <si>
    <t xml:space="preserve">BEADED PEARL HEART WHITE LARGE</t>
  </si>
  <si>
    <t xml:space="preserve">85130A</t>
  </si>
  <si>
    <t xml:space="preserve">BEADED PEARL HEART WHITE ON STICK</t>
  </si>
  <si>
    <t xml:space="preserve">85131A</t>
  </si>
  <si>
    <t xml:space="preserve">BEAUTY SPEED EXPRESSO CUPS</t>
  </si>
  <si>
    <t xml:space="preserve">20688</t>
  </si>
  <si>
    <t xml:space="preserve">BEECH WOOD P/FRAME</t>
  </si>
  <si>
    <t xml:space="preserve">82069</t>
  </si>
  <si>
    <t xml:space="preserve">BEECH WOOD PHOTO FRAME</t>
  </si>
  <si>
    <t xml:space="preserve">82076</t>
  </si>
  <si>
    <t xml:space="preserve">BEIGE PHOTO ALBUM</t>
  </si>
  <si>
    <t xml:space="preserve">16202C</t>
  </si>
  <si>
    <t xml:space="preserve">BENDY COLOUR PENCILS</t>
  </si>
  <si>
    <t xml:space="preserve">10109</t>
  </si>
  <si>
    <t xml:space="preserve">BERRIES CHUNKY KNITTED THROW</t>
  </si>
  <si>
    <t xml:space="preserve">46775B</t>
  </si>
  <si>
    <t xml:space="preserve">BEST DAD CANDLE LETTERS</t>
  </si>
  <si>
    <t xml:space="preserve">72140E</t>
  </si>
  <si>
    <t xml:space="preserve">BEWARE OF THE CAT DOORMAT</t>
  </si>
  <si>
    <t xml:space="preserve">21525</t>
  </si>
  <si>
    <t xml:space="preserve">BEWARE OF THE CAT METAL SIGN</t>
  </si>
  <si>
    <t xml:space="preserve">BIG DOUGHNUT FRIDGE MAGNETS</t>
  </si>
  <si>
    <t xml:space="preserve">21700</t>
  </si>
  <si>
    <t xml:space="preserve">BIG PINK POODLE</t>
  </si>
  <si>
    <t xml:space="preserve">84371</t>
  </si>
  <si>
    <t xml:space="preserve">BILI NUT AND WOOD NECKLACE</t>
  </si>
  <si>
    <t xml:space="preserve">90031</t>
  </si>
  <si>
    <t xml:space="preserve">BINGO SET</t>
  </si>
  <si>
    <t xml:space="preserve">21888</t>
  </si>
  <si>
    <t xml:space="preserve">BIRD BOX CHRISTMAS TREE DECORATION</t>
  </si>
  <si>
    <t xml:space="preserve">21018</t>
  </si>
  <si>
    <t xml:space="preserve">BIRD DECORATION GREEN SPOT</t>
  </si>
  <si>
    <t xml:space="preserve">22322</t>
  </si>
  <si>
    <t xml:space="preserve">BIRD DECORATION RED SPOT</t>
  </si>
  <si>
    <t xml:space="preserve">22321</t>
  </si>
  <si>
    <t xml:space="preserve">BIRD HOUSE HOT WATER BOTTLE</t>
  </si>
  <si>
    <t xml:space="preserve">BIRD IN TREE MUG</t>
  </si>
  <si>
    <t xml:space="preserve">37352</t>
  </si>
  <si>
    <t xml:space="preserve">BIRDCAGE DECORATION TEALIGHT HOLDER</t>
  </si>
  <si>
    <t xml:space="preserve">BIRDHOUSE DECORATION MAGIC GARDEN</t>
  </si>
  <si>
    <t xml:space="preserve">22251</t>
  </si>
  <si>
    <t xml:space="preserve">BIRDHOUSE GARDEN MARKER</t>
  </si>
  <si>
    <t xml:space="preserve">22478</t>
  </si>
  <si>
    <t xml:space="preserve">BIRDS MOBILE VINTAGE DESIGN</t>
  </si>
  <si>
    <t xml:space="preserve">22320</t>
  </si>
  <si>
    <t xml:space="preserve">BIRTHDAY BANQUET GIFT WRAP</t>
  </si>
  <si>
    <t xml:space="preserve">22048</t>
  </si>
  <si>
    <t xml:space="preserve">BIRTHDAY CARD, RETRO SPOT</t>
  </si>
  <si>
    <t xml:space="preserve">22819</t>
  </si>
  <si>
    <t xml:space="preserve">BIRTHDAY PARTY CORDON BARRIER TAPE</t>
  </si>
  <si>
    <t xml:space="preserve">22953</t>
  </si>
  <si>
    <t xml:space="preserve">BISCUIT TIN VINTAGE GREEN</t>
  </si>
  <si>
    <t xml:space="preserve">22843</t>
  </si>
  <si>
    <t xml:space="preserve">BISCUIT TIN VINTAGE RED</t>
  </si>
  <si>
    <t xml:space="preserve">22842</t>
  </si>
  <si>
    <t xml:space="preserve">BISCUITS SMALL BOWL LIGHT BLUE</t>
  </si>
  <si>
    <t xml:space="preserve">84596L</t>
  </si>
  <si>
    <t xml:space="preserve">BLACK 3 BEAD DROP EARRINGS</t>
  </si>
  <si>
    <t xml:space="preserve">90182C</t>
  </si>
  <si>
    <t xml:space="preserve">BLACK 3 TIER GLASS PLATE STAND</t>
  </si>
  <si>
    <t xml:space="preserve">84782B</t>
  </si>
  <si>
    <t xml:space="preserve">BLACK AND WHITE CAT BOWL</t>
  </si>
  <si>
    <t xml:space="preserve">22702</t>
  </si>
  <si>
    <t xml:space="preserve">BLACK AND WHITE DOG BOWL</t>
  </si>
  <si>
    <t xml:space="preserve">22700</t>
  </si>
  <si>
    <t xml:space="preserve">BLACK AND WHITE PAISLEY FLOWER MUG</t>
  </si>
  <si>
    <t xml:space="preserve">37410</t>
  </si>
  <si>
    <t xml:space="preserve">BLACK ASSORTED DROPLET DECORATION</t>
  </si>
  <si>
    <t xml:space="preserve">35611B</t>
  </si>
  <si>
    <t xml:space="preserve">BLACK BAROQUE CARRIAGE CLOCK</t>
  </si>
  <si>
    <t xml:space="preserve">85168B</t>
  </si>
  <si>
    <t xml:space="preserve">BLACK BAROQUE CUCKOO CLOCK</t>
  </si>
  <si>
    <t xml:space="preserve">85164B</t>
  </si>
  <si>
    <t xml:space="preserve">BLACK BAROQUE WALL CLOCK</t>
  </si>
  <si>
    <t xml:space="preserve">85163B</t>
  </si>
  <si>
    <t xml:space="preserve">BLACK BIRD GARDEN DESIGN MUG</t>
  </si>
  <si>
    <t xml:space="preserve">85160B</t>
  </si>
  <si>
    <t xml:space="preserve">BLACK BOX MIRROR LANTERN</t>
  </si>
  <si>
    <t xml:space="preserve">72793</t>
  </si>
  <si>
    <t xml:space="preserve">BLACK CANDELABRA T-LIGHT HOLDER</t>
  </si>
  <si>
    <t xml:space="preserve">85116</t>
  </si>
  <si>
    <t xml:space="preserve">BLACK CHAMPAGNE GLASS</t>
  </si>
  <si>
    <t xml:space="preserve">79163</t>
  </si>
  <si>
    <t xml:space="preserve">BLACK CHERRY LIGHTS</t>
  </si>
  <si>
    <t xml:space="preserve">79323B</t>
  </si>
  <si>
    <t xml:space="preserve">BLACK CHRISTMAS FLOCK DROPLET</t>
  </si>
  <si>
    <t xml:space="preserve">35610B</t>
  </si>
  <si>
    <t xml:space="preserve">BLACK CHRISTMAS TREE 120CM</t>
  </si>
  <si>
    <t xml:space="preserve">35599B</t>
  </si>
  <si>
    <t xml:space="preserve">BLACK CHRISTMAS TREE 60CM</t>
  </si>
  <si>
    <t xml:space="preserve">35598B</t>
  </si>
  <si>
    <t xml:space="preserve">BLACK CHUNKY BEAD BRACELET W STRAP</t>
  </si>
  <si>
    <t xml:space="preserve">90184C</t>
  </si>
  <si>
    <t xml:space="preserve">BLACK CRYSTAL DROP EARRINGS</t>
  </si>
  <si>
    <t xml:space="preserve">90011B</t>
  </si>
  <si>
    <t xml:space="preserve">BLACK DIAMANTE EXPANDABLE RING</t>
  </si>
  <si>
    <t xml:space="preserve">90185C</t>
  </si>
  <si>
    <t xml:space="preserve">BLACK DIAMOND CLUSTER EARRINGS</t>
  </si>
  <si>
    <t xml:space="preserve">90077</t>
  </si>
  <si>
    <t xml:space="preserve">BLACK DIAMOND CLUSTER NECKLACE</t>
  </si>
  <si>
    <t xml:space="preserve">90074</t>
  </si>
  <si>
    <t xml:space="preserve">BLACK DINER WALL CLOCK</t>
  </si>
  <si>
    <t xml:space="preserve">22194</t>
  </si>
  <si>
    <t xml:space="preserve">BLACK DROP CRYSTAL NECKLACE</t>
  </si>
  <si>
    <t xml:space="preserve">90012B</t>
  </si>
  <si>
    <t xml:space="preserve">BLACK DROP EARRINGS W LONG BEADS</t>
  </si>
  <si>
    <t xml:space="preserve">90183C</t>
  </si>
  <si>
    <t xml:space="preserve">BLACK EAR MUFF HEADPHONES</t>
  </si>
  <si>
    <t xml:space="preserve">20780</t>
  </si>
  <si>
    <t xml:space="preserve">BLACK ENAMEL FLOWER RING</t>
  </si>
  <si>
    <t xml:space="preserve">BLACK ENCHANTED FOREST PLACEMAT</t>
  </si>
  <si>
    <t xml:space="preserve">85114A</t>
  </si>
  <si>
    <t xml:space="preserve">BLACK FACE LAMB WITH PANTS</t>
  </si>
  <si>
    <t xml:space="preserve">84901</t>
  </si>
  <si>
    <t xml:space="preserve">BLACK FEATHER CHRISTMAS DECORATION</t>
  </si>
  <si>
    <t xml:space="preserve">35607B</t>
  </si>
  <si>
    <t xml:space="preserve">BLACK FINE BEAD NECKLACE W TASSEL</t>
  </si>
  <si>
    <t xml:space="preserve">90179C</t>
  </si>
  <si>
    <t xml:space="preserve">BLACK FLOCK GOLD CANDLE</t>
  </si>
  <si>
    <t xml:space="preserve">72771C</t>
  </si>
  <si>
    <t xml:space="preserve">BLACK FLOWER CANDLE PLATE</t>
  </si>
  <si>
    <t xml:space="preserve">84499</t>
  </si>
  <si>
    <t xml:space="preserve">BLACK GEMSTONE BRACELET</t>
  </si>
  <si>
    <t xml:space="preserve">90195B</t>
  </si>
  <si>
    <t xml:space="preserve">BLACK GEMSTONE NECKLACE 45CM</t>
  </si>
  <si>
    <t xml:space="preserve">90196B</t>
  </si>
  <si>
    <t xml:space="preserve">BLACK GLASS BRACELET W HEART CHARMS</t>
  </si>
  <si>
    <t xml:space="preserve">90197B</t>
  </si>
  <si>
    <t xml:space="preserve">BLACK GLASS TV DOUBLE P/FRAME 15X10</t>
  </si>
  <si>
    <t xml:space="preserve">84427B</t>
  </si>
  <si>
    <t xml:space="preserve">BLACK GLASS/SHELL/PEARL NECKLACE</t>
  </si>
  <si>
    <t xml:space="preserve">90181C</t>
  </si>
  <si>
    <t xml:space="preserve">BLACK GRAND BAROQUE PHOTO FRAME</t>
  </si>
  <si>
    <t xml:space="preserve">85167B</t>
  </si>
  <si>
    <t xml:space="preserve">BLACK HEART CARD HOLDER</t>
  </si>
  <si>
    <t xml:space="preserve">22188</t>
  </si>
  <si>
    <t xml:space="preserve">BLACK KITCHEN SCALES</t>
  </si>
  <si>
    <t xml:space="preserve">BLACK LOVE BIRD CANDLE</t>
  </si>
  <si>
    <t xml:space="preserve">85169B</t>
  </si>
  <si>
    <t xml:space="preserve">BLACK LOVE BIRD T-LIGHT HOLDER</t>
  </si>
  <si>
    <t xml:space="preserve">84952B</t>
  </si>
  <si>
    <t xml:space="preserve">BLACK MEDIUM GLASS CAKE STAND</t>
  </si>
  <si>
    <t xml:space="preserve">84751B</t>
  </si>
  <si>
    <t xml:space="preserve">BLACK METAL BAROQUE PHOTO FRAME</t>
  </si>
  <si>
    <t xml:space="preserve">85166B</t>
  </si>
  <si>
    <t xml:space="preserve">BLACK MINI TAPE MEASURE</t>
  </si>
  <si>
    <t xml:space="preserve">20735</t>
  </si>
  <si>
    <t xml:space="preserve">BLACK NEW BAROQUE FLOCK BOX</t>
  </si>
  <si>
    <t xml:space="preserve">84611B</t>
  </si>
  <si>
    <t xml:space="preserve">BLACK ORANGE SQUEEZER</t>
  </si>
  <si>
    <t xml:space="preserve">71406C</t>
  </si>
  <si>
    <t xml:space="preserve">BLACK PHOTO ALBUM</t>
  </si>
  <si>
    <t xml:space="preserve">16202E</t>
  </si>
  <si>
    <t xml:space="preserve">BLACK PILLAR CANDLE SILVER FLOCK</t>
  </si>
  <si>
    <t xml:space="preserve">72799A</t>
  </si>
  <si>
    <t xml:space="preserve">BLACK PIRATE TREASURE CHEST</t>
  </si>
  <si>
    <t xml:space="preserve">22068</t>
  </si>
  <si>
    <t xml:space="preserve">BLACK RECORD COVER FRAME</t>
  </si>
  <si>
    <t xml:space="preserve">21137</t>
  </si>
  <si>
    <t xml:space="preserve">BLACK RETRO BAR STOOL</t>
  </si>
  <si>
    <t xml:space="preserve">20786</t>
  </si>
  <si>
    <t xml:space="preserve">BLACK RETRODISC LAMPSHADE</t>
  </si>
  <si>
    <t xml:space="preserve">85162B</t>
  </si>
  <si>
    <t xml:space="preserve">BLACK RND BULLET"KEEP CLEAN" BIN</t>
  </si>
  <si>
    <t xml:space="preserve">71434B</t>
  </si>
  <si>
    <t xml:space="preserve">BLACK SIL'T SQU CANDLE PLATE</t>
  </si>
  <si>
    <t xml:space="preserve">72783</t>
  </si>
  <si>
    <t xml:space="preserve">BLACK SILOUETTE CANDLE PLATE</t>
  </si>
  <si>
    <t xml:space="preserve">72780</t>
  </si>
  <si>
    <t xml:space="preserve">72781</t>
  </si>
  <si>
    <t xml:space="preserve">BLACK SILVER FLOWER T-LIGHT HOLDER</t>
  </si>
  <si>
    <t xml:space="preserve">85110</t>
  </si>
  <si>
    <t xml:space="preserve">BLACK SMALL GLASS CAKE STAND</t>
  </si>
  <si>
    <t xml:space="preserve">84750B</t>
  </si>
  <si>
    <t xml:space="preserve">BLACK SQUARE TABLE CLOCK</t>
  </si>
  <si>
    <t xml:space="preserve">BLACK STITCHED WALL CLOCK</t>
  </si>
  <si>
    <t xml:space="preserve">84660B</t>
  </si>
  <si>
    <t xml:space="preserve">BLACK SWEETHEART BRACELET</t>
  </si>
  <si>
    <t xml:space="preserve">90200B</t>
  </si>
  <si>
    <t xml:space="preserve">BLACK TEA TOWEL CLASSIC DESIGN</t>
  </si>
  <si>
    <t xml:space="preserve">22481</t>
  </si>
  <si>
    <t xml:space="preserve">BLACK TEA,COFFEE,SUGAR JARS</t>
  </si>
  <si>
    <t xml:space="preserve">85159A</t>
  </si>
  <si>
    <t xml:space="preserve">BLACK VINT ART DEC CRYSTAL BRACELET</t>
  </si>
  <si>
    <t xml:space="preserve">90065B</t>
  </si>
  <si>
    <t xml:space="preserve">BLACK VINT ART DEC CRYSTAL NECKLACE</t>
  </si>
  <si>
    <t xml:space="preserve">90063B</t>
  </si>
  <si>
    <t xml:space="preserve">BLACK VINTAGE CRYSTAL EARRINGS</t>
  </si>
  <si>
    <t xml:space="preserve">90064B</t>
  </si>
  <si>
    <t xml:space="preserve">BLACK VINTAGE EARRINGS</t>
  </si>
  <si>
    <t xml:space="preserve">90013B</t>
  </si>
  <si>
    <t xml:space="preserve">BLACK WINE GLASS</t>
  </si>
  <si>
    <t xml:space="preserve">79164</t>
  </si>
  <si>
    <t xml:space="preserve">BLACK+WHITE NECKLACE W TASSEL</t>
  </si>
  <si>
    <t xml:space="preserve">90180A</t>
  </si>
  <si>
    <t xml:space="preserve">BLACK/BLUE DOTS RUFFLED UMBRELLA</t>
  </si>
  <si>
    <t xml:space="preserve">85014A</t>
  </si>
  <si>
    <t xml:space="preserve">BLACK/WHITE GLASS/SILVER BRACELET</t>
  </si>
  <si>
    <t xml:space="preserve">90010B</t>
  </si>
  <si>
    <t xml:space="preserve">BLACKCHRISTMAS TREE 30CM</t>
  </si>
  <si>
    <t xml:space="preserve">35597B</t>
  </si>
  <si>
    <t xml:space="preserve">BLCK NEW BAROQUE CANDLESTICK CANDLE</t>
  </si>
  <si>
    <t xml:space="preserve">84625B</t>
  </si>
  <si>
    <t xml:space="preserve">BLING KEY RING STAND</t>
  </si>
  <si>
    <t xml:space="preserve">85225</t>
  </si>
  <si>
    <t xml:space="preserve">BLOKEY SILVER TOOL SET</t>
  </si>
  <si>
    <t xml:space="preserve">84855</t>
  </si>
  <si>
    <t xml:space="preserve">BLOND DOLL DOORSTOP</t>
  </si>
  <si>
    <t xml:space="preserve">21117</t>
  </si>
  <si>
    <t xml:space="preserve">BLOSSOM IMAGES GIFT WRAP SET</t>
  </si>
  <si>
    <t xml:space="preserve">BLOSSOM IMAGES NOTEBOOK SET</t>
  </si>
  <si>
    <t xml:space="preserve">85019B</t>
  </si>
  <si>
    <t xml:space="preserve">BLOSSOM IMAGES SCRAP BOOK SET</t>
  </si>
  <si>
    <t xml:space="preserve">85031B</t>
  </si>
  <si>
    <t xml:space="preserve">BLUE &amp; WHITE BREAKFAST TRAY</t>
  </si>
  <si>
    <t xml:space="preserve">84563B</t>
  </si>
  <si>
    <t xml:space="preserve">BLUE 3 PIECE MINI DOTS CUTLERY SET</t>
  </si>
  <si>
    <t xml:space="preserve">BLUE 5 PATCH FLOWER CUSHION COVER</t>
  </si>
  <si>
    <t xml:space="preserve">84908B</t>
  </si>
  <si>
    <t xml:space="preserve">BLUE BABY BOY'S MEMORY BOX</t>
  </si>
  <si>
    <t xml:space="preserve">84868B</t>
  </si>
  <si>
    <t xml:space="preserve">BLUE BABY BOY'S PHOTO ALBUM</t>
  </si>
  <si>
    <t xml:space="preserve">84867B</t>
  </si>
  <si>
    <t xml:space="preserve">BLUE BAROQUE FLOCK CANDLE HOLDER</t>
  </si>
  <si>
    <t xml:space="preserve">84614C</t>
  </si>
  <si>
    <t xml:space="preserve">BLUE BEADS+HAND PHONE CHARM</t>
  </si>
  <si>
    <t xml:space="preserve">90127B</t>
  </si>
  <si>
    <t xml:space="preserve">BLUE BERTIE MOBILE PHONE CHARM</t>
  </si>
  <si>
    <t xml:space="preserve">90126B</t>
  </si>
  <si>
    <t xml:space="preserve">BLUE BIRDHOUSE DECORATION</t>
  </si>
  <si>
    <t xml:space="preserve">21441</t>
  </si>
  <si>
    <t xml:space="preserve">BLUE BLOSSOM HAIR CLIP</t>
  </si>
  <si>
    <t xml:space="preserve">90108</t>
  </si>
  <si>
    <t xml:space="preserve">BLUE BREAKFAST CUP AND SAUCER</t>
  </si>
  <si>
    <t xml:space="preserve">37444B</t>
  </si>
  <si>
    <t xml:space="preserve">BLUE BUTTERFLY ON SPRING</t>
  </si>
  <si>
    <t xml:space="preserve">44241C</t>
  </si>
  <si>
    <t xml:space="preserve">BLUE CALCULATOR RULER</t>
  </si>
  <si>
    <t xml:space="preserve">20986</t>
  </si>
  <si>
    <t xml:space="preserve">BLUE CAT BISCUIT BARREL PINK HEART</t>
  </si>
  <si>
    <t xml:space="preserve">84576</t>
  </si>
  <si>
    <t xml:space="preserve">BLUE CHALET BIRDFEEDER</t>
  </si>
  <si>
    <t xml:space="preserve">21444</t>
  </si>
  <si>
    <t xml:space="preserve">BLUE CHARLIE+LOLA PERSONAL DOORSIGN</t>
  </si>
  <si>
    <t xml:space="preserve">85071A</t>
  </si>
  <si>
    <t xml:space="preserve">BLUE CHECK BAG W HANDLE 34X20CM</t>
  </si>
  <si>
    <t xml:space="preserve">62043B</t>
  </si>
  <si>
    <t xml:space="preserve">BLUE CHENILLE SHAGGY CUSHION COVER</t>
  </si>
  <si>
    <t xml:space="preserve">46138B</t>
  </si>
  <si>
    <t xml:space="preserve">BLUE CHERRY BLOSSOM CUP &amp; SAUCER</t>
  </si>
  <si>
    <t xml:space="preserve">37379B</t>
  </si>
  <si>
    <t xml:space="preserve">BLUE CIRCLES DESIGN MONKEY DOLL</t>
  </si>
  <si>
    <t xml:space="preserve">84507C</t>
  </si>
  <si>
    <t xml:space="preserve">BLUE CIRCLES DESIGN TEDDY</t>
  </si>
  <si>
    <t xml:space="preserve">84508C</t>
  </si>
  <si>
    <t xml:space="preserve">BLUE CLIMBING HYDRANGA ART FLOWER</t>
  </si>
  <si>
    <t xml:space="preserve">BLUE COAT RACK PARIS FASHION</t>
  </si>
  <si>
    <t xml:space="preserve">BLUE COL METAL FOLDING CHAIR</t>
  </si>
  <si>
    <t xml:space="preserve">84292B</t>
  </si>
  <si>
    <t xml:space="preserve">BLUE CRUSOE CHECK LAMPSHADE</t>
  </si>
  <si>
    <t xml:space="preserve">44091A</t>
  </si>
  <si>
    <t xml:space="preserve">BLUE CRYSTAL BOOT PHONE CHARM</t>
  </si>
  <si>
    <t xml:space="preserve">90092</t>
  </si>
  <si>
    <t xml:space="preserve">BLUE CUSHION COVER WITH FLOWER</t>
  </si>
  <si>
    <t xml:space="preserve">84919</t>
  </si>
  <si>
    <t xml:space="preserve">BLUE DAISY MOBILE</t>
  </si>
  <si>
    <t xml:space="preserve">75011</t>
  </si>
  <si>
    <t xml:space="preserve">BLUE DELPHINIUM ARTIFICIAL FLOWER</t>
  </si>
  <si>
    <t xml:space="preserve">BLUE DIAMANTE PEN IN GIFT BOX</t>
  </si>
  <si>
    <t xml:space="preserve">21850</t>
  </si>
  <si>
    <t xml:space="preserve">BLUE DINER WALL CLOCK</t>
  </si>
  <si>
    <t xml:space="preserve">BLUE DISCO HANDBAG</t>
  </si>
  <si>
    <t xml:space="preserve">84859B</t>
  </si>
  <si>
    <t xml:space="preserve">BLUE DRAGONFLY HELICOPTER</t>
  </si>
  <si>
    <t xml:space="preserve">85135B</t>
  </si>
  <si>
    <t xml:space="preserve">BLUE DRAWER KNOB ACRYLIC EDWARDIAN</t>
  </si>
  <si>
    <t xml:space="preserve">22805</t>
  </si>
  <si>
    <t xml:space="preserve">BLUE DROP EARRINGS W BEAD CLUSTER</t>
  </si>
  <si>
    <t xml:space="preserve">90187A</t>
  </si>
  <si>
    <t xml:space="preserve">BLUE EASTER EGG HUNT START POST</t>
  </si>
  <si>
    <t xml:space="preserve">21461</t>
  </si>
  <si>
    <t xml:space="preserve">BLUE EGG SPOON</t>
  </si>
  <si>
    <t xml:space="preserve">21403</t>
  </si>
  <si>
    <t xml:space="preserve">BLUE FAIRY CAKE CHILD'S APRON</t>
  </si>
  <si>
    <t xml:space="preserve">47591C</t>
  </si>
  <si>
    <t xml:space="preserve">BLUE FELT EASTER EGG BASKET</t>
  </si>
  <si>
    <t xml:space="preserve">22021</t>
  </si>
  <si>
    <t xml:space="preserve">BLUE FELT HANGING HEART W FLOWER</t>
  </si>
  <si>
    <t xml:space="preserve">35916B</t>
  </si>
  <si>
    <t xml:space="preserve">BLUE FLOCK CUSHION COVER</t>
  </si>
  <si>
    <t xml:space="preserve">84415B</t>
  </si>
  <si>
    <t xml:space="preserve">BLUE FLOCK GLASS CANDLEHOLDER</t>
  </si>
  <si>
    <t xml:space="preserve">79328</t>
  </si>
  <si>
    <t xml:space="preserve">79337</t>
  </si>
  <si>
    <t xml:space="preserve">BLUE FLORIBUNDA EGG WARMER</t>
  </si>
  <si>
    <t xml:space="preserve">35918B</t>
  </si>
  <si>
    <t xml:space="preserve">BLUE FLOWER DES PURSE</t>
  </si>
  <si>
    <t xml:space="preserve">47344B</t>
  </si>
  <si>
    <t xml:space="preserve">BLUE FLOWER T-LIGHT HOLDER</t>
  </si>
  <si>
    <t xml:space="preserve">47347B</t>
  </si>
  <si>
    <t xml:space="preserve">BLUE FLY SWAT</t>
  </si>
  <si>
    <t xml:space="preserve">84673B</t>
  </si>
  <si>
    <t xml:space="preserve">BLUE FLYING SINGING CANARY</t>
  </si>
  <si>
    <t xml:space="preserve">85098B</t>
  </si>
  <si>
    <t xml:space="preserve">BLUE GEISHA GIRL</t>
  </si>
  <si>
    <t xml:space="preserve">84870B</t>
  </si>
  <si>
    <t xml:space="preserve">BLUE GIANT GARDEN THERMOMETER</t>
  </si>
  <si>
    <t xml:space="preserve">22925</t>
  </si>
  <si>
    <t xml:space="preserve">BLUE GINGHAM ROSE CUSHION COVER</t>
  </si>
  <si>
    <t xml:space="preserve">84620</t>
  </si>
  <si>
    <t xml:space="preserve">BLUE GINGHAM ROSE FLOOR CUSHION</t>
  </si>
  <si>
    <t xml:space="preserve">84621</t>
  </si>
  <si>
    <t xml:space="preserve">BLUE GINGHAM ROSE QUILT</t>
  </si>
  <si>
    <t xml:space="preserve">84619</t>
  </si>
  <si>
    <t xml:space="preserve">BLUE GLASS CHUNKY CHARM BRACELET</t>
  </si>
  <si>
    <t xml:space="preserve">90175C</t>
  </si>
  <si>
    <t xml:space="preserve">BLUE GREEN EMBROIDERY COSMETIC BAG</t>
  </si>
  <si>
    <t xml:space="preserve">47369B</t>
  </si>
  <si>
    <t xml:space="preserve">BLUE HANGING GINGHAM EASTER HEN</t>
  </si>
  <si>
    <t xml:space="preserve">84745B</t>
  </si>
  <si>
    <t xml:space="preserve">BLUE HAPPY BIRTHDAY BUNTING</t>
  </si>
  <si>
    <t xml:space="preserve">47590A</t>
  </si>
  <si>
    <t xml:space="preserve">BLUE HARMONICA IN BOX</t>
  </si>
  <si>
    <t xml:space="preserve">BLUE HEART COMPACT MIRROR</t>
  </si>
  <si>
    <t xml:space="preserve">84876D</t>
  </si>
  <si>
    <t xml:space="preserve">BLUE HIBISCUS HAIR CLIP</t>
  </si>
  <si>
    <t xml:space="preserve">90111</t>
  </si>
  <si>
    <t xml:space="preserve">BLUE HOLE PUNCH</t>
  </si>
  <si>
    <t xml:space="preserve">16248B</t>
  </si>
  <si>
    <t xml:space="preserve">BLUE JUICY FRUIT PHOTO FRAME</t>
  </si>
  <si>
    <t xml:space="preserve">85124B</t>
  </si>
  <si>
    <t xml:space="preserve">BLUE KASHMIRI BOXED MIRROR</t>
  </si>
  <si>
    <t xml:space="preserve">84966B</t>
  </si>
  <si>
    <t xml:space="preserve">BLUE KASHMIRI COFFEE TABLE</t>
  </si>
  <si>
    <t xml:space="preserve">84965B</t>
  </si>
  <si>
    <t xml:space="preserve">BLUE KASHMIRI OCCASIONAL TABLE</t>
  </si>
  <si>
    <t xml:space="preserve">84967B</t>
  </si>
  <si>
    <t xml:space="preserve">BLUE KNITTED EGG COSY</t>
  </si>
  <si>
    <t xml:space="preserve">84531B</t>
  </si>
  <si>
    <t xml:space="preserve">BLUE KNITTED HEN</t>
  </si>
  <si>
    <t xml:space="preserve">35915B</t>
  </si>
  <si>
    <t xml:space="preserve">BLUE KNITTED KID'S RUCKSACK</t>
  </si>
  <si>
    <t xml:space="preserve">84529B</t>
  </si>
  <si>
    <t xml:space="preserve">BLUE LEAVES AND BEADS PHONE CHARM</t>
  </si>
  <si>
    <t xml:space="preserve">90128B</t>
  </si>
  <si>
    <t xml:space="preserve">BLUE METAL WALL SHELF</t>
  </si>
  <si>
    <t xml:space="preserve">84886</t>
  </si>
  <si>
    <t xml:space="preserve">BLUE MURANO TWIST BRACELET</t>
  </si>
  <si>
    <t xml:space="preserve">90120B</t>
  </si>
  <si>
    <t xml:space="preserve">BLUE MURANO TWIST NECKLACE</t>
  </si>
  <si>
    <t xml:space="preserve">90124B</t>
  </si>
  <si>
    <t xml:space="preserve">BLUE NETTING STORAGE HANGER</t>
  </si>
  <si>
    <t xml:space="preserve">78034B</t>
  </si>
  <si>
    <t xml:space="preserve">BLUE NEW BAROQUE CANDLESTICK CANDLE</t>
  </si>
  <si>
    <t xml:space="preserve">84625C</t>
  </si>
  <si>
    <t xml:space="preserve">BLUE NEW BAROQUE FLOCK CANDLESTICK</t>
  </si>
  <si>
    <t xml:space="preserve">84613C</t>
  </si>
  <si>
    <t xml:space="preserve">BLUE ORGANDY ROUND LAMPSHADE W BEA</t>
  </si>
  <si>
    <t xml:space="preserve">40005B</t>
  </si>
  <si>
    <t xml:space="preserve">BLUE OWL SOFT TOY</t>
  </si>
  <si>
    <t xml:space="preserve">22176</t>
  </si>
  <si>
    <t xml:space="preserve">BLUE PADDED SOFT MOBILE</t>
  </si>
  <si>
    <t xml:space="preserve">20703</t>
  </si>
  <si>
    <t xml:space="preserve">BLUE PAINTED KASHMIRI CHAIR</t>
  </si>
  <si>
    <t xml:space="preserve">84963B</t>
  </si>
  <si>
    <t xml:space="preserve">BLUE PAINTED KASHMIRI TABLE</t>
  </si>
  <si>
    <t xml:space="preserve">84964B</t>
  </si>
  <si>
    <t xml:space="preserve">BLUE PAISLEY JOURNAL</t>
  </si>
  <si>
    <t xml:space="preserve">20767</t>
  </si>
  <si>
    <t xml:space="preserve">BLUE PAISLEY NOTEBOOK</t>
  </si>
  <si>
    <t xml:space="preserve">20773</t>
  </si>
  <si>
    <t xml:space="preserve">BLUE PAISLEY POCKET BOOK</t>
  </si>
  <si>
    <t xml:space="preserve">20755</t>
  </si>
  <si>
    <t xml:space="preserve">BLUE PAISLEY SKETCHBOOK</t>
  </si>
  <si>
    <t xml:space="preserve">20761</t>
  </si>
  <si>
    <t xml:space="preserve">BLUE PAISLEY TISSUE BOX</t>
  </si>
  <si>
    <t xml:space="preserve">22092</t>
  </si>
  <si>
    <t xml:space="preserve">BLUE PAPER PARASOL</t>
  </si>
  <si>
    <t xml:space="preserve">15044B</t>
  </si>
  <si>
    <t xml:space="preserve">BLUE PARTY BAGS</t>
  </si>
  <si>
    <t xml:space="preserve">47599B</t>
  </si>
  <si>
    <t xml:space="preserve">BLUE PATCH PENCIL CASE PINK HEART</t>
  </si>
  <si>
    <t xml:space="preserve">20863</t>
  </si>
  <si>
    <t xml:space="preserve">BLUE PATCH PURSE PINK HEART</t>
  </si>
  <si>
    <t xml:space="preserve">20854</t>
  </si>
  <si>
    <t xml:space="preserve">BLUE PILLAR CANDLE SILVER FLOCK</t>
  </si>
  <si>
    <t xml:space="preserve">72799D</t>
  </si>
  <si>
    <t xml:space="preserve">BLUE POLKADOT KIDS BAG</t>
  </si>
  <si>
    <t xml:space="preserve">22324</t>
  </si>
  <si>
    <t xml:space="preserve">BLUE PORCELAIN B'FLY OIL BURNER</t>
  </si>
  <si>
    <t xml:space="preserve">18098B</t>
  </si>
  <si>
    <t xml:space="preserve">BLUE POT PLANT CANDLE</t>
  </si>
  <si>
    <t xml:space="preserve">20931</t>
  </si>
  <si>
    <t xml:space="preserve">BLUE PUDDING SPOON</t>
  </si>
  <si>
    <t xml:space="preserve">21401</t>
  </si>
  <si>
    <t xml:space="preserve">BLUE PULL BACK RACING CAR</t>
  </si>
  <si>
    <t xml:space="preserve">85226C</t>
  </si>
  <si>
    <t xml:space="preserve">BLUE RETRO BAR STOOL</t>
  </si>
  <si>
    <t xml:space="preserve">20787</t>
  </si>
  <si>
    <t xml:space="preserve">BLUE RIVIERA HANDBAG</t>
  </si>
  <si>
    <t xml:space="preserve">84858B</t>
  </si>
  <si>
    <t xml:space="preserve">BLUE ROCKING SINGING CANARY</t>
  </si>
  <si>
    <t xml:space="preserve">85097B</t>
  </si>
  <si>
    <t xml:space="preserve">BLUE ROSE FABRIC MIRROR</t>
  </si>
  <si>
    <t xml:space="preserve">20866</t>
  </si>
  <si>
    <t xml:space="preserve">BLUE ROSE PATCH PURSE PINK BUTTERFL</t>
  </si>
  <si>
    <t xml:space="preserve">20857</t>
  </si>
  <si>
    <t xml:space="preserve">BLUE ROUND COMPACT MIRROR</t>
  </si>
  <si>
    <t xml:space="preserve">84877D</t>
  </si>
  <si>
    <t xml:space="preserve">BLUE SAVANNAH PICNIC HAMPER FOR 2</t>
  </si>
  <si>
    <t xml:space="preserve">84796B</t>
  </si>
  <si>
    <t xml:space="preserve">BLUE SAVANNAH PICNIC HAMPER FOR 4</t>
  </si>
  <si>
    <t xml:space="preserve">84797B</t>
  </si>
  <si>
    <t xml:space="preserve">BLUE SCANDINAVIAN PAISLEY WRAP</t>
  </si>
  <si>
    <t xml:space="preserve">22051</t>
  </si>
  <si>
    <t xml:space="preserve">BLUE SCOTTIE DOG W FLOWER PATTERN</t>
  </si>
  <si>
    <t xml:space="preserve">84931B</t>
  </si>
  <si>
    <t xml:space="preserve">BLUE SHARK HELICOPTER</t>
  </si>
  <si>
    <t xml:space="preserve">85136B</t>
  </si>
  <si>
    <t xml:space="preserve">BLUE SHELL+SILVER NECKLACE</t>
  </si>
  <si>
    <t xml:space="preserve">90150</t>
  </si>
  <si>
    <t xml:space="preserve">BLUE SPOT CERAMIC DRAWER KNOB</t>
  </si>
  <si>
    <t xml:space="preserve">21670</t>
  </si>
  <si>
    <t xml:space="preserve">BLUE SPOTS WRAP</t>
  </si>
  <si>
    <t xml:space="preserve">BLUE SPOTTY BEAKER</t>
  </si>
  <si>
    <t xml:space="preserve">21395</t>
  </si>
  <si>
    <t xml:space="preserve">BLUE SPOTTY BOWL</t>
  </si>
  <si>
    <t xml:space="preserve">BLUE SPOTTY COFFEE MUG</t>
  </si>
  <si>
    <t xml:space="preserve">21399</t>
  </si>
  <si>
    <t xml:space="preserve">BLUE SPOTTY CUP</t>
  </si>
  <si>
    <t xml:space="preserve">BLUE SPOTTY EGG CUP</t>
  </si>
  <si>
    <t xml:space="preserve">21397</t>
  </si>
  <si>
    <t xml:space="preserve">BLUE SPOTTY LUGGAGE TAG</t>
  </si>
  <si>
    <t xml:space="preserve">20652</t>
  </si>
  <si>
    <t xml:space="preserve">BLUE SPOTTY PASSPORT COVER</t>
  </si>
  <si>
    <t xml:space="preserve">20615</t>
  </si>
  <si>
    <t xml:space="preserve">BLUE SPOTTY PLATE</t>
  </si>
  <si>
    <t xml:space="preserve">21244</t>
  </si>
  <si>
    <t xml:space="preserve">BLUE SPOTTY PUDDING BOWL</t>
  </si>
  <si>
    <t xml:space="preserve">21393</t>
  </si>
  <si>
    <t xml:space="preserve">BLUE SPOTTY PURSE</t>
  </si>
  <si>
    <t xml:space="preserve">20661</t>
  </si>
  <si>
    <t xml:space="preserve">BLUE SQUARE COMPACT MIRROR</t>
  </si>
  <si>
    <t xml:space="preserve">84875D</t>
  </si>
  <si>
    <t xml:space="preserve">BLUE STAR BLOCK TABLE LAMP</t>
  </si>
  <si>
    <t xml:space="preserve">79303B</t>
  </si>
  <si>
    <t xml:space="preserve">BLUE STONES ON WIRE FOR CANDLE</t>
  </si>
  <si>
    <t xml:space="preserve">17136A</t>
  </si>
  <si>
    <t xml:space="preserve">BLUE STRIPE CERAMIC DRAWER KNOB</t>
  </si>
  <si>
    <t xml:space="preserve">21669</t>
  </si>
  <si>
    <t xml:space="preserve">BLUE STRIPES SHOULDER BAG</t>
  </si>
  <si>
    <t xml:space="preserve">62097B</t>
  </si>
  <si>
    <t xml:space="preserve">BLUE SWEETHEART BRACELET</t>
  </si>
  <si>
    <t xml:space="preserve">90200C</t>
  </si>
  <si>
    <t xml:space="preserve">BLUE TABLE RUN FLOWER</t>
  </si>
  <si>
    <t xml:space="preserve">47341B</t>
  </si>
  <si>
    <t xml:space="preserve">BLUE TALL PORCELAIN T-LIGHT HOLDER</t>
  </si>
  <si>
    <t xml:space="preserve">18097B</t>
  </si>
  <si>
    <t xml:space="preserve">BLUE TEA TOWEL CLASSIC DESIGN</t>
  </si>
  <si>
    <t xml:space="preserve">22482</t>
  </si>
  <si>
    <t xml:space="preserve">BLUE TEATIME PRINT BOWL</t>
  </si>
  <si>
    <t xml:space="preserve">20671</t>
  </si>
  <si>
    <t xml:space="preserve">BLUE TILE HOOK</t>
  </si>
  <si>
    <t xml:space="preserve">20794</t>
  </si>
  <si>
    <t xml:space="preserve">BLUE TILED SET OF 3 DRAWERS</t>
  </si>
  <si>
    <t xml:space="preserve">20791</t>
  </si>
  <si>
    <t xml:space="preserve">BLUE TILED TRAY</t>
  </si>
  <si>
    <t xml:space="preserve">20793</t>
  </si>
  <si>
    <t xml:space="preserve">BLUE TINSEL GARLAND</t>
  </si>
  <si>
    <t xml:space="preserve">35633B</t>
  </si>
  <si>
    <t xml:space="preserve">BLUE TRAVEL FIRST AID KIT</t>
  </si>
  <si>
    <t xml:space="preserve">84874B</t>
  </si>
  <si>
    <t xml:space="preserve">BLUE TV TRAY TABLE</t>
  </si>
  <si>
    <t xml:space="preserve">84313B</t>
  </si>
  <si>
    <t xml:space="preserve">BLUE VICTORIAN FABRIC HEART BOX</t>
  </si>
  <si>
    <t xml:space="preserve">35096A</t>
  </si>
  <si>
    <t xml:space="preserve">BLUE VICTORIAN FABRIC OVAL BOX</t>
  </si>
  <si>
    <t xml:space="preserve">35095A</t>
  </si>
  <si>
    <t xml:space="preserve">BLUE VOILE LAMPSHADE</t>
  </si>
  <si>
    <t xml:space="preserve">47351B</t>
  </si>
  <si>
    <t xml:space="preserve">BLUE WHITE PLASTIC RINGS LAMPSHADE</t>
  </si>
  <si>
    <t xml:space="preserve">44092B</t>
  </si>
  <si>
    <t xml:space="preserve">BLUE WHITE SCARF HOT WATER BOTTLE</t>
  </si>
  <si>
    <t xml:space="preserve">21489</t>
  </si>
  <si>
    <t xml:space="preserve">BLUE WHITE SPOTS GARDEN PARASOL</t>
  </si>
  <si>
    <t xml:space="preserve">15058A</t>
  </si>
  <si>
    <t xml:space="preserve">BLUE WIRE SPIRAL CANDLE HOLDER</t>
  </si>
  <si>
    <t xml:space="preserve">84881</t>
  </si>
  <si>
    <t xml:space="preserve">BLUE YELLOW FLOWER PIGGY BANK</t>
  </si>
  <si>
    <t xml:space="preserve">37492B</t>
  </si>
  <si>
    <t xml:space="preserve">BLUE/BROWN DOTS RUFFLED UMBRELLA</t>
  </si>
  <si>
    <t xml:space="preserve">85014C</t>
  </si>
  <si>
    <t xml:space="preserve">BLUE/CREAM STRIPE CUSHION COVER</t>
  </si>
  <si>
    <t xml:space="preserve">21927</t>
  </si>
  <si>
    <t xml:space="preserve">BLUE/CREAM STRIPE FRINGE HAMMOCK</t>
  </si>
  <si>
    <t xml:space="preserve">21924</t>
  </si>
  <si>
    <t xml:space="preserve">BLUE/GREEN SHELL NECKLACE W PENDANT</t>
  </si>
  <si>
    <t xml:space="preserve">90152B</t>
  </si>
  <si>
    <t xml:space="preserve">BLUE/NAT SHELL NECKLACE W PENDANT</t>
  </si>
  <si>
    <t xml:space="preserve">90152C</t>
  </si>
  <si>
    <t xml:space="preserve">BLUE/PINK NEST STRIPE BOX</t>
  </si>
  <si>
    <t xml:space="preserve">84493</t>
  </si>
  <si>
    <t xml:space="preserve">BLUE/WHITE RIBBED MELAMINE JUG</t>
  </si>
  <si>
    <t xml:space="preserve">84562B</t>
  </si>
  <si>
    <t xml:space="preserve">BLUE/YELLOW CERAMIC CANDLE HOLDER</t>
  </si>
  <si>
    <t xml:space="preserve">37491B</t>
  </si>
  <si>
    <t xml:space="preserve">BLUE/YELLOW FLOWER DESIGN BIG MUG</t>
  </si>
  <si>
    <t xml:space="preserve">37489B</t>
  </si>
  <si>
    <t xml:space="preserve">BOHEMIAN COLLAGE STATIONERY SET</t>
  </si>
  <si>
    <t xml:space="preserve">21991</t>
  </si>
  <si>
    <t xml:space="preserve">BOMBS AWAY METAL SIGN</t>
  </si>
  <si>
    <t xml:space="preserve">82597</t>
  </si>
  <si>
    <t xml:space="preserve">BOOM BOX SPEAKER BOYS</t>
  </si>
  <si>
    <t xml:space="preserve">BOOM BOX SPEAKER GIRLS</t>
  </si>
  <si>
    <t xml:space="preserve">21065</t>
  </si>
  <si>
    <t xml:space="preserve">BOOZE &amp; WOMEN GREETING CARD</t>
  </si>
  <si>
    <t xml:space="preserve">21520</t>
  </si>
  <si>
    <t xml:space="preserve">BOTANICAL LAVENDER BIRTHDAY CARD</t>
  </si>
  <si>
    <t xml:space="preserve">22031</t>
  </si>
  <si>
    <t xml:space="preserve">BOTANICAL LAVENDER GIFT WRAP</t>
  </si>
  <si>
    <t xml:space="preserve">22038</t>
  </si>
  <si>
    <t xml:space="preserve">BOTANICAL LILY GIFT WRAP</t>
  </si>
  <si>
    <t xml:space="preserve">22039</t>
  </si>
  <si>
    <t xml:space="preserve">BOTANICAL LILY GREETING CARD</t>
  </si>
  <si>
    <t xml:space="preserve">22032</t>
  </si>
  <si>
    <t xml:space="preserve">BOTANICAL ROSE GIFT WRAP</t>
  </si>
  <si>
    <t xml:space="preserve">22040</t>
  </si>
  <si>
    <t xml:space="preserve">BOTANICAL ROSE GREETING CARD</t>
  </si>
  <si>
    <t xml:space="preserve">22033</t>
  </si>
  <si>
    <t xml:space="preserve">BOTTLE BAG RETROSPOT</t>
  </si>
  <si>
    <t xml:space="preserve">22377</t>
  </si>
  <si>
    <t xml:space="preserve">BOUDOIR SQUARE TISSUE BOX</t>
  </si>
  <si>
    <t xml:space="preserve">22098</t>
  </si>
  <si>
    <t xml:space="preserve">BOX OF 24 COCKTAIL PARASOLS</t>
  </si>
  <si>
    <t xml:space="preserve">84692</t>
  </si>
  <si>
    <t xml:space="preserve">BOX OF 3 PEBBLE CANDLES</t>
  </si>
  <si>
    <t xml:space="preserve">20885</t>
  </si>
  <si>
    <t xml:space="preserve">BOX OF 6 PEBBLE CANDLES</t>
  </si>
  <si>
    <t xml:space="preserve">20887</t>
  </si>
  <si>
    <t xml:space="preserve">BOX OF 9 PEBBLE CANDLES</t>
  </si>
  <si>
    <t xml:space="preserve">20886</t>
  </si>
  <si>
    <t xml:space="preserve">BOX OF VINTAGE ALPHABET BLOCKS</t>
  </si>
  <si>
    <t xml:space="preserve">BOX OF VINTAGE JIGSAW BLOCKS</t>
  </si>
  <si>
    <t xml:space="preserve">BOX/12 CHICK &amp; EGG IN BASKET</t>
  </si>
  <si>
    <t xml:space="preserve">84218</t>
  </si>
  <si>
    <t xml:space="preserve">BOX/12 MOTHER &amp; CHICK IN BASKET/BOW</t>
  </si>
  <si>
    <t xml:space="preserve">84219</t>
  </si>
  <si>
    <t xml:space="preserve">BOXED GLASS ASHTRAY</t>
  </si>
  <si>
    <t xml:space="preserve">DCGS0003</t>
  </si>
  <si>
    <t xml:space="preserve">BOYS ALPHABET IRON ON PATCHES</t>
  </si>
  <si>
    <t xml:space="preserve">84598</t>
  </si>
  <si>
    <t xml:space="preserve">BOYS PARTY BAG</t>
  </si>
  <si>
    <t xml:space="preserve">DCGSSBOY</t>
  </si>
  <si>
    <t xml:space="preserve">BOYS VINTAGE TIN SEASIDE BUCKET</t>
  </si>
  <si>
    <t xml:space="preserve">21716</t>
  </si>
  <si>
    <t xml:space="preserve">BREAD BIN DINER STYLE BLACK</t>
  </si>
  <si>
    <t xml:space="preserve">22850</t>
  </si>
  <si>
    <t xml:space="preserve">BREAD BIN DINER STYLE IVORY</t>
  </si>
  <si>
    <t xml:space="preserve">BREAD BIN DINER STYLE MINT</t>
  </si>
  <si>
    <t xml:space="preserve">22849</t>
  </si>
  <si>
    <t xml:space="preserve">BREAD BIN DINER STYLE PINK</t>
  </si>
  <si>
    <t xml:space="preserve">22848</t>
  </si>
  <si>
    <t xml:space="preserve">BREAD BIN DINER STYLE RED</t>
  </si>
  <si>
    <t xml:space="preserve">BRIGHT BLUES RIBBONS</t>
  </si>
  <si>
    <t xml:space="preserve">85049D</t>
  </si>
  <si>
    <t xml:space="preserve">BROCADE PURSE,SMALL ARCH BUTTON</t>
  </si>
  <si>
    <t xml:space="preserve">17033</t>
  </si>
  <si>
    <t xml:space="preserve">BROCADE RING PURSE</t>
  </si>
  <si>
    <t xml:space="preserve">BROCANTE COAT RACK</t>
  </si>
  <si>
    <t xml:space="preserve">22788</t>
  </si>
  <si>
    <t xml:space="preserve">BROCANTE SHELF WITH HOOKS</t>
  </si>
  <si>
    <t xml:space="preserve">22832</t>
  </si>
  <si>
    <t xml:space="preserve">BROWN ANTIQUE CUBE CANDLE</t>
  </si>
  <si>
    <t xml:space="preserve">72606A</t>
  </si>
  <si>
    <t xml:space="preserve">BROWN CHECK CAT DOORSTOP</t>
  </si>
  <si>
    <t xml:space="preserve">21407</t>
  </si>
  <si>
    <t xml:space="preserve">BROWN COZY SQUARE PHOTO ALBUM</t>
  </si>
  <si>
    <t xml:space="preserve">16243B</t>
  </si>
  <si>
    <t xml:space="preserve">BROWN DOG CANNISTER W BONE</t>
  </si>
  <si>
    <t xml:space="preserve">84575B</t>
  </si>
  <si>
    <t xml:space="preserve">BROWN FLOWER LIGHTS</t>
  </si>
  <si>
    <t xml:space="preserve">79342B</t>
  </si>
  <si>
    <t xml:space="preserve">BROWN FURRY HOT WATER BOTTLE</t>
  </si>
  <si>
    <t xml:space="preserve">84029C</t>
  </si>
  <si>
    <t xml:space="preserve">BROWN KUKUI COCONUT SEED NECKLACE</t>
  </si>
  <si>
    <t xml:space="preserve">90030C</t>
  </si>
  <si>
    <t xml:space="preserve">BROWN PIRATE TREASURE CHEST</t>
  </si>
  <si>
    <t xml:space="preserve">22069</t>
  </si>
  <si>
    <t xml:space="preserve">BROWN VINTAGE VICTORIAN EARRINGS</t>
  </si>
  <si>
    <t xml:space="preserve">90067B</t>
  </si>
  <si>
    <t xml:space="preserve">BUBBLE GUM CHUNKY KNITTED THROW</t>
  </si>
  <si>
    <t xml:space="preserve">46775A</t>
  </si>
  <si>
    <t xml:space="preserve">BUBBLE GUM SCARF KNITTING KIT</t>
  </si>
  <si>
    <t xml:space="preserve">82616A</t>
  </si>
  <si>
    <t xml:space="preserve">BUDDHA INCENSE HOLDER ASSORTED</t>
  </si>
  <si>
    <t xml:space="preserve">35160</t>
  </si>
  <si>
    <t xml:space="preserve">BUNNY BUNCH OF FLOWERS</t>
  </si>
  <si>
    <t xml:space="preserve">85186B</t>
  </si>
  <si>
    <t xml:space="preserve">BUNNY DECORATION MAGIC GARDEN</t>
  </si>
  <si>
    <t xml:space="preserve">22247</t>
  </si>
  <si>
    <t xml:space="preserve">BUNNY EGG BOX</t>
  </si>
  <si>
    <t xml:space="preserve">85200</t>
  </si>
  <si>
    <t xml:space="preserve">BUNNY EGG GARLAND</t>
  </si>
  <si>
    <t xml:space="preserve">85186C</t>
  </si>
  <si>
    <t xml:space="preserve">BUNNY WOODEN PAINTED WITH BIRD</t>
  </si>
  <si>
    <t xml:space="preserve">22228</t>
  </si>
  <si>
    <t xml:space="preserve">BUNNY WOODEN PAINTED WITH FLOWER</t>
  </si>
  <si>
    <t xml:space="preserve">22229</t>
  </si>
  <si>
    <t xml:space="preserve">BURG FLOCK GOLD CUP/CANDLE</t>
  </si>
  <si>
    <t xml:space="preserve">72771B</t>
  </si>
  <si>
    <t xml:space="preserve">BUTTERFLIES HONEYCOMB GARLAND</t>
  </si>
  <si>
    <t xml:space="preserve">21203</t>
  </si>
  <si>
    <t xml:space="preserve">BUTTERFLIES STICKERS</t>
  </si>
  <si>
    <t xml:space="preserve">21675</t>
  </si>
  <si>
    <t xml:space="preserve">BUTTERFLY CROCHET FOOD COVER</t>
  </si>
  <si>
    <t xml:space="preserve">21468</t>
  </si>
  <si>
    <t xml:space="preserve">BUTTERFLY HAIR BAND</t>
  </si>
  <si>
    <t xml:space="preserve">90174</t>
  </si>
  <si>
    <t xml:space="preserve">BUTTERFLY WATER TRANSFER TATTOOS</t>
  </si>
  <si>
    <t xml:space="preserve">21543</t>
  </si>
  <si>
    <t xml:space="preserve">BUTTON BOX</t>
  </si>
  <si>
    <t xml:space="preserve">22653</t>
  </si>
  <si>
    <t xml:space="preserve">BUTTONS AND STRIPES NOTEBOOK</t>
  </si>
  <si>
    <t xml:space="preserve">84497</t>
  </si>
  <si>
    <t xml:space="preserve">BUTTONS DESIGN JEWELLERY BOX</t>
  </si>
  <si>
    <t xml:space="preserve">84482</t>
  </si>
  <si>
    <t xml:space="preserve">Bank Charges</t>
  </si>
  <si>
    <t xml:space="preserve">BANK CHARGES</t>
  </si>
  <si>
    <t xml:space="preserve">CABIN BAG VINTAGE PAISLEY</t>
  </si>
  <si>
    <t xml:space="preserve">22503</t>
  </si>
  <si>
    <t xml:space="preserve">CABIN BAG VINTAGE RETROSPOT</t>
  </si>
  <si>
    <t xml:space="preserve">22504</t>
  </si>
  <si>
    <t xml:space="preserve">CACTI T-LIGHT CANDLES</t>
  </si>
  <si>
    <t xml:space="preserve">85175</t>
  </si>
  <si>
    <t xml:space="preserve">CAKE PLATE LOVEBIRD PINK</t>
  </si>
  <si>
    <t xml:space="preserve">CAKE PLATE LOVEBIRD WHITE</t>
  </si>
  <si>
    <t xml:space="preserve">22222</t>
  </si>
  <si>
    <t xml:space="preserve">CAKE SHOP STICKER SHEET</t>
  </si>
  <si>
    <t xml:space="preserve">21720</t>
  </si>
  <si>
    <t xml:space="preserve">CAKE STAND 3 TIER MAGIC GARDEN</t>
  </si>
  <si>
    <t xml:space="preserve">22236</t>
  </si>
  <si>
    <t xml:space="preserve">CAKE STAND LACE WHITE</t>
  </si>
  <si>
    <t xml:space="preserve">22218</t>
  </si>
  <si>
    <t xml:space="preserve">CAKE STAND LOVEBIRD 2 TIER PINK</t>
  </si>
  <si>
    <t xml:space="preserve">CAKE STAND LOVEBIRD 2 TIER WHITE</t>
  </si>
  <si>
    <t xml:space="preserve">CAKE STAND VICTORIAN FILIGREE LARGE</t>
  </si>
  <si>
    <t xml:space="preserve">22184</t>
  </si>
  <si>
    <t xml:space="preserve">CAKE STAND VICTORIAN FILIGREE MED</t>
  </si>
  <si>
    <t xml:space="preserve">22183</t>
  </si>
  <si>
    <t xml:space="preserve">CAKE STAND VICTORIAN FILIGREE SMALL</t>
  </si>
  <si>
    <t xml:space="preserve">CAKE STAND WHITE TWO TIER LACE</t>
  </si>
  <si>
    <t xml:space="preserve">CAKES AND BOWS GIFT TAPE</t>
  </si>
  <si>
    <t xml:space="preserve">21884</t>
  </si>
  <si>
    <t xml:space="preserve">CAKES AND RABBITS DESIGN FLANNEL</t>
  </si>
  <si>
    <t xml:space="preserve">21943</t>
  </si>
  <si>
    <t xml:space="preserve">CALENDAR FAMILY FAVOURITES</t>
  </si>
  <si>
    <t xml:space="preserve">22903</t>
  </si>
  <si>
    <t xml:space="preserve">CALENDAR IN SEASON DESIGN</t>
  </si>
  <si>
    <t xml:space="preserve">CALENDAR PAPER CUT DESIGN</t>
  </si>
  <si>
    <t xml:space="preserve">22904</t>
  </si>
  <si>
    <t xml:space="preserve">CAMOFLAGE CUSHION COVER</t>
  </si>
  <si>
    <t xml:space="preserve">84311</t>
  </si>
  <si>
    <t xml:space="preserve">CAMOFLAGE DESIGN TEDDY</t>
  </si>
  <si>
    <t xml:space="preserve">84508A</t>
  </si>
  <si>
    <t xml:space="preserve">CAMOUFLAGE BACKPACK ON WHEELS</t>
  </si>
  <si>
    <t xml:space="preserve">78056</t>
  </si>
  <si>
    <t xml:space="preserve">CAMOUFLAGE DOG COLLAR</t>
  </si>
  <si>
    <t xml:space="preserve">DCGS0070</t>
  </si>
  <si>
    <t xml:space="preserve">CAMOUFLAGE EAR MUFF HEADPHONES</t>
  </si>
  <si>
    <t xml:space="preserve">20782</t>
  </si>
  <si>
    <t xml:space="preserve">CAMOUFLAGE LED TORCH</t>
  </si>
  <si>
    <t xml:space="preserve">21833</t>
  </si>
  <si>
    <t xml:space="preserve">CAMOUFLAGUE DOG LEAD</t>
  </si>
  <si>
    <t xml:space="preserve">DCGS0075</t>
  </si>
  <si>
    <t xml:space="preserve">CAMPHOR WOOD PORTOBELLO MUSHROOM</t>
  </si>
  <si>
    <t xml:space="preserve">21379</t>
  </si>
  <si>
    <t xml:space="preserve">CANDLE IN JAR COLLAGE , VANILLA</t>
  </si>
  <si>
    <t xml:space="preserve">21102</t>
  </si>
  <si>
    <t xml:space="preserve">CANDLE PLATE LACE WHITE</t>
  </si>
  <si>
    <t xml:space="preserve">22214</t>
  </si>
  <si>
    <t xml:space="preserve">CANDLE RING W/CLEAR BEADS</t>
  </si>
  <si>
    <t xml:space="preserve">35537</t>
  </si>
  <si>
    <t xml:space="preserve">CANDLEHOLDER PINK HANGING HEART</t>
  </si>
  <si>
    <t xml:space="preserve">22804</t>
  </si>
  <si>
    <t xml:space="preserve">CANDY BUTTON PHOTO ALBUM</t>
  </si>
  <si>
    <t xml:space="preserve">84869</t>
  </si>
  <si>
    <t xml:space="preserve">CANDY HEART HANGING DECORATION</t>
  </si>
  <si>
    <t xml:space="preserve">35923</t>
  </si>
  <si>
    <t xml:space="preserve">CANDY PINK FRENCH BOUDOIR CLOCK</t>
  </si>
  <si>
    <t xml:space="preserve">85165</t>
  </si>
  <si>
    <t xml:space="preserve">CANDY POP CHUNKY KNITTED THROW</t>
  </si>
  <si>
    <t xml:space="preserve">46775E</t>
  </si>
  <si>
    <t xml:space="preserve">CANDY SHOP STICKER SHEET</t>
  </si>
  <si>
    <t xml:space="preserve">21721</t>
  </si>
  <si>
    <t xml:space="preserve">CANDY SPOT APRON</t>
  </si>
  <si>
    <t xml:space="preserve">85090</t>
  </si>
  <si>
    <t xml:space="preserve">CANDY SPOT BREAD BASKETS</t>
  </si>
  <si>
    <t xml:space="preserve">85091</t>
  </si>
  <si>
    <t xml:space="preserve">CANDY SPOT BUNNY</t>
  </si>
  <si>
    <t xml:space="preserve">85089</t>
  </si>
  <si>
    <t xml:space="preserve">CANDY SPOT CUSHION COVER</t>
  </si>
  <si>
    <t xml:space="preserve">85087</t>
  </si>
  <si>
    <t xml:space="preserve">CANDY SPOT EGG WARMER HARE</t>
  </si>
  <si>
    <t xml:space="preserve">85093</t>
  </si>
  <si>
    <t xml:space="preserve">CANDY SPOT EGG WARMER RABBIT</t>
  </si>
  <si>
    <t xml:space="preserve">85094</t>
  </si>
  <si>
    <t xml:space="preserve">CANDY SPOT HAND BAG</t>
  </si>
  <si>
    <t xml:space="preserve">85088</t>
  </si>
  <si>
    <t xml:space="preserve">CANDY SPOT HEART DECORATION</t>
  </si>
  <si>
    <t xml:space="preserve">85086A</t>
  </si>
  <si>
    <t xml:space="preserve">CANDY SPOT TEA COSY</t>
  </si>
  <si>
    <t xml:space="preserve">85092</t>
  </si>
  <si>
    <t xml:space="preserve">CANDY STRIPE ROSE C/COVER</t>
  </si>
  <si>
    <t xml:space="preserve">84627</t>
  </si>
  <si>
    <t xml:space="preserve">CANDY STRIPE ROSE FLOOR CUSHION</t>
  </si>
  <si>
    <t xml:space="preserve">84599</t>
  </si>
  <si>
    <t xml:space="preserve">CANDY STRIPE ROSE QUILT</t>
  </si>
  <si>
    <t xml:space="preserve">84626</t>
  </si>
  <si>
    <t xml:space="preserve">CANNABIS LEAF BEAD CURTAIN</t>
  </si>
  <si>
    <t xml:space="preserve">44228</t>
  </si>
  <si>
    <t xml:space="preserve">CAPIZ CHANDELIER</t>
  </si>
  <si>
    <t xml:space="preserve">21310</t>
  </si>
  <si>
    <t xml:space="preserve">CARAVAN SQUARE TISSUE BOX</t>
  </si>
  <si>
    <t xml:space="preserve">22099</t>
  </si>
  <si>
    <t xml:space="preserve">CARD BIRTHDAY COWBOY</t>
  </si>
  <si>
    <t xml:space="preserve">22714</t>
  </si>
  <si>
    <t xml:space="preserve">CARD CAT AND TREE</t>
  </si>
  <si>
    <t xml:space="preserve">22718</t>
  </si>
  <si>
    <t xml:space="preserve">CARD CHRISTMAS VILLAGE</t>
  </si>
  <si>
    <t xml:space="preserve">CARD CIRCUS PARADE</t>
  </si>
  <si>
    <t xml:space="preserve">CARD DOG AND BALL</t>
  </si>
  <si>
    <t xml:space="preserve">22717</t>
  </si>
  <si>
    <t xml:space="preserve">CARD DOLLY GIRL</t>
  </si>
  <si>
    <t xml:space="preserve">CARD HOLDER GINGHAM HEART</t>
  </si>
  <si>
    <t xml:space="preserve">22588</t>
  </si>
  <si>
    <t xml:space="preserve">CARD I LOVE LONDON</t>
  </si>
  <si>
    <t xml:space="preserve">CARD MOTORBIKE SANTA</t>
  </si>
  <si>
    <t xml:space="preserve">CARD PARTY GAMES</t>
  </si>
  <si>
    <t xml:space="preserve">CARD PSYCHEDELIC APPLES</t>
  </si>
  <si>
    <t xml:space="preserve">22815</t>
  </si>
  <si>
    <t xml:space="preserve">CARD SUKI BIRTHDAY</t>
  </si>
  <si>
    <t xml:space="preserve">22817</t>
  </si>
  <si>
    <t xml:space="preserve">CARD WEDDING DAY</t>
  </si>
  <si>
    <t xml:space="preserve">22715</t>
  </si>
  <si>
    <t xml:space="preserve">CARD, BILLBOARD FONT</t>
  </si>
  <si>
    <t xml:space="preserve">22983</t>
  </si>
  <si>
    <t xml:space="preserve">CARD, GINGHAM ROSE</t>
  </si>
  <si>
    <t xml:space="preserve">CARDHOLDER GINGHAM CHRISTMAS TREE</t>
  </si>
  <si>
    <t xml:space="preserve">22591</t>
  </si>
  <si>
    <t xml:space="preserve">CARDHOLDER GINGHAM STAR</t>
  </si>
  <si>
    <t xml:space="preserve">22589</t>
  </si>
  <si>
    <t xml:space="preserve">CARDHOLDER HOLLY WREATH METAL</t>
  </si>
  <si>
    <t xml:space="preserve">22592</t>
  </si>
  <si>
    <t xml:space="preserve">CARNATION SQUARE HANDY TIN</t>
  </si>
  <si>
    <t xml:space="preserve">84845C</t>
  </si>
  <si>
    <t xml:space="preserve">CARNIVAL BRACELET</t>
  </si>
  <si>
    <t xml:space="preserve">90062</t>
  </si>
  <si>
    <t xml:space="preserve">CAROUSEL DES CHILD'S APRON</t>
  </si>
  <si>
    <t xml:space="preserve">47591A</t>
  </si>
  <si>
    <t xml:space="preserve">CAROUSEL DES CHILD'S OVERALL</t>
  </si>
  <si>
    <t xml:space="preserve">47592A</t>
  </si>
  <si>
    <t xml:space="preserve">CAROUSEL DESIGN BABY BIB</t>
  </si>
  <si>
    <t xml:space="preserve">47593A</t>
  </si>
  <si>
    <t xml:space="preserve">CAROUSEL DESIGN WASHBAG</t>
  </si>
  <si>
    <t xml:space="preserve">47594A</t>
  </si>
  <si>
    <t xml:space="preserve">CARRIAGE</t>
  </si>
  <si>
    <t xml:space="preserve">CARROT CHARLIE+LOLA COASTER SET</t>
  </si>
  <si>
    <t xml:space="preserve">84519B</t>
  </si>
  <si>
    <t xml:space="preserve">CARTOON PENCIL SHARPENERS</t>
  </si>
  <si>
    <t xml:space="preserve">16218</t>
  </si>
  <si>
    <t xml:space="preserve">CAST IRON HOOK GARDEN FORK</t>
  </si>
  <si>
    <t xml:space="preserve">22458</t>
  </si>
  <si>
    <t xml:space="preserve">CAST IRON HOOK GARDEN TROWEL</t>
  </si>
  <si>
    <t xml:space="preserve">22459</t>
  </si>
  <si>
    <t xml:space="preserve">CAT BOWL</t>
  </si>
  <si>
    <t xml:space="preserve">22350</t>
  </si>
  <si>
    <t xml:space="preserve">CAT BOWL VINTAGE CREAM</t>
  </si>
  <si>
    <t xml:space="preserve">22853</t>
  </si>
  <si>
    <t xml:space="preserve">CAT CAMOUFLAGUE COLLAR</t>
  </si>
  <si>
    <t xml:space="preserve">DCGS0072</t>
  </si>
  <si>
    <t xml:space="preserve">CAT W SUNGLASSES BLANK CARD</t>
  </si>
  <si>
    <t xml:space="preserve">84206B</t>
  </si>
  <si>
    <t xml:space="preserve">CD WALL TIDY BLUE OFFICE</t>
  </si>
  <si>
    <t xml:space="preserve">71495A</t>
  </si>
  <si>
    <t xml:space="preserve">CD WALL TIDY RED FLOWERS</t>
  </si>
  <si>
    <t xml:space="preserve">71495B</t>
  </si>
  <si>
    <t xml:space="preserve">CERAMIC BIRDHOUSE BLACK ROSE LARGE</t>
  </si>
  <si>
    <t xml:space="preserve">21552</t>
  </si>
  <si>
    <t xml:space="preserve">CERAMIC BIRDHOUSE BUTTERFLY LARGE</t>
  </si>
  <si>
    <t xml:space="preserve">21551</t>
  </si>
  <si>
    <t xml:space="preserve">CERAMIC BIRDHOUSE BUTTERFLY SMALL</t>
  </si>
  <si>
    <t xml:space="preserve">21545</t>
  </si>
  <si>
    <t xml:space="preserve">CERAMIC BIRDHOUSE CRESTED TIT LARGE</t>
  </si>
  <si>
    <t xml:space="preserve">21550</t>
  </si>
  <si>
    <t xml:space="preserve">CERAMIC BIRDHOUSE CRESTED TIT SMALL</t>
  </si>
  <si>
    <t xml:space="preserve">21547</t>
  </si>
  <si>
    <t xml:space="preserve">CERAMIC BIRDHOUSE FINCH BLUE LARGE</t>
  </si>
  <si>
    <t xml:space="preserve">21553</t>
  </si>
  <si>
    <t xml:space="preserve">CERAMIC BIRDHOUSE FINCH BLUE ROOF</t>
  </si>
  <si>
    <t xml:space="preserve">21548</t>
  </si>
  <si>
    <t xml:space="preserve">CERAMIC BIRDHOUSE RED ROOF LARGE</t>
  </si>
  <si>
    <t xml:space="preserve">21554</t>
  </si>
  <si>
    <t xml:space="preserve">CERAMIC BIRDHOUSE RED ROOF SMALL</t>
  </si>
  <si>
    <t xml:space="preserve">21549</t>
  </si>
  <si>
    <t xml:space="preserve">CERAMIC BOWL WITH LOVE HEART DESIGN</t>
  </si>
  <si>
    <t xml:space="preserve">22062</t>
  </si>
  <si>
    <t xml:space="preserve">CERAMIC BOWL WITH STRAWBERRY DESIGN</t>
  </si>
  <si>
    <t xml:space="preserve">CERAMIC CAKE BOWL + HANGING CAKES</t>
  </si>
  <si>
    <t xml:space="preserve">37450</t>
  </si>
  <si>
    <t xml:space="preserve">CERAMIC CAKE DESIGN SPOTTED MUG</t>
  </si>
  <si>
    <t xml:space="preserve">CERAMIC CAKE DESIGN SPOTTED PLATE</t>
  </si>
  <si>
    <t xml:space="preserve">CERAMIC CAKE STAND + HANGING CAKES</t>
  </si>
  <si>
    <t xml:space="preserve">37449</t>
  </si>
  <si>
    <t xml:space="preserve">CERAMIC CAKE TEAPOT WITH CHERRY</t>
  </si>
  <si>
    <t xml:space="preserve">37451</t>
  </si>
  <si>
    <t xml:space="preserve">CERAMIC CHERRY CAKE MONEY BANK</t>
  </si>
  <si>
    <t xml:space="preserve">CERAMIC HEART FAIRY CAKE MONEY BANK</t>
  </si>
  <si>
    <t xml:space="preserve">CERAMIC LOVE HEART MONEY BANK</t>
  </si>
  <si>
    <t xml:space="preserve">CERAMIC LOVE HEARTS DESIGN MUG</t>
  </si>
  <si>
    <t xml:space="preserve">22058</t>
  </si>
  <si>
    <t xml:space="preserve">CERAMIC PIRATE CHEST MONEY BANK</t>
  </si>
  <si>
    <t xml:space="preserve">22650</t>
  </si>
  <si>
    <t xml:space="preserve">CERAMIC PLATE LOVE HEART DESIGN</t>
  </si>
  <si>
    <t xml:space="preserve">22056</t>
  </si>
  <si>
    <t xml:space="preserve">CERAMIC PLATE STRAWBERRY DESIGN</t>
  </si>
  <si>
    <t xml:space="preserve">CERAMIC STRAWBERRY CAKE MONEY BANK</t>
  </si>
  <si>
    <t xml:space="preserve">CERAMIC STRAWBERRY MONEY BOX</t>
  </si>
  <si>
    <t xml:space="preserve">21556</t>
  </si>
  <si>
    <t xml:space="preserve">CERAMIC STRAWBERRY TRINKET TRAY</t>
  </si>
  <si>
    <t xml:space="preserve">21555</t>
  </si>
  <si>
    <t xml:space="preserve">CERAMIC STRWBERRY DESIGN MUG</t>
  </si>
  <si>
    <t xml:space="preserve">CERISE+GOLD CHRISTMAS STOCKING DEC</t>
  </si>
  <si>
    <t xml:space="preserve">35937</t>
  </si>
  <si>
    <t xml:space="preserve">CERISE+GOLD CHRISTMAS TREE DEC</t>
  </si>
  <si>
    <t xml:space="preserve">35936</t>
  </si>
  <si>
    <t xml:space="preserve">CHALKBOARD KITCHEN ORGANISER</t>
  </si>
  <si>
    <t xml:space="preserve">22769</t>
  </si>
  <si>
    <t xml:space="preserve">CHAMPAGNE TRAY BLANK CARD</t>
  </si>
  <si>
    <t xml:space="preserve">84206C</t>
  </si>
  <si>
    <t xml:space="preserve">CHARLIE &amp; LOLA WASTEPAPER BIN BLUE</t>
  </si>
  <si>
    <t xml:space="preserve">CHARLIE &amp; LOLA WASTEPAPER BIN FLORA</t>
  </si>
  <si>
    <t xml:space="preserve">CHARLIE + LOLA BISCUITS TINS</t>
  </si>
  <si>
    <t xml:space="preserve">85132A</t>
  </si>
  <si>
    <t xml:space="preserve">CHARLIE + LOLA RED HOT WATER BOTTLE</t>
  </si>
  <si>
    <t xml:space="preserve">84032B</t>
  </si>
  <si>
    <t xml:space="preserve">CHARLIE AND LOLA CHARLOTTE BAG</t>
  </si>
  <si>
    <t xml:space="preserve">21100</t>
  </si>
  <si>
    <t xml:space="preserve">CHARLIE AND LOLA FIGURES TINS</t>
  </si>
  <si>
    <t xml:space="preserve">85132C</t>
  </si>
  <si>
    <t xml:space="preserve">CHARLIE AND LOLA TABLE TINS</t>
  </si>
  <si>
    <t xml:space="preserve">85132B</t>
  </si>
  <si>
    <t xml:space="preserve">CHARLIE LOLA BLUE HOT WATER BOTTLE</t>
  </si>
  <si>
    <t xml:space="preserve">84031B</t>
  </si>
  <si>
    <t xml:space="preserve">CHARLIE+LOLA MY ROOM DOOR SIGN</t>
  </si>
  <si>
    <t xml:space="preserve">85071D</t>
  </si>
  <si>
    <t xml:space="preserve">CHARLIE+LOLA PINK HOT WATER BOTTLE</t>
  </si>
  <si>
    <t xml:space="preserve">84032A</t>
  </si>
  <si>
    <t xml:space="preserve">CHARLIE+LOLA RED HOT WATER BOTTLE</t>
  </si>
  <si>
    <t xml:space="preserve">CHARLIE+LOLA"EXTREMELY BUSY" SIGN</t>
  </si>
  <si>
    <t xml:space="preserve">85071C</t>
  </si>
  <si>
    <t xml:space="preserve">CHARLOTTE BAG , PINK/WHITE SPOTS</t>
  </si>
  <si>
    <t xml:space="preserve">CHARLOTTE BAG DOLLY GIRL DESIGN</t>
  </si>
  <si>
    <t xml:space="preserve">CHARLOTTE BAG SUKI DESIGN</t>
  </si>
  <si>
    <t xml:space="preserve">CHERRY BLOSSOM BATHROOM CABINET</t>
  </si>
  <si>
    <t xml:space="preserve">84664</t>
  </si>
  <si>
    <t xml:space="preserve">CHERRY BLOSSOM CANVAS ART PICTURE</t>
  </si>
  <si>
    <t xml:space="preserve">84723</t>
  </si>
  <si>
    <t xml:space="preserve">CHERRY BLOSSOM DECORATIVE FLASK</t>
  </si>
  <si>
    <t xml:space="preserve">84279B</t>
  </si>
  <si>
    <t xml:space="preserve">84279P</t>
  </si>
  <si>
    <t xml:space="preserve">CHERRY BLOSSOM LUGGAGE TAG</t>
  </si>
  <si>
    <t xml:space="preserve">20653</t>
  </si>
  <si>
    <t xml:space="preserve">CHERRY BLOSSOM PASSPORT COVER</t>
  </si>
  <si>
    <t xml:space="preserve">20616</t>
  </si>
  <si>
    <t xml:space="preserve">CHERRY BLOSSOM PHOTO FRAME</t>
  </si>
  <si>
    <t xml:space="preserve">84705D</t>
  </si>
  <si>
    <t xml:space="preserve">CHERRY BLOSSOM PURSE</t>
  </si>
  <si>
    <t xml:space="preserve">20667</t>
  </si>
  <si>
    <t xml:space="preserve">CHERRY BLOSSOM TABLE CLOCK</t>
  </si>
  <si>
    <t xml:space="preserve">84706D</t>
  </si>
  <si>
    <t xml:space="preserve">CHERRY CROCHET FOOD COVER</t>
  </si>
  <si>
    <t xml:space="preserve">21467</t>
  </si>
  <si>
    <t xml:space="preserve">CHERRY DESIGN PAPERLANTERNS</t>
  </si>
  <si>
    <t xml:space="preserve">40018F</t>
  </si>
  <si>
    <t xml:space="preserve">CHEST 7 DRAWER MA CAMPAGNE</t>
  </si>
  <si>
    <t xml:space="preserve">22761</t>
  </si>
  <si>
    <t xml:space="preserve">CHEST NATURAL WOOD 20 DRAWERS</t>
  </si>
  <si>
    <t xml:space="preserve">22823</t>
  </si>
  <si>
    <t xml:space="preserve">CHEST OF DRAWERS GINGHAM HEART</t>
  </si>
  <si>
    <t xml:space="preserve">CHICK GREY HOT WATER BOTTLE</t>
  </si>
  <si>
    <t xml:space="preserve">CHILDREN'S APRON DOLLY GIRL</t>
  </si>
  <si>
    <t xml:space="preserve">CHILDREN'S CIRCUS PARADE MUG</t>
  </si>
  <si>
    <t xml:space="preserve">CHILDREN'S SPACEBOY MUG</t>
  </si>
  <si>
    <t xml:space="preserve">CHILDRENS APRON APPLES DESIGN</t>
  </si>
  <si>
    <t xml:space="preserve">CHILDRENS APRON SPACEBOY DESIGN</t>
  </si>
  <si>
    <t xml:space="preserve">CHILDRENS DOLLY GIRL MUG</t>
  </si>
  <si>
    <t xml:space="preserve">CHILDRENS GARDEN GLOVES BLUE</t>
  </si>
  <si>
    <t xml:space="preserve">22524</t>
  </si>
  <si>
    <t xml:space="preserve">CHILDRENS GARDEN GLOVES PINK</t>
  </si>
  <si>
    <t xml:space="preserve">22525</t>
  </si>
  <si>
    <t xml:space="preserve">CHILDS BREAKFAST SET CIRCUS PARADE</t>
  </si>
  <si>
    <t xml:space="preserve">CHILDS BREAKFAST SET DOLLY GIRL</t>
  </si>
  <si>
    <t xml:space="preserve">CHILDS BREAKFAST SET SPACEBOY</t>
  </si>
  <si>
    <t xml:space="preserve">CHILDS GARDEN BRUSH BLUE</t>
  </si>
  <si>
    <t xml:space="preserve">22518</t>
  </si>
  <si>
    <t xml:space="preserve">CHILDS GARDEN BRUSH PINK</t>
  </si>
  <si>
    <t xml:space="preserve">22519</t>
  </si>
  <si>
    <t xml:space="preserve">CHILDS GARDEN FORK BLUE</t>
  </si>
  <si>
    <t xml:space="preserve">22522</t>
  </si>
  <si>
    <t xml:space="preserve">CHILDS GARDEN FORK PINK</t>
  </si>
  <si>
    <t xml:space="preserve">22523</t>
  </si>
  <si>
    <t xml:space="preserve">CHILDS GARDEN RAKE BLUE</t>
  </si>
  <si>
    <t xml:space="preserve">22516</t>
  </si>
  <si>
    <t xml:space="preserve">CHILDS GARDEN RAKE PINK</t>
  </si>
  <si>
    <t xml:space="preserve">22517</t>
  </si>
  <si>
    <t xml:space="preserve">CHILDS GARDEN SPADE BLUE</t>
  </si>
  <si>
    <t xml:space="preserve">22514</t>
  </si>
  <si>
    <t xml:space="preserve">CHILDS GARDEN SPADE PINK</t>
  </si>
  <si>
    <t xml:space="preserve">22515</t>
  </si>
  <si>
    <t xml:space="preserve">CHILDS GARDEN TROWEL BLUE</t>
  </si>
  <si>
    <t xml:space="preserve">22520</t>
  </si>
  <si>
    <t xml:space="preserve">CHILDS GARDEN TROWEL PINK</t>
  </si>
  <si>
    <t xml:space="preserve">22521</t>
  </si>
  <si>
    <t xml:space="preserve">CHILLI LIGHTS</t>
  </si>
  <si>
    <t xml:space="preserve">79321</t>
  </si>
  <si>
    <t xml:space="preserve">CHINESE DRAGON PAPER LANTERNS</t>
  </si>
  <si>
    <t xml:space="preserve">40016</t>
  </si>
  <si>
    <t xml:space="preserve">CHOC TRUFFLE GOLD TRINKET POT</t>
  </si>
  <si>
    <t xml:space="preserve">22067</t>
  </si>
  <si>
    <t xml:space="preserve">CHOCOLATE 1 WICK MORRIS BOX CANDLE</t>
  </si>
  <si>
    <t xml:space="preserve">85036B</t>
  </si>
  <si>
    <t xml:space="preserve">CHOCOLATE 3 WICK MORRIS BOX CANDLE</t>
  </si>
  <si>
    <t xml:space="preserve">85035B</t>
  </si>
  <si>
    <t xml:space="preserve">CHOCOLATE BOX RIBBONS</t>
  </si>
  <si>
    <t xml:space="preserve">85049G</t>
  </si>
  <si>
    <t xml:space="preserve">CHOCOLATE CALCULATOR</t>
  </si>
  <si>
    <t xml:space="preserve">21832</t>
  </si>
  <si>
    <t xml:space="preserve">CHOCOLATE HOT WATER BOTTLE</t>
  </si>
  <si>
    <t xml:space="preserve">CHOCOLATE ICE CREAM CANDLE</t>
  </si>
  <si>
    <t xml:space="preserve">72084B</t>
  </si>
  <si>
    <t xml:space="preserve">CHOCOLATE THIS WAY METAL SIGN</t>
  </si>
  <si>
    <t xml:space="preserve">CHRISTMAS CARD SCREEN PRINT</t>
  </si>
  <si>
    <t xml:space="preserve">CHRISTMAS CARD SINGING ANGEL</t>
  </si>
  <si>
    <t xml:space="preserve">22042</t>
  </si>
  <si>
    <t xml:space="preserve">CHRISTMAS CARD STACK OF PRESENTS</t>
  </si>
  <si>
    <t xml:space="preserve">22044</t>
  </si>
  <si>
    <t xml:space="preserve">CHRISTMAS CRAFT HEART DECORATIONS</t>
  </si>
  <si>
    <t xml:space="preserve">22143</t>
  </si>
  <si>
    <t xml:space="preserve">CHRISTMAS CRAFT HEART STOCKING</t>
  </si>
  <si>
    <t xml:space="preserve">22145</t>
  </si>
  <si>
    <t xml:space="preserve">CHRISTMAS CRAFT LITTLE FRIENDS</t>
  </si>
  <si>
    <t xml:space="preserve">22144</t>
  </si>
  <si>
    <t xml:space="preserve">CHRISTMAS CRAFT TREE TOP ANGEL</t>
  </si>
  <si>
    <t xml:space="preserve">CHRISTMAS CRAFT WHITE FAIRY</t>
  </si>
  <si>
    <t xml:space="preserve">22142</t>
  </si>
  <si>
    <t xml:space="preserve">CHRISTMAS DECOUPAGE CANDLE</t>
  </si>
  <si>
    <t xml:space="preserve">72818</t>
  </si>
  <si>
    <t xml:space="preserve">CHRISTMAS GARLAND STARS,TREES</t>
  </si>
  <si>
    <t xml:space="preserve">21808</t>
  </si>
  <si>
    <t xml:space="preserve">CHRISTMAS GINGHAM HEART</t>
  </si>
  <si>
    <t xml:space="preserve">22595</t>
  </si>
  <si>
    <t xml:space="preserve">CHRISTMAS GINGHAM STAR</t>
  </si>
  <si>
    <t xml:space="preserve">22593</t>
  </si>
  <si>
    <t xml:space="preserve">CHRISTMAS GINGHAM TREE</t>
  </si>
  <si>
    <t xml:space="preserve">22594</t>
  </si>
  <si>
    <t xml:space="preserve">CHRISTMAS HANGING HEART WITH BELL</t>
  </si>
  <si>
    <t xml:space="preserve">21811</t>
  </si>
  <si>
    <t xml:space="preserve">CHRISTMAS HANGING STAR WITH BELL</t>
  </si>
  <si>
    <t xml:space="preserve">21810</t>
  </si>
  <si>
    <t xml:space="preserve">CHRISTMAS HANGING TREE WITH BELL</t>
  </si>
  <si>
    <t xml:space="preserve">21809</t>
  </si>
  <si>
    <t xml:space="preserve">CHRISTMAS LIGHTS 10 REINDEER</t>
  </si>
  <si>
    <t xml:space="preserve">CHRISTMAS LIGHTS 10 SANTAS</t>
  </si>
  <si>
    <t xml:space="preserve">CHRISTMAS LIGHTS 10 VINTAGE BAUBLES</t>
  </si>
  <si>
    <t xml:space="preserve">22943</t>
  </si>
  <si>
    <t xml:space="preserve">CHRISTMAS METAL POSTCARD WITH BELLS</t>
  </si>
  <si>
    <t xml:space="preserve">CHRISTMAS METAL TAGS ASSORTED</t>
  </si>
  <si>
    <t xml:space="preserve">22945</t>
  </si>
  <si>
    <t xml:space="preserve">CHRISTMAS MUSICAL ZINC HEART</t>
  </si>
  <si>
    <t xml:space="preserve">22597</t>
  </si>
  <si>
    <t xml:space="preserve">CHRISTMAS MUSICAL ZINC STAR</t>
  </si>
  <si>
    <t xml:space="preserve">22599</t>
  </si>
  <si>
    <t xml:space="preserve">CHRISTMAS MUSICAL ZINC TREE</t>
  </si>
  <si>
    <t xml:space="preserve">22598</t>
  </si>
  <si>
    <t xml:space="preserve">CHRISTMAS PUDDING TRINKET POT</t>
  </si>
  <si>
    <t xml:space="preserve">CHRISTMAS RETROSPOT ANGEL WOOD</t>
  </si>
  <si>
    <t xml:space="preserve">CHRISTMAS RETROSPOT HEART WOOD</t>
  </si>
  <si>
    <t xml:space="preserve">CHRISTMAS RETROSPOT STAR WOOD</t>
  </si>
  <si>
    <t xml:space="preserve">CHRISTMAS RETROSPOT TREE WOOD</t>
  </si>
  <si>
    <t xml:space="preserve">22603</t>
  </si>
  <si>
    <t xml:space="preserve">CHRISTMAS STAR WISH LIST CHALKBOARD</t>
  </si>
  <si>
    <t xml:space="preserve">CHRISTMAS TOILET ROLL</t>
  </si>
  <si>
    <t xml:space="preserve">21098</t>
  </si>
  <si>
    <t xml:space="preserve">CHRISTMAS TREE DECORATION WITH BELL</t>
  </si>
  <si>
    <t xml:space="preserve">21801</t>
  </si>
  <si>
    <t xml:space="preserve">CHRISTMAS TREE HEART DECORATION</t>
  </si>
  <si>
    <t xml:space="preserve">21802</t>
  </si>
  <si>
    <t xml:space="preserve">CHRISTMAS TREE PAINTED ZINC</t>
  </si>
  <si>
    <t xml:space="preserve">22339</t>
  </si>
  <si>
    <t xml:space="preserve">CHRISTMAS TREE STAR DECORATION</t>
  </si>
  <si>
    <t xml:space="preserve">21803</t>
  </si>
  <si>
    <t xml:space="preserve">CHRISTMAS TREE T-LIGHT HOLDER</t>
  </si>
  <si>
    <t xml:space="preserve">21816</t>
  </si>
  <si>
    <t xml:space="preserve">CHRYSANTHEMUM JOURNAL</t>
  </si>
  <si>
    <t xml:space="preserve">20771</t>
  </si>
  <si>
    <t xml:space="preserve">CHRYSANTHEMUM NOTEBOOK</t>
  </si>
  <si>
    <t xml:space="preserve">20777</t>
  </si>
  <si>
    <t xml:space="preserve">CHRYSANTHEMUM POCKET BOOK</t>
  </si>
  <si>
    <t xml:space="preserve">20759</t>
  </si>
  <si>
    <t xml:space="preserve">CHRYSANTHEMUM SKETCHBOOK</t>
  </si>
  <si>
    <t xml:space="preserve">20765</t>
  </si>
  <si>
    <t xml:space="preserve">CHUNKY CRACKED GLAZE NECKLACE IVORY</t>
  </si>
  <si>
    <t xml:space="preserve">90056</t>
  </si>
  <si>
    <t xml:space="preserve">CHUNKY SILVER NECKLACE PASTEL FLOWE</t>
  </si>
  <si>
    <t xml:space="preserve">90147</t>
  </si>
  <si>
    <t xml:space="preserve">CINAMMON &amp; ORANGE WREATH</t>
  </si>
  <si>
    <t xml:space="preserve">21351</t>
  </si>
  <si>
    <t xml:space="preserve">CINAMMON SET OF 9 T-LIGHTS</t>
  </si>
  <si>
    <t xml:space="preserve">85231B</t>
  </si>
  <si>
    <t xml:space="preserve">CINNAMON SCENTED VOTIVE CANDLE</t>
  </si>
  <si>
    <t xml:space="preserve">85230B</t>
  </si>
  <si>
    <t xml:space="preserve">CIRCLE OF FRIENDS CANDLE HOLDER</t>
  </si>
  <si>
    <t xml:space="preserve">17181</t>
  </si>
  <si>
    <t xml:space="preserve">CIRCUS PARADE CHILDRENS EGG CUP</t>
  </si>
  <si>
    <t xml:space="preserve">CIRCUS PARADE LUNCH BOX</t>
  </si>
  <si>
    <t xml:space="preserve">CITRONELLA CANDLE FLOWERPOT</t>
  </si>
  <si>
    <t xml:space="preserve">21713</t>
  </si>
  <si>
    <t xml:space="preserve">CITRONELLA CANDLE GARDEN POT</t>
  </si>
  <si>
    <t xml:space="preserve">21714</t>
  </si>
  <si>
    <t xml:space="preserve">CITRUS GARLAND FELT FLOWERS</t>
  </si>
  <si>
    <t xml:space="preserve">84741C</t>
  </si>
  <si>
    <t xml:space="preserve">CLAM SHELL LARGE</t>
  </si>
  <si>
    <t xml:space="preserve">21416</t>
  </si>
  <si>
    <t xml:space="preserve">CLAM SHELL SMALL</t>
  </si>
  <si>
    <t xml:space="preserve">21415</t>
  </si>
  <si>
    <t xml:space="preserve">CLASSIC DIAMANTE EARRINGS JET</t>
  </si>
  <si>
    <t xml:space="preserve">90177A</t>
  </si>
  <si>
    <t xml:space="preserve">CLASSIC DIAMANTE NECKLACE JET</t>
  </si>
  <si>
    <t xml:space="preserve">90176A</t>
  </si>
  <si>
    <t xml:space="preserve">CLASSIC FRENCH STYLE BASKET BROWN</t>
  </si>
  <si>
    <t xml:space="preserve">21793</t>
  </si>
  <si>
    <t xml:space="preserve">CLASSIC FRENCH STYLE BASKET GREEN</t>
  </si>
  <si>
    <t xml:space="preserve">21792</t>
  </si>
  <si>
    <t xml:space="preserve">CLASSIC FRENCH STYLE BASKET NATURAL</t>
  </si>
  <si>
    <t xml:space="preserve">21794</t>
  </si>
  <si>
    <t xml:space="preserve">CLASSIC METAL BIRDCAGE PLANT HOLDER</t>
  </si>
  <si>
    <t xml:space="preserve">21340</t>
  </si>
  <si>
    <t xml:space="preserve">CLASSIC WHITE FRAME</t>
  </si>
  <si>
    <t xml:space="preserve">21333</t>
  </si>
  <si>
    <t xml:space="preserve">CLASSICAL ROSE CANDLESTAND</t>
  </si>
  <si>
    <t xml:space="preserve">84683</t>
  </si>
  <si>
    <t xml:space="preserve">CLASSICAL ROSE DISH</t>
  </si>
  <si>
    <t xml:space="preserve">84682</t>
  </si>
  <si>
    <t xml:space="preserve">CLASSICAL ROSE SMALL VASE</t>
  </si>
  <si>
    <t xml:space="preserve">84678</t>
  </si>
  <si>
    <t xml:space="preserve">CLASSICAL ROSE TABLE LAMP</t>
  </si>
  <si>
    <t xml:space="preserve">84679</t>
  </si>
  <si>
    <t xml:space="preserve">CLASSICAL ROSE URN</t>
  </si>
  <si>
    <t xml:space="preserve">84680</t>
  </si>
  <si>
    <t xml:space="preserve">CLEAR ACRYLIC FACETED BANGLE</t>
  </si>
  <si>
    <t xml:space="preserve">90210B</t>
  </si>
  <si>
    <t xml:space="preserve">CLEAR COLOUR GLASS GEMS IN BAG</t>
  </si>
  <si>
    <t xml:space="preserve">17129D</t>
  </si>
  <si>
    <t xml:space="preserve">CLEAR CRYSTAL STAR PHONE CHARM</t>
  </si>
  <si>
    <t xml:space="preserve">90093</t>
  </si>
  <si>
    <t xml:space="preserve">CLEAR DRAWER KNOB ACRYLIC EDWARDIAN</t>
  </si>
  <si>
    <t xml:space="preserve">CLEAR LOVE BIRD T-LIGHT HOLDER</t>
  </si>
  <si>
    <t xml:space="preserve">84952A</t>
  </si>
  <si>
    <t xml:space="preserve">CLEAR MILKSHAKE GLASS</t>
  </si>
  <si>
    <t xml:space="preserve">20798</t>
  </si>
  <si>
    <t xml:space="preserve">CLEAR STATIONERY BOX SET</t>
  </si>
  <si>
    <t xml:space="preserve">16020C</t>
  </si>
  <si>
    <t xml:space="preserve">CLOTHES PEGS RETROSPOT PACK 24</t>
  </si>
  <si>
    <t xml:space="preserve">COCKLE SHELL DISH</t>
  </si>
  <si>
    <t xml:space="preserve">21417</t>
  </si>
  <si>
    <t xml:space="preserve">COFFEE MUG APPLES DESIGN</t>
  </si>
  <si>
    <t xml:space="preserve">COFFEE MUG BLUE PAISLEY DESIGN</t>
  </si>
  <si>
    <t xml:space="preserve">22304</t>
  </si>
  <si>
    <t xml:space="preserve">COFFEE MUG CAT + BIRD DESIGN</t>
  </si>
  <si>
    <t xml:space="preserve">COFFEE MUG DOG + BALL DESIGN</t>
  </si>
  <si>
    <t xml:space="preserve">22300</t>
  </si>
  <si>
    <t xml:space="preserve">COFFEE MUG PEARS DESIGN</t>
  </si>
  <si>
    <t xml:space="preserve">COFFEE MUG PINK PAISLEY DESIGN</t>
  </si>
  <si>
    <t xml:space="preserve">22305</t>
  </si>
  <si>
    <t xml:space="preserve">COFFEE SCENT PILLAR CANDLE</t>
  </si>
  <si>
    <t xml:space="preserve">72122</t>
  </si>
  <si>
    <t xml:space="preserve">COGNAC AUX OEUFS METAL 1 HOOK</t>
  </si>
  <si>
    <t xml:space="preserve">82545A</t>
  </si>
  <si>
    <t xml:space="preserve">COLOUR GLASS T-LIGHT HOLDER HANGING</t>
  </si>
  <si>
    <t xml:space="preserve">84755</t>
  </si>
  <si>
    <t xml:space="preserve">COLOUR GLASS. STAR T-LIGHT HOLDER</t>
  </si>
  <si>
    <t xml:space="preserve">71477</t>
  </si>
  <si>
    <t xml:space="preserve">COLOURFUL FISHING GNOME</t>
  </si>
  <si>
    <t xml:space="preserve">21127</t>
  </si>
  <si>
    <t xml:space="preserve">COLOURFUL FLOWER FRUIT BOWL</t>
  </si>
  <si>
    <t xml:space="preserve">35265</t>
  </si>
  <si>
    <t xml:space="preserve">COLOURFUL STANDING GNOME</t>
  </si>
  <si>
    <t xml:space="preserve">21130</t>
  </si>
  <si>
    <t xml:space="preserve">COLOURING PENCILS BROWN TUBE</t>
  </si>
  <si>
    <t xml:space="preserve">10133</t>
  </si>
  <si>
    <t xml:space="preserve">10134</t>
  </si>
  <si>
    <t xml:space="preserve">10135</t>
  </si>
  <si>
    <t xml:space="preserve">COLUMBIAN CANDLE RECTANGLE</t>
  </si>
  <si>
    <t xml:space="preserve">72131</t>
  </si>
  <si>
    <t xml:space="preserve">72133</t>
  </si>
  <si>
    <t xml:space="preserve">COLUMBIAN CANDLE ROUND</t>
  </si>
  <si>
    <t xml:space="preserve">72127</t>
  </si>
  <si>
    <t xml:space="preserve">72128</t>
  </si>
  <si>
    <t xml:space="preserve">72129</t>
  </si>
  <si>
    <t xml:space="preserve">72130</t>
  </si>
  <si>
    <t xml:space="preserve">COLUMBIAN CUBE CANDLE</t>
  </si>
  <si>
    <t xml:space="preserve">72132</t>
  </si>
  <si>
    <t xml:space="preserve">72134</t>
  </si>
  <si>
    <t xml:space="preserve">CONCH SHELL</t>
  </si>
  <si>
    <t xml:space="preserve">21419</t>
  </si>
  <si>
    <t xml:space="preserve">CONDIMENT TRAY 4 BOWLS AND 4 SPOONS</t>
  </si>
  <si>
    <t xml:space="preserve">37476</t>
  </si>
  <si>
    <t xml:space="preserve">CONGRATULATIONS BUNTING</t>
  </si>
  <si>
    <t xml:space="preserve">47589</t>
  </si>
  <si>
    <t xml:space="preserve">COOK WITH WINE METAL SIGN</t>
  </si>
  <si>
    <t xml:space="preserve">COOKING SET RETROSPOT</t>
  </si>
  <si>
    <t xml:space="preserve">22618</t>
  </si>
  <si>
    <t xml:space="preserve">COPPER AND BRASS BAG CHARM</t>
  </si>
  <si>
    <t xml:space="preserve">90043</t>
  </si>
  <si>
    <t xml:space="preserve">COPPER/OLIVE GREEN FLOWER NECKLACE</t>
  </si>
  <si>
    <t xml:space="preserve">90000D</t>
  </si>
  <si>
    <t xml:space="preserve">CORONA MEXICAN TRAY</t>
  </si>
  <si>
    <t xml:space="preserve">79067</t>
  </si>
  <si>
    <t xml:space="preserve">COSMETIC BAG VINTAGE ROSE PAISLEY</t>
  </si>
  <si>
    <t xml:space="preserve">22277</t>
  </si>
  <si>
    <t xml:space="preserve">COSY HOUR CIGAR BOX MATCHES</t>
  </si>
  <si>
    <t xml:space="preserve">21591</t>
  </si>
  <si>
    <t xml:space="preserve">COSY HOUR GIANT TUBE MATCHES</t>
  </si>
  <si>
    <t xml:space="preserve">21587</t>
  </si>
  <si>
    <t xml:space="preserve">COSY SLIPPER SHOES LARGE GREEN</t>
  </si>
  <si>
    <t xml:space="preserve">21741</t>
  </si>
  <si>
    <t xml:space="preserve">COSY SLIPPER SHOES LARGE RED</t>
  </si>
  <si>
    <t xml:space="preserve">21740</t>
  </si>
  <si>
    <t xml:space="preserve">COSY SLIPPER SHOES SMALL GREEN</t>
  </si>
  <si>
    <t xml:space="preserve">21739</t>
  </si>
  <si>
    <t xml:space="preserve">COSY SLIPPER SHOES SMALL RED</t>
  </si>
  <si>
    <t xml:space="preserve">21738</t>
  </si>
  <si>
    <t xml:space="preserve">COTE D'AZURE NECKLACE</t>
  </si>
  <si>
    <t xml:space="preserve">90159</t>
  </si>
  <si>
    <t xml:space="preserve">COUNTRY COTTAGE DOORSTOP GREEN</t>
  </si>
  <si>
    <t xml:space="preserve">21410</t>
  </si>
  <si>
    <t xml:space="preserve">COW SOCK PUPPET</t>
  </si>
  <si>
    <t xml:space="preserve">85185C</t>
  </si>
  <si>
    <t xml:space="preserve">COWBOYS AND INDIANS BIRTHDAY CARD</t>
  </si>
  <si>
    <t xml:space="preserve">CRACKED GLAZE EARRINGS BROWN</t>
  </si>
  <si>
    <t xml:space="preserve">90055</t>
  </si>
  <si>
    <t xml:space="preserve">CRACKED GLAZE EARRINGS IVORY</t>
  </si>
  <si>
    <t xml:space="preserve">90053</t>
  </si>
  <si>
    <t xml:space="preserve">CRACKED GLAZE EARRINGS RED</t>
  </si>
  <si>
    <t xml:space="preserve">90054</t>
  </si>
  <si>
    <t xml:space="preserve">CRACKED GLAZE NECKLACE BROWN</t>
  </si>
  <si>
    <t xml:space="preserve">90052</t>
  </si>
  <si>
    <t xml:space="preserve">CRACKED GLAZE NECKLACE IVORY</t>
  </si>
  <si>
    <t xml:space="preserve">90050</t>
  </si>
  <si>
    <t xml:space="preserve">CRACKED GLAZE NECKLACE RED</t>
  </si>
  <si>
    <t xml:space="preserve">90051</t>
  </si>
  <si>
    <t xml:space="preserve">CRAZY DAISY HEART DECORATION</t>
  </si>
  <si>
    <t xml:space="preserve">20707</t>
  </si>
  <si>
    <t xml:space="preserve">CREAM AND PINK FLOWERS PONY</t>
  </si>
  <si>
    <t xml:space="preserve">84921</t>
  </si>
  <si>
    <t xml:space="preserve">CREAM CLIMBING HYDRANGA ART FLOWER</t>
  </si>
  <si>
    <t xml:space="preserve">84805A</t>
  </si>
  <si>
    <t xml:space="preserve">CREAM CUPID HEARTS COAT HANGER</t>
  </si>
  <si>
    <t xml:space="preserve">84406B</t>
  </si>
  <si>
    <t xml:space="preserve">CREAM CUSHION COVER WITH FLOWERS</t>
  </si>
  <si>
    <t xml:space="preserve">84918</t>
  </si>
  <si>
    <t xml:space="preserve">CREAM DELPHINIUM ARTIFICIAL FLOWER</t>
  </si>
  <si>
    <t xml:space="preserve">84804A</t>
  </si>
  <si>
    <t xml:space="preserve">CREAM FELT EASTER EGG BASKET</t>
  </si>
  <si>
    <t xml:space="preserve">85206A</t>
  </si>
  <si>
    <t xml:space="preserve">CREAM HEART CARD HOLDER</t>
  </si>
  <si>
    <t xml:space="preserve">22189</t>
  </si>
  <si>
    <t xml:space="preserve">CREAM KNITTED HEN</t>
  </si>
  <si>
    <t xml:space="preserve">35915A</t>
  </si>
  <si>
    <t xml:space="preserve">CREAM SLICE FLANNEL CHOCOLATE SPOT</t>
  </si>
  <si>
    <t xml:space="preserve">21106</t>
  </si>
  <si>
    <t xml:space="preserve">CREAM SLICE FLANNEL PINK SPOT</t>
  </si>
  <si>
    <t xml:space="preserve">21107</t>
  </si>
  <si>
    <t xml:space="preserve">CREAM SWEETHEART DOUBLE SHELF</t>
  </si>
  <si>
    <t xml:space="preserve">85069</t>
  </si>
  <si>
    <t xml:space="preserve">CREAM SWEETHEART EGG HOLDER</t>
  </si>
  <si>
    <t xml:space="preserve">22854</t>
  </si>
  <si>
    <t xml:space="preserve">CREAM SWEETHEART LETTER RACK</t>
  </si>
  <si>
    <t xml:space="preserve">85064</t>
  </si>
  <si>
    <t xml:space="preserve">CREAM SWEETHEART MAGAZINE RACK</t>
  </si>
  <si>
    <t xml:space="preserve">85063</t>
  </si>
  <si>
    <t xml:space="preserve">CREAM SWEETHEART MINI CHEST</t>
  </si>
  <si>
    <t xml:space="preserve">85066</t>
  </si>
  <si>
    <t xml:space="preserve">CREAM SWEETHEART SHELF + HOOKS</t>
  </si>
  <si>
    <t xml:space="preserve">85068</t>
  </si>
  <si>
    <t xml:space="preserve">CREAM SWEETHEART TRAYS</t>
  </si>
  <si>
    <t xml:space="preserve">85065</t>
  </si>
  <si>
    <t xml:space="preserve">CREAM SWEETHEART WALL CABINET</t>
  </si>
  <si>
    <t xml:space="preserve">85067</t>
  </si>
  <si>
    <t xml:space="preserve">CREAM WALL PLANTER HEART SHAPED</t>
  </si>
  <si>
    <t xml:space="preserve">22822</t>
  </si>
  <si>
    <t xml:space="preserve">CROCHET BEAR RED/BLUE KEYRING</t>
  </si>
  <si>
    <t xml:space="preserve">84548</t>
  </si>
  <si>
    <t xml:space="preserve">CROCHET BEAR WITH BLUE STRIPES</t>
  </si>
  <si>
    <t xml:space="preserve">84671B</t>
  </si>
  <si>
    <t xml:space="preserve">CROCHET DOG KEYRING</t>
  </si>
  <si>
    <t xml:space="preserve">84551</t>
  </si>
  <si>
    <t xml:space="preserve">CROCHET LILAC/RED BEAR KEYRING</t>
  </si>
  <si>
    <t xml:space="preserve">84550</t>
  </si>
  <si>
    <t xml:space="preserve">CROCHET POODLE KEYRING</t>
  </si>
  <si>
    <t xml:space="preserve">84546</t>
  </si>
  <si>
    <t xml:space="preserve">CROCHET ROSE DES CLOTHES HANGER</t>
  </si>
  <si>
    <t xml:space="preserve">84593</t>
  </si>
  <si>
    <t xml:space="preserve">CROCHET ROSE PURSE WITH SUEDE BACK</t>
  </si>
  <si>
    <t xml:space="preserve">84592</t>
  </si>
  <si>
    <t xml:space="preserve">CROCHET WHITE RABBIT KEYRING</t>
  </si>
  <si>
    <t xml:space="preserve">84549</t>
  </si>
  <si>
    <t xml:space="preserve">CROSS STITCH ALPHABET CUSHION COVER</t>
  </si>
  <si>
    <t xml:space="preserve">21837</t>
  </si>
  <si>
    <t xml:space="preserve">CRYSTAL CZECH CROSS PHONE CHARM</t>
  </si>
  <si>
    <t xml:space="preserve">90083</t>
  </si>
  <si>
    <t xml:space="preserve">CRYSTAL DIAMANTE EXPANDABLE RING</t>
  </si>
  <si>
    <t xml:space="preserve">90185D</t>
  </si>
  <si>
    <t xml:space="preserve">CRYSTAL DIAMANTE STAR BROOCH</t>
  </si>
  <si>
    <t xml:space="preserve">90206C</t>
  </si>
  <si>
    <t xml:space="preserve">CRYSTAL DRAGONFLY PHONE CHARM</t>
  </si>
  <si>
    <t xml:space="preserve">90091</t>
  </si>
  <si>
    <t xml:space="preserve">CRYSTAL FROG PHONE CHARM</t>
  </si>
  <si>
    <t xml:space="preserve">90086</t>
  </si>
  <si>
    <t xml:space="preserve">CRYSTAL HOOP EARRING FLORAL LEAF</t>
  </si>
  <si>
    <t xml:space="preserve">90186B</t>
  </si>
  <si>
    <t xml:space="preserve">CRYSTAL KEY+LOCK PHONE CHARM</t>
  </si>
  <si>
    <t xml:space="preserve">90088</t>
  </si>
  <si>
    <t xml:space="preserve">CRYSTAL LARGE JEWELLED PHOTO FRAME</t>
  </si>
  <si>
    <t xml:space="preserve">85023A</t>
  </si>
  <si>
    <t xml:space="preserve">CRYSTAL PAIR HEART HAIR SLIDES</t>
  </si>
  <si>
    <t xml:space="preserve">90003D</t>
  </si>
  <si>
    <t xml:space="preserve">CRYSTAL SEA HORSE PHONE CHARM</t>
  </si>
  <si>
    <t xml:space="preserve">90087</t>
  </si>
  <si>
    <t xml:space="preserve">CRYSTAL SMALL JEWELLED PHOTOFRAME</t>
  </si>
  <si>
    <t xml:space="preserve">85024A</t>
  </si>
  <si>
    <t xml:space="preserve">CRYSTAL STILETTO PHONE CHARM</t>
  </si>
  <si>
    <t xml:space="preserve">90085</t>
  </si>
  <si>
    <t xml:space="preserve">CRYSTAL STUD EARRINGS ASSORTED COL</t>
  </si>
  <si>
    <t xml:space="preserve">90058B</t>
  </si>
  <si>
    <t xml:space="preserve">CRYSTAL STUD EARRINGS CLEAR DISPLAY</t>
  </si>
  <si>
    <t xml:space="preserve">90058A</t>
  </si>
  <si>
    <t xml:space="preserve">CUBIC MUG BLUE POLKA DOT</t>
  </si>
  <si>
    <t xml:space="preserve">37482B</t>
  </si>
  <si>
    <t xml:space="preserve">CUBIC MUG FLOCK BLUE ON BROWN</t>
  </si>
  <si>
    <t xml:space="preserve">37479B</t>
  </si>
  <si>
    <t xml:space="preserve">CUBIC MUG FLOCK PINK ON BROWN</t>
  </si>
  <si>
    <t xml:space="preserve">37479P</t>
  </si>
  <si>
    <t xml:space="preserve">CUBIC MUG PINK POLKA DOT</t>
  </si>
  <si>
    <t xml:space="preserve">37482P</t>
  </si>
  <si>
    <t xml:space="preserve">CUBIC MUG TEATIME CAKES</t>
  </si>
  <si>
    <t xml:space="preserve">37481</t>
  </si>
  <si>
    <t xml:space="preserve">CUPBOARD 3 DRAWER MA CAMPAGNE</t>
  </si>
  <si>
    <t xml:space="preserve">22762</t>
  </si>
  <si>
    <t xml:space="preserve">CUPCAKE LACE PAPER SET 6</t>
  </si>
  <si>
    <t xml:space="preserve">22938</t>
  </si>
  <si>
    <t xml:space="preserve">CUPID DESIGN SCENTED CANDLES</t>
  </si>
  <si>
    <t xml:space="preserve">CUPID SCENTED CANDLE IN GLASS</t>
  </si>
  <si>
    <t xml:space="preserve">72821</t>
  </si>
  <si>
    <t xml:space="preserve">CURIOUS IMAGES GIFT WRAP SET</t>
  </si>
  <si>
    <t xml:space="preserve">CURIOUS IMAGES NOTEBOOK SET</t>
  </si>
  <si>
    <t xml:space="preserve">85019C</t>
  </si>
  <si>
    <t xml:space="preserve">CURIOUS IMAGES SCRAP BOOK SET</t>
  </si>
  <si>
    <t xml:space="preserve">85031C</t>
  </si>
  <si>
    <t xml:space="preserve">CUSHION COVER PINK UNION FLAG</t>
  </si>
  <si>
    <t xml:space="preserve">22785</t>
  </si>
  <si>
    <t xml:space="preserve">CUSHION COVER PINK UNION JACK</t>
  </si>
  <si>
    <t xml:space="preserve">CUT GLASS HEXAGON T-LIGHT HOLDER</t>
  </si>
  <si>
    <t xml:space="preserve">85106</t>
  </si>
  <si>
    <t xml:space="preserve">CUT GLASS T-LIGHT HOLDER OCTAGON</t>
  </si>
  <si>
    <t xml:space="preserve">85107</t>
  </si>
  <si>
    <t xml:space="preserve">CUTE BIRD CEATURE SCREEN</t>
  </si>
  <si>
    <t xml:space="preserve">84732B</t>
  </si>
  <si>
    <t xml:space="preserve">CUTE CATS TAPE</t>
  </si>
  <si>
    <t xml:space="preserve">CUTE RABBIT CEATURE SCREEN</t>
  </si>
  <si>
    <t xml:space="preserve">84732D</t>
  </si>
  <si>
    <t xml:space="preserve">DADDY MOUSE RED GINGHAM BOW TIE</t>
  </si>
  <si>
    <t xml:space="preserve">21838</t>
  </si>
  <si>
    <t xml:space="preserve">DAIRY MAID CERAMIC BUTTER DISH</t>
  </si>
  <si>
    <t xml:space="preserve">21540</t>
  </si>
  <si>
    <t xml:space="preserve">DAIRY MAID LARGE MILK JUG</t>
  </si>
  <si>
    <t xml:space="preserve">DAIRY MAID PUDDING BOWL</t>
  </si>
  <si>
    <t xml:space="preserve">21538</t>
  </si>
  <si>
    <t xml:space="preserve">DAIRY MAID SMALL MILK JUG</t>
  </si>
  <si>
    <t xml:space="preserve">21536</t>
  </si>
  <si>
    <t xml:space="preserve">DAIRY MAID STRIPE MUG</t>
  </si>
  <si>
    <t xml:space="preserve">21845</t>
  </si>
  <si>
    <t xml:space="preserve">DAIRY MAID SUGAR JAM BOWL</t>
  </si>
  <si>
    <t xml:space="preserve">21532</t>
  </si>
  <si>
    <t xml:space="preserve">DAIRY MAID TOASTRACK</t>
  </si>
  <si>
    <t xml:space="preserve">21530</t>
  </si>
  <si>
    <t xml:space="preserve">DAIRY MAID TRADITIONAL TEAPOT</t>
  </si>
  <si>
    <t xml:space="preserve">21528</t>
  </si>
  <si>
    <t xml:space="preserve">DAISIES HONEYCOMB GARLAND</t>
  </si>
  <si>
    <t xml:space="preserve">21204</t>
  </si>
  <si>
    <t xml:space="preserve">DAISY ERASERS IN BAG</t>
  </si>
  <si>
    <t xml:space="preserve">16258B</t>
  </si>
  <si>
    <t xml:space="preserve">DAISY FOLKART HEART DECORATION</t>
  </si>
  <si>
    <t xml:space="preserve">35972</t>
  </si>
  <si>
    <t xml:space="preserve">DAISY GARDEN MARKER</t>
  </si>
  <si>
    <t xml:space="preserve">22479</t>
  </si>
  <si>
    <t xml:space="preserve">DAISY HAIR BAND</t>
  </si>
  <si>
    <t xml:space="preserve">90170</t>
  </si>
  <si>
    <t xml:space="preserve">DAISY HAIR COMB</t>
  </si>
  <si>
    <t xml:space="preserve">90169</t>
  </si>
  <si>
    <t xml:space="preserve">DAISY JOURNAL</t>
  </si>
  <si>
    <t xml:space="preserve">20769</t>
  </si>
  <si>
    <t xml:space="preserve">DAISY NOTEBOOK</t>
  </si>
  <si>
    <t xml:space="preserve">20775</t>
  </si>
  <si>
    <t xml:space="preserve">DAISY RING</t>
  </si>
  <si>
    <t xml:space="preserve">90171</t>
  </si>
  <si>
    <t xml:space="preserve">DAISY SKETCHBOOK</t>
  </si>
  <si>
    <t xml:space="preserve">20763</t>
  </si>
  <si>
    <t xml:space="preserve">DANISH ROSE BEDSIDE CABINET</t>
  </si>
  <si>
    <t xml:space="preserve">84816</t>
  </si>
  <si>
    <t xml:space="preserve">DANISH ROSE DECORATIVE PLATE</t>
  </si>
  <si>
    <t xml:space="preserve">DANISH ROSE DELUXE COASTER</t>
  </si>
  <si>
    <t xml:space="preserve">DANISH ROSE FOLDING CHAIR</t>
  </si>
  <si>
    <t xml:space="preserve">84823</t>
  </si>
  <si>
    <t xml:space="preserve">DANISH ROSE PHOTO FRAME</t>
  </si>
  <si>
    <t xml:space="preserve">84818</t>
  </si>
  <si>
    <t xml:space="preserve">DANISH ROSE ROUND SEWING BOX</t>
  </si>
  <si>
    <t xml:space="preserve">DANISH ROSE TRINKET TRAYS</t>
  </si>
  <si>
    <t xml:space="preserve">DANISH ROSE UMBRELLA STAND</t>
  </si>
  <si>
    <t xml:space="preserve">84824</t>
  </si>
  <si>
    <t xml:space="preserve">DARK BIRD HOUSE TREE DECORATION</t>
  </si>
  <si>
    <t xml:space="preserve">21015</t>
  </si>
  <si>
    <t xml:space="preserve">DARK CHOCOLATE SCENTCANDLE</t>
  </si>
  <si>
    <t xml:space="preserve">72739C</t>
  </si>
  <si>
    <t xml:space="preserve">DARK PINK FLOCK GLASS CANDLEHOLDER</t>
  </si>
  <si>
    <t xml:space="preserve">79338</t>
  </si>
  <si>
    <t xml:space="preserve">DECORATION , HANGING METAL CHICKEN</t>
  </si>
  <si>
    <t xml:space="preserve">22289</t>
  </si>
  <si>
    <t xml:space="preserve">DECORATION , HANGING METAL RABBIT</t>
  </si>
  <si>
    <t xml:space="preserve">22288</t>
  </si>
  <si>
    <t xml:space="preserve">DECORATION , WOBBLY CHICKEN, METAL</t>
  </si>
  <si>
    <t xml:space="preserve">22287</t>
  </si>
  <si>
    <t xml:space="preserve">DECORATION , WOBBLY RABBIT , METAL</t>
  </si>
  <si>
    <t xml:space="preserve">22286</t>
  </si>
  <si>
    <t xml:space="preserve">DECORATION BUTTERFLY MAGIC GARDEN</t>
  </si>
  <si>
    <t xml:space="preserve">22250</t>
  </si>
  <si>
    <t xml:space="preserve">DECORATION HEN ON NEST, HANGING</t>
  </si>
  <si>
    <t xml:space="preserve">22285</t>
  </si>
  <si>
    <t xml:space="preserve">DECORATION PINK CHICK MAGIC GARDEN</t>
  </si>
  <si>
    <t xml:space="preserve">22248</t>
  </si>
  <si>
    <t xml:space="preserve">DECORATION WHITE CHICK MAGIC GARDEN</t>
  </si>
  <si>
    <t xml:space="preserve">22249</t>
  </si>
  <si>
    <t xml:space="preserve">DECORATION, HANGING HEART+MIRROR</t>
  </si>
  <si>
    <t xml:space="preserve">22227</t>
  </si>
  <si>
    <t xml:space="preserve">DECORATIVE CATS BATHROOM BOTTLE</t>
  </si>
  <si>
    <t xml:space="preserve">21774</t>
  </si>
  <si>
    <t xml:space="preserve">DECORATIVE FLORE BATHROOM BOTTLE</t>
  </si>
  <si>
    <t xml:space="preserve">21775</t>
  </si>
  <si>
    <t xml:space="preserve">DECORATIVE HANGING SHELVING UNIT</t>
  </si>
  <si>
    <t xml:space="preserve">84632</t>
  </si>
  <si>
    <t xml:space="preserve">DECORATIVE NET CANOPY CREAM</t>
  </si>
  <si>
    <t xml:space="preserve">45008C</t>
  </si>
  <si>
    <t xml:space="preserve">DECORATIVE NET CANOPY LEOPARD</t>
  </si>
  <si>
    <t xml:space="preserve">45016</t>
  </si>
  <si>
    <t xml:space="preserve">DECORATIVE PLANT POT WITH FRIEZE</t>
  </si>
  <si>
    <t xml:space="preserve">22825</t>
  </si>
  <si>
    <t xml:space="preserve">DECORATIVE ROSE BATHROOM BOTTLE</t>
  </si>
  <si>
    <t xml:space="preserve">21773</t>
  </si>
  <si>
    <t xml:space="preserve">DECOUPAGE,GREETING CARD,</t>
  </si>
  <si>
    <t xml:space="preserve">84247G</t>
  </si>
  <si>
    <t xml:space="preserve">DEEP BLUE GLASS GEMS IN BAG</t>
  </si>
  <si>
    <t xml:space="preserve">17129F</t>
  </si>
  <si>
    <t xml:space="preserve">DELUXE SEWING KIT</t>
  </si>
  <si>
    <t xml:space="preserve">DENIM PATCH PENCIL CASE BUTTERFLY</t>
  </si>
  <si>
    <t xml:space="preserve">20864</t>
  </si>
  <si>
    <t xml:space="preserve">DENIM PATCH PURSE PINK BUTTERFLY</t>
  </si>
  <si>
    <t xml:space="preserve">20856</t>
  </si>
  <si>
    <t xml:space="preserve">DIAMANTE BOW BROOCH BLACK COLOUR</t>
  </si>
  <si>
    <t xml:space="preserve">90082D</t>
  </si>
  <si>
    <t xml:space="preserve">DIAMANTE BOW BROOCH GREEN COLOUR</t>
  </si>
  <si>
    <t xml:space="preserve">90082A</t>
  </si>
  <si>
    <t xml:space="preserve">DIAMANTE BOW BROOCH RED COLOUR</t>
  </si>
  <si>
    <t xml:space="preserve">90082B</t>
  </si>
  <si>
    <t xml:space="preserve">DIAMANTE BOW BROOCH WHITE COLOUR</t>
  </si>
  <si>
    <t xml:space="preserve">90082C</t>
  </si>
  <si>
    <t xml:space="preserve">DIAMANTE HAIR GRIP PACK/2 BLACK DIA</t>
  </si>
  <si>
    <t xml:space="preserve">90059B</t>
  </si>
  <si>
    <t xml:space="preserve">DIAMANTE HAIR GRIP PACK/2 CRYSTAL</t>
  </si>
  <si>
    <t xml:space="preserve">90059A</t>
  </si>
  <si>
    <t xml:space="preserve">DIAMANTE HAIR GRIP PACK/2 LT ROSE</t>
  </si>
  <si>
    <t xml:space="preserve">90059F</t>
  </si>
  <si>
    <t xml:space="preserve">DIAMANTE HAIR GRIP PACK/2 MONTANA</t>
  </si>
  <si>
    <t xml:space="preserve">90059C</t>
  </si>
  <si>
    <t xml:space="preserve">DIAMANTE HAIR GRIP PACK/2 PERIDOT</t>
  </si>
  <si>
    <t xml:space="preserve">90059D</t>
  </si>
  <si>
    <t xml:space="preserve">DIAMANTE HAIR GRIP PACK/2 RUBY</t>
  </si>
  <si>
    <t xml:space="preserve">90059E</t>
  </si>
  <si>
    <t xml:space="preserve">DIAMANTE HEART SHAPED WALL MIRROR,</t>
  </si>
  <si>
    <t xml:space="preserve">22165</t>
  </si>
  <si>
    <t xml:space="preserve">DIAMANTE NECKLACE</t>
  </si>
  <si>
    <t xml:space="preserve">90176C</t>
  </si>
  <si>
    <t xml:space="preserve">DIAMANTE NECKLACE BLACK</t>
  </si>
  <si>
    <t xml:space="preserve">90176B</t>
  </si>
  <si>
    <t xml:space="preserve">DIAMANTE NECKLACE PURPLE</t>
  </si>
  <si>
    <t xml:space="preserve">90176D</t>
  </si>
  <si>
    <t xml:space="preserve">DIAMANTE RING ASSORTED IN BOX.</t>
  </si>
  <si>
    <t xml:space="preserve">90057</t>
  </si>
  <si>
    <t xml:space="preserve">DIAMOND LAS VEGAS NECKLACE 45CM</t>
  </si>
  <si>
    <t xml:space="preserve">90211A</t>
  </si>
  <si>
    <t xml:space="preserve">DINOSAUR BIRTHDAY CARD</t>
  </si>
  <si>
    <t xml:space="preserve">22036</t>
  </si>
  <si>
    <t xml:space="preserve">DINOSAUR HEIGHT CHART STICKER SET</t>
  </si>
  <si>
    <t xml:space="preserve">21251</t>
  </si>
  <si>
    <t xml:space="preserve">DINOSAUR KEYRINGS ASSORTED</t>
  </si>
  <si>
    <t xml:space="preserve">21829</t>
  </si>
  <si>
    <t xml:space="preserve">DINOSAUR LUNCH BOX WITH CUTLERY</t>
  </si>
  <si>
    <t xml:space="preserve">DINOSAUR PARTY BAG + STICKER SET</t>
  </si>
  <si>
    <t xml:space="preserve">22334</t>
  </si>
  <si>
    <t xml:space="preserve">DINOSAURS WATER TRANSFER TATTOOS</t>
  </si>
  <si>
    <t xml:space="preserve">21541</t>
  </si>
  <si>
    <t xml:space="preserve">DINOSAURS WRITING SET</t>
  </si>
  <si>
    <t xml:space="preserve">21329</t>
  </si>
  <si>
    <t xml:space="preserve">DISCO BALL CHRISTMAS DECORATION</t>
  </si>
  <si>
    <t xml:space="preserve">20668</t>
  </si>
  <si>
    <t xml:space="preserve">DISCO BALL ROTATOR BATTERY OPERATED</t>
  </si>
  <si>
    <t xml:space="preserve">21464</t>
  </si>
  <si>
    <t xml:space="preserve">DISTRESSED CANDLE STICK WHITE</t>
  </si>
  <si>
    <t xml:space="preserve">21450</t>
  </si>
  <si>
    <t xml:space="preserve">DO NOT TOUCH MY STUFF DOOR HANGER</t>
  </si>
  <si>
    <t xml:space="preserve">21163</t>
  </si>
  <si>
    <t xml:space="preserve">DOCTOR'S BAG SOFT TOY</t>
  </si>
  <si>
    <t xml:space="preserve">21056</t>
  </si>
  <si>
    <t xml:space="preserve">DOG BOWL , CHASING BALL DESIGN</t>
  </si>
  <si>
    <t xml:space="preserve">22349</t>
  </si>
  <si>
    <t xml:space="preserve">DOG BOWL VINTAGE CREAM</t>
  </si>
  <si>
    <t xml:space="preserve">22852</t>
  </si>
  <si>
    <t xml:space="preserve">DOG TOY WITH PINK CROCHET SKIRT</t>
  </si>
  <si>
    <t xml:space="preserve">84581</t>
  </si>
  <si>
    <t xml:space="preserve">DOGGY RUBBER</t>
  </si>
  <si>
    <t xml:space="preserve">10120</t>
  </si>
  <si>
    <t xml:space="preserve">DOGS NIGHT COLLAR</t>
  </si>
  <si>
    <t xml:space="preserve">DCGS0068</t>
  </si>
  <si>
    <t xml:space="preserve">DOLLY GIRL CHILDRENS EGG CUP</t>
  </si>
  <si>
    <t xml:space="preserve">22977</t>
  </si>
  <si>
    <t xml:space="preserve">DOLLY GIRL LUNCH BOX</t>
  </si>
  <si>
    <t xml:space="preserve">DOLLY HONEYCOMB GARLAND</t>
  </si>
  <si>
    <t xml:space="preserve">21202</t>
  </si>
  <si>
    <t xml:space="preserve">DOLLY MIXTURE CHILDREN'S UMBRELLA</t>
  </si>
  <si>
    <t xml:space="preserve">20686</t>
  </si>
  <si>
    <t xml:space="preserve">DOLPHIN WINDMILL</t>
  </si>
  <si>
    <t xml:space="preserve">77079</t>
  </si>
  <si>
    <t xml:space="preserve">DOOR HANGER MUM + DADS ROOM</t>
  </si>
  <si>
    <t xml:space="preserve">DOOR MAT 3 SMILEY CATS</t>
  </si>
  <si>
    <t xml:space="preserve">48111</t>
  </si>
  <si>
    <t xml:space="preserve">DOOR MAT BIRD ON THE WIRE</t>
  </si>
  <si>
    <t xml:space="preserve">48197</t>
  </si>
  <si>
    <t xml:space="preserve">DOOR MAT BLACK FLOCK</t>
  </si>
  <si>
    <t xml:space="preserve">48173C</t>
  </si>
  <si>
    <t xml:space="preserve">DOOR MAT BLUE FLOCK</t>
  </si>
  <si>
    <t xml:space="preserve">48173A</t>
  </si>
  <si>
    <t xml:space="preserve">DOOR MAT CAMOUFLAGE</t>
  </si>
  <si>
    <t xml:space="preserve">48175</t>
  </si>
  <si>
    <t xml:space="preserve">DOOR MAT ENGLISH ROSE</t>
  </si>
  <si>
    <t xml:space="preserve">DOOR MAT FAIRY CAKE</t>
  </si>
  <si>
    <t xml:space="preserve">DOOR MAT FANCY FONT HOME SWEET HOME</t>
  </si>
  <si>
    <t xml:space="preserve">DOOR MAT FRIENDSHIP</t>
  </si>
  <si>
    <t xml:space="preserve">48189</t>
  </si>
  <si>
    <t xml:space="preserve">DOOR MAT GREEN PAISLEY</t>
  </si>
  <si>
    <t xml:space="preserve">48195</t>
  </si>
  <si>
    <t xml:space="preserve">DOOR MAT KISS MY.......</t>
  </si>
  <si>
    <t xml:space="preserve">48103</t>
  </si>
  <si>
    <t xml:space="preserve">DOOR MAT MULTICOLOUR STRIPE</t>
  </si>
  <si>
    <t xml:space="preserve">48116</t>
  </si>
  <si>
    <t xml:space="preserve">DOOR MAT NEW ENGLAND</t>
  </si>
  <si>
    <t xml:space="preserve">DOOR MAT RED SPOT</t>
  </si>
  <si>
    <t xml:space="preserve">DOOR MAT SWEET HOME</t>
  </si>
  <si>
    <t xml:space="preserve">48179</t>
  </si>
  <si>
    <t xml:space="preserve">DOOR MAT TOPIARY</t>
  </si>
  <si>
    <t xml:space="preserve">DOOR MAT UNION FLAG</t>
  </si>
  <si>
    <t xml:space="preserve">DOOR MAT UNION JACK GUNS AND ROSES</t>
  </si>
  <si>
    <t xml:space="preserve">21955</t>
  </si>
  <si>
    <t xml:space="preserve">DOOR MAT WELCOME PUPPIES</t>
  </si>
  <si>
    <t xml:space="preserve">48188</t>
  </si>
  <si>
    <t xml:space="preserve">DOORMAT AIRMAIL</t>
  </si>
  <si>
    <t xml:space="preserve">DOORMAT CHRISTMAS VILLAGE</t>
  </si>
  <si>
    <t xml:space="preserve">22687</t>
  </si>
  <si>
    <t xml:space="preserve">DOORMAT HEARTS</t>
  </si>
  <si>
    <t xml:space="preserve">DOORMAT HOME SWEET HOME BLUE</t>
  </si>
  <si>
    <t xml:space="preserve">DOORMAT I LOVE LONDON</t>
  </si>
  <si>
    <t xml:space="preserve">22660</t>
  </si>
  <si>
    <t xml:space="preserve">DOORMAT MERRY CHRISTMAS RED</t>
  </si>
  <si>
    <t xml:space="preserve">22689</t>
  </si>
  <si>
    <t xml:space="preserve">DOORMAT NEIGHBOURHOOD WITCH</t>
  </si>
  <si>
    <t xml:space="preserve">22414</t>
  </si>
  <si>
    <t xml:space="preserve">DOORMAT PEACE ON EARTH BLUE</t>
  </si>
  <si>
    <t xml:space="preserve">22688</t>
  </si>
  <si>
    <t xml:space="preserve">DOORMAT RESPECTABLE HOUSE</t>
  </si>
  <si>
    <t xml:space="preserve">22365</t>
  </si>
  <si>
    <t xml:space="preserve">DOORMAT SPOTTY HOME SWEET HOME</t>
  </si>
  <si>
    <t xml:space="preserve">DOORMAT WELCOME SUNRISE</t>
  </si>
  <si>
    <t xml:space="preserve">22691</t>
  </si>
  <si>
    <t xml:space="preserve">DOORMAT WELCOME TO OUR HOME</t>
  </si>
  <si>
    <t xml:space="preserve">DOORSTOP FOOTBALL DESIGN</t>
  </si>
  <si>
    <t xml:space="preserve">22513</t>
  </si>
  <si>
    <t xml:space="preserve">DOORSTOP RACING CAR DESIGN</t>
  </si>
  <si>
    <t xml:space="preserve">22512</t>
  </si>
  <si>
    <t xml:space="preserve">DOORSTOP RETROSPOT HEART</t>
  </si>
  <si>
    <t xml:space="preserve">22508</t>
  </si>
  <si>
    <t xml:space="preserve">DOORSTOP RUSSIAN DOLL GINGHAM</t>
  </si>
  <si>
    <t xml:space="preserve">22510</t>
  </si>
  <si>
    <t xml:space="preserve">DOORSTOP RUSSIAN DOLL RETROSPOT</t>
  </si>
  <si>
    <t xml:space="preserve">22511</t>
  </si>
  <si>
    <t xml:space="preserve">DOT MATRIX CANVAS ART PICTURE</t>
  </si>
  <si>
    <t xml:space="preserve">84720</t>
  </si>
  <si>
    <t xml:space="preserve">DOTCOM POSTAGE</t>
  </si>
  <si>
    <t xml:space="preserve">DOT</t>
  </si>
  <si>
    <t xml:space="preserve">DOTCOMGIFTSHOP TEA TOWEL</t>
  </si>
  <si>
    <t xml:space="preserve">22351</t>
  </si>
  <si>
    <t xml:space="preserve">DOTS IRONING BOARD COVER</t>
  </si>
  <si>
    <t xml:space="preserve">47552A</t>
  </si>
  <si>
    <t xml:space="preserve">DOVE DECORATION PAINTED ZINC</t>
  </si>
  <si>
    <t xml:space="preserve">22336</t>
  </si>
  <si>
    <t xml:space="preserve">DR WHO TOP TRUMPS GAME</t>
  </si>
  <si>
    <t xml:space="preserve">21860</t>
  </si>
  <si>
    <t xml:space="preserve">DRAGONS BLOOD INCENSE</t>
  </si>
  <si>
    <t xml:space="preserve">17084P</t>
  </si>
  <si>
    <t xml:space="preserve">DROP DIAMANTE EARRINGS BLACK DIAMON</t>
  </si>
  <si>
    <t xml:space="preserve">90177B</t>
  </si>
  <si>
    <t xml:space="preserve">DROP DIAMANTE EARRINGS CRYSTAL</t>
  </si>
  <si>
    <t xml:space="preserve">90177C</t>
  </si>
  <si>
    <t xml:space="preserve">DROP DIAMANTE EARRINGS GREEN</t>
  </si>
  <si>
    <t xml:space="preserve">90177E</t>
  </si>
  <si>
    <t xml:space="preserve">DROP DIAMANTE EARRINGS PURPLE</t>
  </si>
  <si>
    <t xml:space="preserve">90177D</t>
  </si>
  <si>
    <t xml:space="preserve">DROP EARRINGS W FLOWER &amp; LEAF</t>
  </si>
  <si>
    <t xml:space="preserve">90188</t>
  </si>
  <si>
    <t xml:space="preserve">DUCK SOCK PUPPET</t>
  </si>
  <si>
    <t xml:space="preserve">85185E</t>
  </si>
  <si>
    <t xml:space="preserve">DUSTY PINK CHRISTMAS TREE 30CM</t>
  </si>
  <si>
    <t xml:space="preserve">35597A</t>
  </si>
  <si>
    <t xml:space="preserve">DUSTY PINK CHRISTMAS TREE 60CM</t>
  </si>
  <si>
    <t xml:space="preserve">35598A</t>
  </si>
  <si>
    <t xml:space="preserve">Dad's Cab Electronic Meter</t>
  </si>
  <si>
    <t xml:space="preserve">21595</t>
  </si>
  <si>
    <t xml:space="preserve">Discount</t>
  </si>
  <si>
    <t xml:space="preserve">D</t>
  </si>
  <si>
    <t xml:space="preserve">Dotcomgiftshop Gift Voucher £10.00</t>
  </si>
  <si>
    <t xml:space="preserve">GIFT_0001_10</t>
  </si>
  <si>
    <t xml:space="preserve">Dotcomgiftshop Gift Voucher £20.00</t>
  </si>
  <si>
    <t xml:space="preserve">GIFT_0001_20</t>
  </si>
  <si>
    <t xml:space="preserve">Dotcomgiftshop Gift Voucher £30.00</t>
  </si>
  <si>
    <t xml:space="preserve">GIFT_0001_30</t>
  </si>
  <si>
    <t xml:space="preserve">Dotcomgiftshop Gift Voucher £40.00</t>
  </si>
  <si>
    <t xml:space="preserve">GIFT_0001_40</t>
  </si>
  <si>
    <t xml:space="preserve">Dotcomgiftshop Gift Voucher £50.00</t>
  </si>
  <si>
    <t xml:space="preserve">GIFT_0001_50</t>
  </si>
  <si>
    <t xml:space="preserve">Dotcomgiftshop Gift Voucher £70.00</t>
  </si>
  <si>
    <t xml:space="preserve">GIFT_0001_70</t>
  </si>
  <si>
    <t xml:space="preserve">Dotcomgiftshop Gift Voucher £80.00</t>
  </si>
  <si>
    <t xml:space="preserve">GIFT_0001_80</t>
  </si>
  <si>
    <t xml:space="preserve">Dr. Jam's Arouzer Stress Ball</t>
  </si>
  <si>
    <t xml:space="preserve">21594</t>
  </si>
  <si>
    <t xml:space="preserve">EASTER BUNNIES ON A STICK</t>
  </si>
  <si>
    <t xml:space="preserve">85196</t>
  </si>
  <si>
    <t xml:space="preserve">EASTER BUNNY GARLAND OF FLOWERS</t>
  </si>
  <si>
    <t xml:space="preserve">85186A</t>
  </si>
  <si>
    <t xml:space="preserve">EASTER BUNNY HANGING GARLAND</t>
  </si>
  <si>
    <t xml:space="preserve">35921</t>
  </si>
  <si>
    <t xml:space="preserve">EASTER BUNNY WITH BASKET ON BACK</t>
  </si>
  <si>
    <t xml:space="preserve">84231</t>
  </si>
  <si>
    <t xml:space="preserve">EASTER BUNNY WREATH</t>
  </si>
  <si>
    <t xml:space="preserve">35922</t>
  </si>
  <si>
    <t xml:space="preserve">EASTER CRAFT 4 CHICKS</t>
  </si>
  <si>
    <t xml:space="preserve">22148</t>
  </si>
  <si>
    <t xml:space="preserve">EASTER CRAFT IVY WREATH WITH CHICK</t>
  </si>
  <si>
    <t xml:space="preserve">22146</t>
  </si>
  <si>
    <t xml:space="preserve">EASTER DECORATION EGG BUNNY</t>
  </si>
  <si>
    <t xml:space="preserve">22267</t>
  </si>
  <si>
    <t xml:space="preserve">EASTER DECORATION HANGING BUNNY</t>
  </si>
  <si>
    <t xml:space="preserve">22266</t>
  </si>
  <si>
    <t xml:space="preserve">EASTER DECORATION NATURAL CHICK</t>
  </si>
  <si>
    <t xml:space="preserve">22265</t>
  </si>
  <si>
    <t xml:space="preserve">EASTER DECORATION SITTING BUNNY</t>
  </si>
  <si>
    <t xml:space="preserve">22268</t>
  </si>
  <si>
    <t xml:space="preserve">EASTER TIN BUCKET</t>
  </si>
  <si>
    <t xml:space="preserve">21717</t>
  </si>
  <si>
    <t xml:space="preserve">EASTER TIN BUNNY BOUQUET</t>
  </si>
  <si>
    <t xml:space="preserve">22859</t>
  </si>
  <si>
    <t xml:space="preserve">EASTER TIN CHICKS PINK DAISY</t>
  </si>
  <si>
    <t xml:space="preserve">22860</t>
  </si>
  <si>
    <t xml:space="preserve">EASTER TIN KEEPSAKE</t>
  </si>
  <si>
    <t xml:space="preserve">22858</t>
  </si>
  <si>
    <t xml:space="preserve">EASTER TREE YELLOW BIRDS</t>
  </si>
  <si>
    <t xml:space="preserve">22281</t>
  </si>
  <si>
    <t xml:space="preserve">EAU DE NIL DINER WALL CLOCK</t>
  </si>
  <si>
    <t xml:space="preserve">22191</t>
  </si>
  <si>
    <t xml:space="preserve">EAU DE NIL LOVE BIRD CANDLE</t>
  </si>
  <si>
    <t xml:space="preserve">85169C</t>
  </si>
  <si>
    <t xml:space="preserve">EAU DE NILE HEART SHAPE PHOTO FRAME</t>
  </si>
  <si>
    <t xml:space="preserve">85025B</t>
  </si>
  <si>
    <t xml:space="preserve">EAU DE NILE JEWELLED PHOTOFRAME</t>
  </si>
  <si>
    <t xml:space="preserve">85023B</t>
  </si>
  <si>
    <t xml:space="preserve">85024B</t>
  </si>
  <si>
    <t xml:space="preserve">EAU DE NILE JEWELLED T-LIGHT HOLDER</t>
  </si>
  <si>
    <t xml:space="preserve">85026B</t>
  </si>
  <si>
    <t xml:space="preserve">ECONOMY HOLIDAY PURSE</t>
  </si>
  <si>
    <t xml:space="preserve">20666</t>
  </si>
  <si>
    <t xml:space="preserve">ECONOMY LUGGAGE TAG</t>
  </si>
  <si>
    <t xml:space="preserve">20659</t>
  </si>
  <si>
    <t xml:space="preserve">ECONOMY PASSPORT COVER</t>
  </si>
  <si>
    <t xml:space="preserve">20621</t>
  </si>
  <si>
    <t xml:space="preserve">EDWARDIAN 2 DRAWER WALL CABINET</t>
  </si>
  <si>
    <t xml:space="preserve">21298</t>
  </si>
  <si>
    <t xml:space="preserve">EDWARDIAN DROP EARRINGS JET BLACK</t>
  </si>
  <si>
    <t xml:space="preserve">90022</t>
  </si>
  <si>
    <t xml:space="preserve">EDWARDIAN PARASOL BLACK</t>
  </si>
  <si>
    <t xml:space="preserve">EDWARDIAN PARASOL NATURAL</t>
  </si>
  <si>
    <t xml:space="preserve">EDWARDIAN PARASOL PINK</t>
  </si>
  <si>
    <t xml:space="preserve">EDWARDIAN PARASOL RED</t>
  </si>
  <si>
    <t xml:space="preserve">EDWARDIAN TOILET ROLL UNIT</t>
  </si>
  <si>
    <t xml:space="preserve">21299</t>
  </si>
  <si>
    <t xml:space="preserve">EGG CUP NATURAL CHICKEN</t>
  </si>
  <si>
    <t xml:space="preserve">EIGHT PIECE CREEPY CRAWLIE SET</t>
  </si>
  <si>
    <t xml:space="preserve">21827</t>
  </si>
  <si>
    <t xml:space="preserve">EIGHT PIECE DINOSAUR SET</t>
  </si>
  <si>
    <t xml:space="preserve">21826</t>
  </si>
  <si>
    <t xml:space="preserve">EIGHT PIECE SNAKE SET</t>
  </si>
  <si>
    <t xml:space="preserve">21828</t>
  </si>
  <si>
    <t xml:space="preserve">ELEPHANT CARNIVAL POUFFE</t>
  </si>
  <si>
    <t xml:space="preserve">21627</t>
  </si>
  <si>
    <t xml:space="preserve">ELEPHANT CLIP W SUCTION CUP</t>
  </si>
  <si>
    <t xml:space="preserve">62074B</t>
  </si>
  <si>
    <t xml:space="preserve">ELEPHANT TOY WITH BLUE T-SHIRT</t>
  </si>
  <si>
    <t xml:space="preserve">84578</t>
  </si>
  <si>
    <t xml:space="preserve">ELEPHANT, BIRTHDAY CARD,</t>
  </si>
  <si>
    <t xml:space="preserve">ELVIS WALLHANGING / CURTAIN</t>
  </si>
  <si>
    <t xml:space="preserve">46126A</t>
  </si>
  <si>
    <t xml:space="preserve">EMBOSSED FLOWER TRELLIS PHOTO FRAME</t>
  </si>
  <si>
    <t xml:space="preserve">20812</t>
  </si>
  <si>
    <t xml:space="preserve">EMBOSSED GLASS TEALIGHT HOLDER</t>
  </si>
  <si>
    <t xml:space="preserve">22460</t>
  </si>
  <si>
    <t xml:space="preserve">EMBOSSED HEART 3 DRAWER SHELF</t>
  </si>
  <si>
    <t xml:space="preserve">21274</t>
  </si>
  <si>
    <t xml:space="preserve">EMBROIDERED REINDEER DECORATION</t>
  </si>
  <si>
    <t xml:space="preserve">85079</t>
  </si>
  <si>
    <t xml:space="preserve">EMERGENCY FIRST AID TIN</t>
  </si>
  <si>
    <t xml:space="preserve">22494</t>
  </si>
  <si>
    <t xml:space="preserve">EMPIRE BIRTHDAY CARD</t>
  </si>
  <si>
    <t xml:space="preserve">22023</t>
  </si>
  <si>
    <t xml:space="preserve">EMPIRE DESIGN ROSETTE</t>
  </si>
  <si>
    <t xml:space="preserve">22053</t>
  </si>
  <si>
    <t xml:space="preserve">EMPIRE GIFT WRAP</t>
  </si>
  <si>
    <t xml:space="preserve">22047</t>
  </si>
  <si>
    <t xml:space="preserve">EMPIRE TEDDY</t>
  </si>
  <si>
    <t xml:space="preserve">21852</t>
  </si>
  <si>
    <t xml:space="preserve">EMPIRE TISSUE BOX</t>
  </si>
  <si>
    <t xml:space="preserve">22091</t>
  </si>
  <si>
    <t xml:space="preserve">EMPIRE UNION JACK TV DINNER TRAY</t>
  </si>
  <si>
    <t xml:space="preserve">22476</t>
  </si>
  <si>
    <t xml:space="preserve">ENAMEL BLUE RIM BISCUIT BIN</t>
  </si>
  <si>
    <t xml:space="preserve">35241</t>
  </si>
  <si>
    <t xml:space="preserve">ENAMEL BLUE RIM COFFEE CONTAINER</t>
  </si>
  <si>
    <t xml:space="preserve">35810B</t>
  </si>
  <si>
    <t xml:space="preserve">ENAMEL BLUE RIM OVAL TRAY SET/2</t>
  </si>
  <si>
    <t xml:space="preserve">35240</t>
  </si>
  <si>
    <t xml:space="preserve">ENAMEL BLUE RIM TEA CONTAINER</t>
  </si>
  <si>
    <t xml:space="preserve">35809B</t>
  </si>
  <si>
    <t xml:space="preserve">ENAMEL BREAD BIN CREAM</t>
  </si>
  <si>
    <t xml:space="preserve">ENAMEL COLANDER CREAM</t>
  </si>
  <si>
    <t xml:space="preserve">22425</t>
  </si>
  <si>
    <t xml:space="preserve">ENAMEL FIRE BUCKET CREAM</t>
  </si>
  <si>
    <t xml:space="preserve">22428</t>
  </si>
  <si>
    <t xml:space="preserve">ENAMEL FLOWER JUG CREAM</t>
  </si>
  <si>
    <t xml:space="preserve">22427</t>
  </si>
  <si>
    <t xml:space="preserve">ENAMEL MEASURING JUG CREAM</t>
  </si>
  <si>
    <t xml:space="preserve">22429</t>
  </si>
  <si>
    <t xml:space="preserve">ENAMEL PINK COFFEE CONTAINER</t>
  </si>
  <si>
    <t xml:space="preserve">35810A</t>
  </si>
  <si>
    <t xml:space="preserve">ENAMEL PINK SUGAR CONTAINER</t>
  </si>
  <si>
    <t xml:space="preserve">35811A</t>
  </si>
  <si>
    <t xml:space="preserve">ENAMEL PINK TEA CONTAINER</t>
  </si>
  <si>
    <t xml:space="preserve">35809A</t>
  </si>
  <si>
    <t xml:space="preserve">ENAMEL WASH BOWL CREAM</t>
  </si>
  <si>
    <t xml:space="preserve">22426</t>
  </si>
  <si>
    <t xml:space="preserve">ENAMEL WATERING CAN CREAM</t>
  </si>
  <si>
    <t xml:space="preserve">22430</t>
  </si>
  <si>
    <t xml:space="preserve">ENCHANTED BIRD COATHANGER 5 HOOK</t>
  </si>
  <si>
    <t xml:space="preserve">84792</t>
  </si>
  <si>
    <t xml:space="preserve">ENCHANTED BIRD PLANT CAGE</t>
  </si>
  <si>
    <t xml:space="preserve">84789</t>
  </si>
  <si>
    <t xml:space="preserve">ENCHANTED GARDEN WROUGHT IRON TABLE</t>
  </si>
  <si>
    <t xml:space="preserve">84757</t>
  </si>
  <si>
    <t xml:space="preserve">ENGLISH ROSE DESIGN PEG BAG</t>
  </si>
  <si>
    <t xml:space="preserve">47568</t>
  </si>
  <si>
    <t xml:space="preserve">ENGLISH ROSE DESIGN QUILTED THROW</t>
  </si>
  <si>
    <t xml:space="preserve">84467</t>
  </si>
  <si>
    <t xml:space="preserve">ENGLISH ROSE DESIGN SHOPPING BAG</t>
  </si>
  <si>
    <t xml:space="preserve">47569</t>
  </si>
  <si>
    <t xml:space="preserve">ENGLISH ROSE EDWARDIAN PARASOL</t>
  </si>
  <si>
    <t xml:space="preserve">15059A</t>
  </si>
  <si>
    <t xml:space="preserve">ENGLISH ROSE GARDEN SECATEURS</t>
  </si>
  <si>
    <t xml:space="preserve">47504K</t>
  </si>
  <si>
    <t xml:space="preserve">ENGLISH ROSE HOT WATER BOTTLE</t>
  </si>
  <si>
    <t xml:space="preserve">84030E</t>
  </si>
  <si>
    <t xml:space="preserve">ENGLISH ROSE IRONING BOARD COVER</t>
  </si>
  <si>
    <t xml:space="preserve">47562</t>
  </si>
  <si>
    <t xml:space="preserve">ENGLISH ROSE METAL WASTE BIN</t>
  </si>
  <si>
    <t xml:space="preserve">79071B</t>
  </si>
  <si>
    <t xml:space="preserve">ENGLISH ROSE MUG IN GIFT BOX</t>
  </si>
  <si>
    <t xml:space="preserve">37483</t>
  </si>
  <si>
    <t xml:space="preserve">ENGLISH ROSE NOTEBOOK A6 SIZE</t>
  </si>
  <si>
    <t xml:space="preserve">84535A</t>
  </si>
  <si>
    <t xml:space="preserve">ENGLISH ROSE NOTEBOOK A7 SIZE</t>
  </si>
  <si>
    <t xml:space="preserve">ENGLISH ROSE PHOTO FRAME</t>
  </si>
  <si>
    <t xml:space="preserve">84705A</t>
  </si>
  <si>
    <t xml:space="preserve">ENGLISH ROSE SCENTED HANGING FLOWER</t>
  </si>
  <si>
    <t xml:space="preserve">47574A</t>
  </si>
  <si>
    <t xml:space="preserve">ENGLISH ROSE SCENTED HANGING HEART</t>
  </si>
  <si>
    <t xml:space="preserve">47574B</t>
  </si>
  <si>
    <t xml:space="preserve">ENGLISH ROSE SCISSORS</t>
  </si>
  <si>
    <t xml:space="preserve">47504E</t>
  </si>
  <si>
    <t xml:space="preserve">ENGLISH ROSE SET/3 GARDEN TOOLS</t>
  </si>
  <si>
    <t xml:space="preserve">47504J</t>
  </si>
  <si>
    <t xml:space="preserve">ENGLISH ROSE SMALL SCENTED FLOWER</t>
  </si>
  <si>
    <t xml:space="preserve">ENGLISH ROSE SPIRIT LEVEL</t>
  </si>
  <si>
    <t xml:space="preserve">ENGLISH ROSE SQUARE CAKE TINS</t>
  </si>
  <si>
    <t xml:space="preserve">79070B</t>
  </si>
  <si>
    <t xml:space="preserve">ENGLISH ROSE TABLE CLOCK</t>
  </si>
  <si>
    <t xml:space="preserve">84706A</t>
  </si>
  <si>
    <t xml:space="preserve">ENGLISH ROSE TABLE CLOTH</t>
  </si>
  <si>
    <t xml:space="preserve">47570</t>
  </si>
  <si>
    <t xml:space="preserve">ENGLISH ROSE TAPE MEASURE</t>
  </si>
  <si>
    <t xml:space="preserve">47504G</t>
  </si>
  <si>
    <t xml:space="preserve">ENGLISH ROSE TEA FOR ONE GIFT BOX</t>
  </si>
  <si>
    <t xml:space="preserve">37484</t>
  </si>
  <si>
    <t xml:space="preserve">ENGLISH ROSE TEA SET IN GIFT BOX</t>
  </si>
  <si>
    <t xml:space="preserve">37485</t>
  </si>
  <si>
    <t xml:space="preserve">ENGLISH ROSE TORCH</t>
  </si>
  <si>
    <t xml:space="preserve">47504F</t>
  </si>
  <si>
    <t xml:space="preserve">ENVELOPE 50 BLOSSOM IMAGES</t>
  </si>
  <si>
    <t xml:space="preserve">85017B</t>
  </si>
  <si>
    <t xml:space="preserve">ENVELOPE 50 CURIOUS IMAGES</t>
  </si>
  <si>
    <t xml:space="preserve">85017C</t>
  </si>
  <si>
    <t xml:space="preserve">ENVELOPE 50 ROMANTIC IMAGES</t>
  </si>
  <si>
    <t xml:space="preserve">85017A</t>
  </si>
  <si>
    <t xml:space="preserve">ESSENTIAL BALM 3.5g TIN IN ENVELOPE</t>
  </si>
  <si>
    <t xml:space="preserve">18007</t>
  </si>
  <si>
    <t xml:space="preserve">ETCHED GLASS BIRD TREE DECORATION</t>
  </si>
  <si>
    <t xml:space="preserve">21010</t>
  </si>
  <si>
    <t xml:space="preserve">ETCHED GLASS COASTER</t>
  </si>
  <si>
    <t xml:space="preserve">21294</t>
  </si>
  <si>
    <t xml:space="preserve">ETCHED GLASS DROPLET DECORATION</t>
  </si>
  <si>
    <t xml:space="preserve">21007</t>
  </si>
  <si>
    <t xml:space="preserve">ETCHED GLASS HEART TREE DECORATION</t>
  </si>
  <si>
    <t xml:space="preserve">21008</t>
  </si>
  <si>
    <t xml:space="preserve">ETCHED GLASS STAR TREE DECORATION</t>
  </si>
  <si>
    <t xml:space="preserve">21009</t>
  </si>
  <si>
    <t xml:space="preserve">EUCALYPTUS &amp; PINECONE WREATH</t>
  </si>
  <si>
    <t xml:space="preserve">21352</t>
  </si>
  <si>
    <t xml:space="preserve">EURO FOOTBALL STARS TOP TRUMPS GAME</t>
  </si>
  <si>
    <t xml:space="preserve">21854</t>
  </si>
  <si>
    <t xml:space="preserve">Electronic Talking Breath-A-Loser</t>
  </si>
  <si>
    <t xml:space="preserve">21919</t>
  </si>
  <si>
    <t xml:space="preserve">F FAIRY POTPOURRI CUSHIONS LAVENDER</t>
  </si>
  <si>
    <t xml:space="preserve">72754B</t>
  </si>
  <si>
    <t xml:space="preserve">F FAIRY POTPOURRI CUSHIONS SUMMER</t>
  </si>
  <si>
    <t xml:space="preserve">72754D</t>
  </si>
  <si>
    <t xml:space="preserve">F.FAIRY S/3 CANDLE/GLASS</t>
  </si>
  <si>
    <t xml:space="preserve">72750D</t>
  </si>
  <si>
    <t xml:space="preserve">F.FAIRY S/3 CANDLE/GLASS, ROSE</t>
  </si>
  <si>
    <t xml:space="preserve">72750C</t>
  </si>
  <si>
    <t xml:space="preserve">F.FAIRY S/3 CANDLE/GLASS,LILY/VALLY</t>
  </si>
  <si>
    <t xml:space="preserve">72750A</t>
  </si>
  <si>
    <t xml:space="preserve">F.FAIRY S/3 SML CANDLE, LAVENDER</t>
  </si>
  <si>
    <t xml:space="preserve">72751B</t>
  </si>
  <si>
    <t xml:space="preserve">F.FAIRY S/3 SML CANDLE, ROSE</t>
  </si>
  <si>
    <t xml:space="preserve">72751C</t>
  </si>
  <si>
    <t xml:space="preserve">F.FAIRY S/3 SML CANDLE,LILY/VALLEY</t>
  </si>
  <si>
    <t xml:space="preserve">72751A</t>
  </si>
  <si>
    <t xml:space="preserve">F.FAIRY,CANDLE IN GLASS,LAVENDER</t>
  </si>
  <si>
    <t xml:space="preserve">72752B</t>
  </si>
  <si>
    <t xml:space="preserve">F.FAIRY,CANDLE IN GLASS,LILY/VALLEY</t>
  </si>
  <si>
    <t xml:space="preserve">72752A</t>
  </si>
  <si>
    <t xml:space="preserve">FAIRY CAKE BIRTHDAY CANDLE SET</t>
  </si>
  <si>
    <t xml:space="preserve">37495</t>
  </si>
  <si>
    <t xml:space="preserve">FAIRY CAKE CANDLES</t>
  </si>
  <si>
    <t xml:space="preserve">72756</t>
  </si>
  <si>
    <t xml:space="preserve">FAIRY CAKE CERAMIC BUTTER DISH</t>
  </si>
  <si>
    <t xml:space="preserve">37494A</t>
  </si>
  <si>
    <t xml:space="preserve">FAIRY CAKE DESIGN UMBRELLA</t>
  </si>
  <si>
    <t xml:space="preserve">15060B</t>
  </si>
  <si>
    <t xml:space="preserve">FAIRY CAKE FLANNEL ASSORTED COLOUR</t>
  </si>
  <si>
    <t xml:space="preserve">FAIRY CAKE GREETINGS CARD</t>
  </si>
  <si>
    <t xml:space="preserve">84249D</t>
  </si>
  <si>
    <t xml:space="preserve">FAIRY CAKE NOTEBOOK A5 SIZE</t>
  </si>
  <si>
    <t xml:space="preserve">84534B</t>
  </si>
  <si>
    <t xml:space="preserve">FAIRY CAKE WICKER PICNIC BASKET</t>
  </si>
  <si>
    <t xml:space="preserve">47581B</t>
  </si>
  <si>
    <t xml:space="preserve">FAIRY CAKES GIFT BAG</t>
  </si>
  <si>
    <t xml:space="preserve">84537B</t>
  </si>
  <si>
    <t xml:space="preserve">FAIRY CAKES NOTEBOOK A6 SIZE</t>
  </si>
  <si>
    <t xml:space="preserve">FAIRY CAKES NOTEBOOK A7 SIZE</t>
  </si>
  <si>
    <t xml:space="preserve">84536B</t>
  </si>
  <si>
    <t xml:space="preserve">FAIRY CAKES PHOTO FRAME</t>
  </si>
  <si>
    <t xml:space="preserve">84705B</t>
  </si>
  <si>
    <t xml:space="preserve">FAIRY CAKES RECTANGLUAR BOXES</t>
  </si>
  <si>
    <t xml:space="preserve">84532B</t>
  </si>
  <si>
    <t xml:space="preserve">FAIRY CAKES ROUND NESTING BOXES</t>
  </si>
  <si>
    <t xml:space="preserve">84533B</t>
  </si>
  <si>
    <t xml:space="preserve">FAIRY CAKES TABLE CLOCK</t>
  </si>
  <si>
    <t xml:space="preserve">84706B</t>
  </si>
  <si>
    <t xml:space="preserve">FAIRY CAKES TILE COASTER</t>
  </si>
  <si>
    <t xml:space="preserve">84926C</t>
  </si>
  <si>
    <t xml:space="preserve">FAIRY CAKES WALL THERMOMETER</t>
  </si>
  <si>
    <t xml:space="preserve">84925C</t>
  </si>
  <si>
    <t xml:space="preserve">FAIRY DESIGN MUGS</t>
  </si>
  <si>
    <t xml:space="preserve">37326</t>
  </si>
  <si>
    <t xml:space="preserve">FAIRY DREAMS INCENSE</t>
  </si>
  <si>
    <t xml:space="preserve">17084N</t>
  </si>
  <si>
    <t xml:space="preserve">FAIRY SOAP SOAP HOLDER</t>
  </si>
  <si>
    <t xml:space="preserve">84849B</t>
  </si>
  <si>
    <t xml:space="preserve">FAIRY TALE COTTAGE NIGHTLIGHT</t>
  </si>
  <si>
    <t xml:space="preserve">FAMILY ALBUM WHITE PICTURE FRAME</t>
  </si>
  <si>
    <t xml:space="preserve">FAMILY PHOTO FRAME CORNICE</t>
  </si>
  <si>
    <t xml:space="preserve">FAN BLACK FRAME</t>
  </si>
  <si>
    <t xml:space="preserve">15030</t>
  </si>
  <si>
    <t xml:space="preserve">FANCY FONT BIRTHDAY CARD,</t>
  </si>
  <si>
    <t xml:space="preserve">FANCY FONTS BIRTHDAY WRAP</t>
  </si>
  <si>
    <t xml:space="preserve">FANNY'S REST STOPMETAL SIGN</t>
  </si>
  <si>
    <t xml:space="preserve">82599</t>
  </si>
  <si>
    <t xml:space="preserve">FAUX FUR CHOCOLATE THROW</t>
  </si>
  <si>
    <t xml:space="preserve">22802</t>
  </si>
  <si>
    <t xml:space="preserve">FAWN AND MUSHROOM GREETING CARD</t>
  </si>
  <si>
    <t xml:space="preserve">84247L</t>
  </si>
  <si>
    <t xml:space="preserve">FAWN BLUE HOT WATER BOTTLE</t>
  </si>
  <si>
    <t xml:space="preserve">FEATHER DUSTER, COAL BLACK</t>
  </si>
  <si>
    <t xml:space="preserve">51012C</t>
  </si>
  <si>
    <t xml:space="preserve">FEATHER DUSTER, LIGHT PINK</t>
  </si>
  <si>
    <t xml:space="preserve">51012L</t>
  </si>
  <si>
    <t xml:space="preserve">FEATHER HEART LIGHTS</t>
  </si>
  <si>
    <t xml:space="preserve">79301</t>
  </si>
  <si>
    <t xml:space="preserve">FEATHER PEN,COAL BLACK</t>
  </si>
  <si>
    <t xml:space="preserve">51014C</t>
  </si>
  <si>
    <t xml:space="preserve">FEATHER PEN,HOT PINK</t>
  </si>
  <si>
    <t xml:space="preserve">FEATHER PEN,LIGHT PINK</t>
  </si>
  <si>
    <t xml:space="preserve">FELT EGG COSY BLUE RABBIT</t>
  </si>
  <si>
    <t xml:space="preserve">22260</t>
  </si>
  <si>
    <t xml:space="preserve">FELT EGG COSY CHICKEN</t>
  </si>
  <si>
    <t xml:space="preserve">22262</t>
  </si>
  <si>
    <t xml:space="preserve">FELT EGG COSY LADYBIRD</t>
  </si>
  <si>
    <t xml:space="preserve">22263</t>
  </si>
  <si>
    <t xml:space="preserve">FELT EGG COSY WHITE RABBIT</t>
  </si>
  <si>
    <t xml:space="preserve">22261</t>
  </si>
  <si>
    <t xml:space="preserve">FELT FARM ANIMAL CHICKEN</t>
  </si>
  <si>
    <t xml:space="preserve">22256</t>
  </si>
  <si>
    <t xml:space="preserve">FELT FARM ANIMAL HEN</t>
  </si>
  <si>
    <t xml:space="preserve">22259</t>
  </si>
  <si>
    <t xml:space="preserve">FELT FARM ANIMAL RABBIT</t>
  </si>
  <si>
    <t xml:space="preserve">22258</t>
  </si>
  <si>
    <t xml:space="preserve">FELT FARM ANIMAL SHEEP</t>
  </si>
  <si>
    <t xml:space="preserve">22257</t>
  </si>
  <si>
    <t xml:space="preserve">FELT FARM ANIMAL WHITE BUNNY</t>
  </si>
  <si>
    <t xml:space="preserve">22264</t>
  </si>
  <si>
    <t xml:space="preserve">FELT TOADSTOOL LARGE</t>
  </si>
  <si>
    <t xml:space="preserve">22254</t>
  </si>
  <si>
    <t xml:space="preserve">FELT TOADSTOOL SMALL</t>
  </si>
  <si>
    <t xml:space="preserve">22255</t>
  </si>
  <si>
    <t xml:space="preserve">FELTCRAFT 6 FLOWER FRIENDS</t>
  </si>
  <si>
    <t xml:space="preserve">22149</t>
  </si>
  <si>
    <t xml:space="preserve">FELTCRAFT BUTTERFLY HEARTS</t>
  </si>
  <si>
    <t xml:space="preserve">22147</t>
  </si>
  <si>
    <t xml:space="preserve">FELTCRAFT CHRISTMAS FAIRY</t>
  </si>
  <si>
    <t xml:space="preserve">FELTCRAFT CUSHION BUTTERFLY</t>
  </si>
  <si>
    <t xml:space="preserve">22569</t>
  </si>
  <si>
    <t xml:space="preserve">FELTCRAFT CUSHION OWL</t>
  </si>
  <si>
    <t xml:space="preserve">22568</t>
  </si>
  <si>
    <t xml:space="preserve">FELTCRAFT CUSHION RABBIT</t>
  </si>
  <si>
    <t xml:space="preserve">22570</t>
  </si>
  <si>
    <t xml:space="preserve">FELTCRAFT DOLL EMILY</t>
  </si>
  <si>
    <t xml:space="preserve">22274</t>
  </si>
  <si>
    <t xml:space="preserve">FELTCRAFT DOLL MARIA</t>
  </si>
  <si>
    <t xml:space="preserve">22272</t>
  </si>
  <si>
    <t xml:space="preserve">FELTCRAFT DOLL MOLLY</t>
  </si>
  <si>
    <t xml:space="preserve">22273</t>
  </si>
  <si>
    <t xml:space="preserve">FELTCRAFT DOLL ROSIE</t>
  </si>
  <si>
    <t xml:space="preserve">22271</t>
  </si>
  <si>
    <t xml:space="preserve">FELTCRAFT HAIRBAND PINK AND BLUE</t>
  </si>
  <si>
    <t xml:space="preserve">22586</t>
  </si>
  <si>
    <t xml:space="preserve">FELTCRAFT HAIRBAND PINK AND PURPLE</t>
  </si>
  <si>
    <t xml:space="preserve">22566</t>
  </si>
  <si>
    <t xml:space="preserve">FELTCRAFT HAIRBAND RED AND BLUE</t>
  </si>
  <si>
    <t xml:space="preserve">22587</t>
  </si>
  <si>
    <t xml:space="preserve">FELTCRAFT HAIRBANDS PINK AND WHITE</t>
  </si>
  <si>
    <t xml:space="preserve">22565</t>
  </si>
  <si>
    <t xml:space="preserve">FELTCRAFT PRINCESS CHARLOTTE DOLL</t>
  </si>
  <si>
    <t xml:space="preserve">FELTCRAFT PRINCESS LOLA DOLL</t>
  </si>
  <si>
    <t xml:space="preserve">FELTCRAFT PRINCESS OLIVIA DOLL</t>
  </si>
  <si>
    <t xml:space="preserve">22751</t>
  </si>
  <si>
    <t xml:space="preserve">FENG SHUI PILLAR CANDLE</t>
  </si>
  <si>
    <t xml:space="preserve">FILIGREE DIAMANTE CHAIN</t>
  </si>
  <si>
    <t xml:space="preserve">90020</t>
  </si>
  <si>
    <t xml:space="preserve">FILIGREE DIAMANTE EARRINGS</t>
  </si>
  <si>
    <t xml:space="preserve">90023</t>
  </si>
  <si>
    <t xml:space="preserve">FILIGREE WALL MIRROR ANTIQUE WHITE</t>
  </si>
  <si>
    <t xml:space="preserve">21303</t>
  </si>
  <si>
    <t xml:space="preserve">FILIGRIS HEART WITH BUTTERFLY</t>
  </si>
  <si>
    <t xml:space="preserve">21390</t>
  </si>
  <si>
    <t xml:space="preserve">FINE SILVER NECKLACE W PASTEL FLOWE</t>
  </si>
  <si>
    <t xml:space="preserve">90146</t>
  </si>
  <si>
    <t xml:space="preserve">FINE WICKER HEART</t>
  </si>
  <si>
    <t xml:space="preserve">22855</t>
  </si>
  <si>
    <t xml:space="preserve">FIRE POLISHED GLASS BRACELET BLACK</t>
  </si>
  <si>
    <t xml:space="preserve">90039C</t>
  </si>
  <si>
    <t xml:space="preserve">FIRE POLISHED GLASS BRACELET GREEN</t>
  </si>
  <si>
    <t xml:space="preserve">90039D</t>
  </si>
  <si>
    <t xml:space="preserve">FIRE POLISHED GLASS BRACELET MONTAN</t>
  </si>
  <si>
    <t xml:space="preserve">90039B</t>
  </si>
  <si>
    <t xml:space="preserve">FIRE POLISHED GLASS BRACELET RED</t>
  </si>
  <si>
    <t xml:space="preserve">90039A</t>
  </si>
  <si>
    <t xml:space="preserve">FIRE POLISHED GLASS NECKL BRONZE</t>
  </si>
  <si>
    <t xml:space="preserve">90060D</t>
  </si>
  <si>
    <t xml:space="preserve">FIRE POLISHED GLASS NECKL GOLD</t>
  </si>
  <si>
    <t xml:space="preserve">90060B</t>
  </si>
  <si>
    <t xml:space="preserve">FIRE POLISHED GLASS NECKL GREEN</t>
  </si>
  <si>
    <t xml:space="preserve">90060F</t>
  </si>
  <si>
    <t xml:space="preserve">FIRE POLISHED GLASS NECKL SILVER</t>
  </si>
  <si>
    <t xml:space="preserve">90060C</t>
  </si>
  <si>
    <t xml:space="preserve">FIRST AID TIN</t>
  </si>
  <si>
    <t xml:space="preserve">21260</t>
  </si>
  <si>
    <t xml:space="preserve">FIRST CLASS HOLIDAY PURSE</t>
  </si>
  <si>
    <t xml:space="preserve">20662</t>
  </si>
  <si>
    <t xml:space="preserve">FIRST CLASS LUGGAGE TAG</t>
  </si>
  <si>
    <t xml:space="preserve">20654</t>
  </si>
  <si>
    <t xml:space="preserve">FIRST CLASS PASSPORT COVER</t>
  </si>
  <si>
    <t xml:space="preserve">20617</t>
  </si>
  <si>
    <t xml:space="preserve">FIVE CATS HANGING DECORATION</t>
  </si>
  <si>
    <t xml:space="preserve">22317</t>
  </si>
  <si>
    <t xml:space="preserve">FIVE HEART HANGING DECORATION</t>
  </si>
  <si>
    <t xml:space="preserve">22318</t>
  </si>
  <si>
    <t xml:space="preserve">FLAG OF ST GEORGE</t>
  </si>
  <si>
    <t xml:space="preserve">84033</t>
  </si>
  <si>
    <t xml:space="preserve">FLAG OF ST GEORGE CAR FLAG</t>
  </si>
  <si>
    <t xml:space="preserve">84016</t>
  </si>
  <si>
    <t xml:space="preserve">FLAG OF ST GEORGE CHAIR</t>
  </si>
  <si>
    <t xml:space="preserve">78033</t>
  </si>
  <si>
    <t xml:space="preserve">FLAMES SUNGLASSES PINK LENSES</t>
  </si>
  <si>
    <t xml:space="preserve">84527</t>
  </si>
  <si>
    <t xml:space="preserve">FLAMINGO LIGHTS</t>
  </si>
  <si>
    <t xml:space="preserve">79320</t>
  </si>
  <si>
    <t xml:space="preserve">FLAT GLASS BAUBLE WHITE FLOCK</t>
  </si>
  <si>
    <t xml:space="preserve">35840</t>
  </si>
  <si>
    <t xml:space="preserve">FLAT PALM T-LIGHT HOLDER</t>
  </si>
  <si>
    <t xml:space="preserve">17178</t>
  </si>
  <si>
    <t xml:space="preserve">FLOOR CUSHION ELEPHANT CARNIVAL</t>
  </si>
  <si>
    <t xml:space="preserve">21630</t>
  </si>
  <si>
    <t xml:space="preserve">FLOOR LAMP SHADE WOOD BASE</t>
  </si>
  <si>
    <t xml:space="preserve">84358</t>
  </si>
  <si>
    <t xml:space="preserve">FLORAL BATHROOM SET</t>
  </si>
  <si>
    <t xml:space="preserve">84847</t>
  </si>
  <si>
    <t xml:space="preserve">FLORAL BLUE MONSTER</t>
  </si>
  <si>
    <t xml:space="preserve">20695</t>
  </si>
  <si>
    <t xml:space="preserve">FLORAL DINOSAUR GREEN</t>
  </si>
  <si>
    <t xml:space="preserve">20693</t>
  </si>
  <si>
    <t xml:space="preserve">FLORAL ELEPHANT SOFT TOY</t>
  </si>
  <si>
    <t xml:space="preserve">20692</t>
  </si>
  <si>
    <t xml:space="preserve">FLORAL FOLK STATIONERY SET</t>
  </si>
  <si>
    <t xml:space="preserve">21993</t>
  </si>
  <si>
    <t xml:space="preserve">FLORAL PINK MONSTER</t>
  </si>
  <si>
    <t xml:space="preserve">20694</t>
  </si>
  <si>
    <t xml:space="preserve">FLORAL SOFT CAR TOY</t>
  </si>
  <si>
    <t xml:space="preserve">20696</t>
  </si>
  <si>
    <t xml:space="preserve">FLOWER BLUE CLOCK W/SUCKER</t>
  </si>
  <si>
    <t xml:space="preserve">81950B</t>
  </si>
  <si>
    <t xml:space="preserve">FLOWER BROOCH 4 ASSORTED COLOURS</t>
  </si>
  <si>
    <t xml:space="preserve">90139</t>
  </si>
  <si>
    <t xml:space="preserve">FLOWER BURST SILVER RING CRYSTAL</t>
  </si>
  <si>
    <t xml:space="preserve">90002D</t>
  </si>
  <si>
    <t xml:space="preserve">FLOWER BURST SILVER RING GREEN</t>
  </si>
  <si>
    <t xml:space="preserve">90002E</t>
  </si>
  <si>
    <t xml:space="preserve">FLOWER BURST SILVER RING MIDN'T BLU</t>
  </si>
  <si>
    <t xml:space="preserve">90002C</t>
  </si>
  <si>
    <t xml:space="preserve">FLOWER BURST SILVER RING OPAL</t>
  </si>
  <si>
    <t xml:space="preserve">90002A</t>
  </si>
  <si>
    <t xml:space="preserve">FLOWER BURST SILVER RING ROSE</t>
  </si>
  <si>
    <t xml:space="preserve">90002B</t>
  </si>
  <si>
    <t xml:space="preserve">FLOWER DES BLUE HANDBAG/ORANG HANDL</t>
  </si>
  <si>
    <t xml:space="preserve">16151A</t>
  </si>
  <si>
    <t xml:space="preserve">FLOWER FAIRY INCENSE BOUQUET</t>
  </si>
  <si>
    <t xml:space="preserve">17109D</t>
  </si>
  <si>
    <t xml:space="preserve">FLOWER FAIRY INCENSE LAVENDER</t>
  </si>
  <si>
    <t xml:space="preserve">17109B</t>
  </si>
  <si>
    <t xml:space="preserve">FLOWER FAIRY INCENSE LILY</t>
  </si>
  <si>
    <t xml:space="preserve">17109A</t>
  </si>
  <si>
    <t xml:space="preserve">FLOWER FAIRY INCENSE ROSE</t>
  </si>
  <si>
    <t xml:space="preserve">17109C</t>
  </si>
  <si>
    <t xml:space="preserve">FLOWER FAIRY MUG+COASTER,LAVENDER</t>
  </si>
  <si>
    <t xml:space="preserve">37477B</t>
  </si>
  <si>
    <t xml:space="preserve">FLOWER FAIRY MUG+COASTER,ROSE</t>
  </si>
  <si>
    <t xml:space="preserve">37477C</t>
  </si>
  <si>
    <t xml:space="preserve">FLOWER FAIRY OIL BURNER SET ROSE</t>
  </si>
  <si>
    <t xml:space="preserve">72755C</t>
  </si>
  <si>
    <t xml:space="preserve">FLOWER FAIRY OIL BURNER SET SUMMER</t>
  </si>
  <si>
    <t xml:space="preserve">72755D</t>
  </si>
  <si>
    <t xml:space="preserve">FLOWER FAIRY POTPOURRI CUSHION LILY</t>
  </si>
  <si>
    <t xml:space="preserve">72754A</t>
  </si>
  <si>
    <t xml:space="preserve">FLOWER FAIRY SET 3 CANDLES LAVENDER</t>
  </si>
  <si>
    <t xml:space="preserve">72750B</t>
  </si>
  <si>
    <t xml:space="preserve">FLOWER FAIRY SUMMER BOUQUET SACHET</t>
  </si>
  <si>
    <t xml:space="preserve">17108D</t>
  </si>
  <si>
    <t xml:space="preserve">FLOWER FAIRY,5 SUMMER B'DRAW LINERS</t>
  </si>
  <si>
    <t xml:space="preserve">17107D</t>
  </si>
  <si>
    <t xml:space="preserve">FLOWER GARLAND NECKLACE RED</t>
  </si>
  <si>
    <t xml:space="preserve">90036A</t>
  </si>
  <si>
    <t xml:space="preserve">FLOWER GLASS GARLAND NECKL.36"BLACK</t>
  </si>
  <si>
    <t xml:space="preserve">90036D</t>
  </si>
  <si>
    <t xml:space="preserve">FLOWER GLASS GARLAND NECKL.36"BLUE</t>
  </si>
  <si>
    <t xml:space="preserve">90036C</t>
  </si>
  <si>
    <t xml:space="preserve">FLOWER GLASS GARLAND NECKL.36"GREEN</t>
  </si>
  <si>
    <t xml:space="preserve">90036B</t>
  </si>
  <si>
    <t xml:space="preserve">FLOWER GLASS GARLD NECKL36"AMETHYST</t>
  </si>
  <si>
    <t xml:space="preserve">90036E</t>
  </si>
  <si>
    <t xml:space="preserve">FLOWER GLASS GARLD NECKL36"TURQUOIS</t>
  </si>
  <si>
    <t xml:space="preserve">90036F</t>
  </si>
  <si>
    <t xml:space="preserve">FLOWER PENCIL/RUBBER+5 MINI PENCILS</t>
  </si>
  <si>
    <t xml:space="preserve">16256B</t>
  </si>
  <si>
    <t xml:space="preserve">FLOWER PURPLE CLOCK W/SUCKER</t>
  </si>
  <si>
    <t xml:space="preserve">81950V</t>
  </si>
  <si>
    <t xml:space="preserve">FLOWER VINE RAFFIA FOOD COVER</t>
  </si>
  <si>
    <t xml:space="preserve">21470</t>
  </si>
  <si>
    <t xml:space="preserve">FLOWER WINDMILL</t>
  </si>
  <si>
    <t xml:space="preserve">77081</t>
  </si>
  <si>
    <t xml:space="preserve">FLOWERS AND BIRDS WALL PLAQUE</t>
  </si>
  <si>
    <t xml:space="preserve">84630</t>
  </si>
  <si>
    <t xml:space="preserve">FLOWERS STICKERS</t>
  </si>
  <si>
    <t xml:space="preserve">21676</t>
  </si>
  <si>
    <t xml:space="preserve">FLOWERS TILE COASTER</t>
  </si>
  <si>
    <t xml:space="preserve">84926E</t>
  </si>
  <si>
    <t xml:space="preserve">FLOWERS TILE HOOK</t>
  </si>
  <si>
    <t xml:space="preserve">84927E</t>
  </si>
  <si>
    <t xml:space="preserve">FLOWERS WALL THERMOMETER</t>
  </si>
  <si>
    <t xml:space="preserve">84925E</t>
  </si>
  <si>
    <t xml:space="preserve">FLUTED ANTIQUE CANDLE HOLDER</t>
  </si>
  <si>
    <t xml:space="preserve">22792</t>
  </si>
  <si>
    <t xml:space="preserve">FLYING PIG WATERING CAN</t>
  </si>
  <si>
    <t xml:space="preserve">84674</t>
  </si>
  <si>
    <t xml:space="preserve">FLYING SAUCER TABLE LIGHT IN WHITE</t>
  </si>
  <si>
    <t xml:space="preserve">79315W</t>
  </si>
  <si>
    <t xml:space="preserve">FOLDING CAMPING SCISSOR W/KNIF &amp; S</t>
  </si>
  <si>
    <t xml:space="preserve">16010</t>
  </si>
  <si>
    <t xml:space="preserve">FOLDING SHIRT TIDY</t>
  </si>
  <si>
    <t xml:space="preserve">45014</t>
  </si>
  <si>
    <t xml:space="preserve">FOLDING SHOE TIDY</t>
  </si>
  <si>
    <t xml:space="preserve">45013</t>
  </si>
  <si>
    <t xml:space="preserve">FOLDING UMBRELLA , BLACK/BLUE SPOT</t>
  </si>
  <si>
    <t xml:space="preserve">FOLDING UMBRELLA , RED/WHITE SPOT</t>
  </si>
  <si>
    <t xml:space="preserve">FOLDING UMBRELLA CHOC/WHITE SPOT</t>
  </si>
  <si>
    <t xml:space="preserve">21709</t>
  </si>
  <si>
    <t xml:space="preserve">FOLDING UMBRELLA CREAM/MULTI SPOT</t>
  </si>
  <si>
    <t xml:space="preserve">21708</t>
  </si>
  <si>
    <t xml:space="preserve">FOLDING UMBRELLA PINK/WHITE SPOT</t>
  </si>
  <si>
    <t xml:space="preserve">21710</t>
  </si>
  <si>
    <t xml:space="preserve">FOLDING UMBRELLA WHITE/RED SPOT</t>
  </si>
  <si>
    <t xml:space="preserve">21711</t>
  </si>
  <si>
    <t xml:space="preserve">FOLK ART GREETING CARD,pack/12</t>
  </si>
  <si>
    <t xml:space="preserve">84247K</t>
  </si>
  <si>
    <t xml:space="preserve">FOLK ART METAL HEART T-LIGHT HOLDER</t>
  </si>
  <si>
    <t xml:space="preserve">35968</t>
  </si>
  <si>
    <t xml:space="preserve">FOLK ART METAL STAR T-LIGHT HOLDER</t>
  </si>
  <si>
    <t xml:space="preserve">35967</t>
  </si>
  <si>
    <t xml:space="preserve">FOLK FELT HANGING MULTICOL GARLAND</t>
  </si>
  <si>
    <t xml:space="preserve">84748</t>
  </si>
  <si>
    <t xml:space="preserve">FOLKART BAUBLE CHRISTMAS DECORATION</t>
  </si>
  <si>
    <t xml:space="preserve">35951</t>
  </si>
  <si>
    <t xml:space="preserve">FOLKART CHRISTMAS TREE T-LIGHT HOLD</t>
  </si>
  <si>
    <t xml:space="preserve">35966</t>
  </si>
  <si>
    <t xml:space="preserve">FOLKART CLIP ON STARS</t>
  </si>
  <si>
    <t xml:space="preserve">35964</t>
  </si>
  <si>
    <t xml:space="preserve">FOLKART CROWN TABLE DECORATIONS</t>
  </si>
  <si>
    <t xml:space="preserve">35969</t>
  </si>
  <si>
    <t xml:space="preserve">FOLKART HEART CHRISTMAS DECORATIONS</t>
  </si>
  <si>
    <t xml:space="preserve">35950</t>
  </si>
  <si>
    <t xml:space="preserve">FOLKART HEART NAPKIN RINGS</t>
  </si>
  <si>
    <t xml:space="preserve">35965</t>
  </si>
  <si>
    <t xml:space="preserve">FOLKART STAR CHRISTMAS DECORATIONS</t>
  </si>
  <si>
    <t xml:space="preserve">35953</t>
  </si>
  <si>
    <t xml:space="preserve">FOLKART ZINC CLIP ON ANGEL WINGS</t>
  </si>
  <si>
    <t xml:space="preserve">35963</t>
  </si>
  <si>
    <t xml:space="preserve">FOLKART ZINC HEART CHRISTMAS DEC</t>
  </si>
  <si>
    <t xml:space="preserve">35961</t>
  </si>
  <si>
    <t xml:space="preserve">FOLKART ZINC STAR CHRISTMAS DEC</t>
  </si>
  <si>
    <t xml:space="preserve">35958</t>
  </si>
  <si>
    <t xml:space="preserve">FOOD CONTAINER SET 3 LOVE HEART</t>
  </si>
  <si>
    <t xml:space="preserve">22131</t>
  </si>
  <si>
    <t xml:space="preserve">FOOD/DRINK SPONGE STICKERS</t>
  </si>
  <si>
    <t xml:space="preserve">16012</t>
  </si>
  <si>
    <t xml:space="preserve">FORKED CACTUS CANDLE</t>
  </si>
  <si>
    <t xml:space="preserve">20936</t>
  </si>
  <si>
    <t xml:space="preserve">FOUR HOOK WHITE LOVEBIRDS</t>
  </si>
  <si>
    <t xml:space="preserve">22212</t>
  </si>
  <si>
    <t xml:space="preserve">FOUR PICTURE WHITE GLASS FRAME</t>
  </si>
  <si>
    <t xml:space="preserve">84424A</t>
  </si>
  <si>
    <t xml:space="preserve">FOUR RABBIT EASTER DECORATIONS</t>
  </si>
  <si>
    <t xml:space="preserve">35920</t>
  </si>
  <si>
    <t xml:space="preserve">FRAPPUCINO SCARF KNITTING KIT</t>
  </si>
  <si>
    <t xml:space="preserve">82616B</t>
  </si>
  <si>
    <t xml:space="preserve">FREESTYLE CANVAS ART PICTURE</t>
  </si>
  <si>
    <t xml:space="preserve">84725</t>
  </si>
  <si>
    <t xml:space="preserve">FRENCH BATHROOM SIGN BLUE METAL</t>
  </si>
  <si>
    <t xml:space="preserve">22672</t>
  </si>
  <si>
    <t xml:space="preserve">FRENCH BLUE METAL DOOR SIGN, 0</t>
  </si>
  <si>
    <t xml:space="preserve">22685</t>
  </si>
  <si>
    <t xml:space="preserve">FRENCH BLUE METAL DOOR SIGN, 1</t>
  </si>
  <si>
    <t xml:space="preserve">22676</t>
  </si>
  <si>
    <t xml:space="preserve">FRENCH BLUE METAL DOOR SIGN, 2</t>
  </si>
  <si>
    <t xml:space="preserve">22677</t>
  </si>
  <si>
    <t xml:space="preserve">FRENCH BLUE METAL DOOR SIGN, 3</t>
  </si>
  <si>
    <t xml:space="preserve">22678</t>
  </si>
  <si>
    <t xml:space="preserve">FRENCH BLUE METAL DOOR SIGN, 4</t>
  </si>
  <si>
    <t xml:space="preserve">22679</t>
  </si>
  <si>
    <t xml:space="preserve">FRENCH BLUE METAL DOOR SIGN, 5</t>
  </si>
  <si>
    <t xml:space="preserve">22680</t>
  </si>
  <si>
    <t xml:space="preserve">FRENCH BLUE METAL DOOR SIGN, 6</t>
  </si>
  <si>
    <t xml:space="preserve">22681</t>
  </si>
  <si>
    <t xml:space="preserve">FRENCH BLUE METAL DOOR SIGN, 7</t>
  </si>
  <si>
    <t xml:space="preserve">22682</t>
  </si>
  <si>
    <t xml:space="preserve">FRENCH BLUE METAL DOOR SIGN, 8</t>
  </si>
  <si>
    <t xml:space="preserve">22683</t>
  </si>
  <si>
    <t xml:space="preserve">FRENCH BLUE METAL DOOR SIGN, 9</t>
  </si>
  <si>
    <t xml:space="preserve">22684</t>
  </si>
  <si>
    <t xml:space="preserve">FRENCH BLUE METAL DOOR SIGN, No</t>
  </si>
  <si>
    <t xml:space="preserve">22686</t>
  </si>
  <si>
    <t xml:space="preserve">FRENCH BOTTLE , LAVENDER</t>
  </si>
  <si>
    <t xml:space="preserve">21255</t>
  </si>
  <si>
    <t xml:space="preserve">FRENCH BOTTLE, BRASSERIE DES ARTIST</t>
  </si>
  <si>
    <t xml:space="preserve">21256</t>
  </si>
  <si>
    <t xml:space="preserve">FRENCH CHATEAU LARGE FRUIT BOWL</t>
  </si>
  <si>
    <t xml:space="preserve">85028L</t>
  </si>
  <si>
    <t xml:space="preserve">FRENCH CHATEAU LARGE PLATTER</t>
  </si>
  <si>
    <t xml:space="preserve">85027L</t>
  </si>
  <si>
    <t xml:space="preserve">FRENCH CHATEAU OVAL PLATTER</t>
  </si>
  <si>
    <t xml:space="preserve">85030</t>
  </si>
  <si>
    <t xml:space="preserve">FRENCH CHATEAU SMALL FRUITBOWL</t>
  </si>
  <si>
    <t xml:space="preserve">85028S</t>
  </si>
  <si>
    <t xml:space="preserve">FRENCH EMROIDR LAVENDER SCENT HEART</t>
  </si>
  <si>
    <t xml:space="preserve">21391</t>
  </si>
  <si>
    <t xml:space="preserve">FRENCH ENAMEL CANDLEHOLDER</t>
  </si>
  <si>
    <t xml:space="preserve">FRENCH ENAMEL POT W LID</t>
  </si>
  <si>
    <t xml:space="preserve">85054</t>
  </si>
  <si>
    <t xml:space="preserve">FRENCH ENAMEL SOAP DISH WITH LID</t>
  </si>
  <si>
    <t xml:space="preserve">85050</t>
  </si>
  <si>
    <t xml:space="preserve">FRENCH ENAMEL UTENSIL HOLDER</t>
  </si>
  <si>
    <t xml:space="preserve">85055</t>
  </si>
  <si>
    <t xml:space="preserve">FRENCH ENAMEL WATER BASIN</t>
  </si>
  <si>
    <t xml:space="preserve">85059</t>
  </si>
  <si>
    <t xml:space="preserve">FRENCH FLORAL CUSHION COVER</t>
  </si>
  <si>
    <t xml:space="preserve">20837</t>
  </si>
  <si>
    <t xml:space="preserve">20840</t>
  </si>
  <si>
    <t xml:space="preserve">FRENCH GARDEN SIGN BLUE METAL</t>
  </si>
  <si>
    <t xml:space="preserve">22673</t>
  </si>
  <si>
    <t xml:space="preserve">FRENCH KITCHEN SIGN BLUE METAL</t>
  </si>
  <si>
    <t xml:space="preserve">22675</t>
  </si>
  <si>
    <t xml:space="preserve">FRENCH LATTICE CUSHION COVER</t>
  </si>
  <si>
    <t xml:space="preserve">20835</t>
  </si>
  <si>
    <t xml:space="preserve">20838</t>
  </si>
  <si>
    <t xml:space="preserve">FRENCH LAUNDRY SIGN BLUE METAL</t>
  </si>
  <si>
    <t xml:space="preserve">22671</t>
  </si>
  <si>
    <t xml:space="preserve">FRENCH PAISLEY CUSHION COVER</t>
  </si>
  <si>
    <t xml:space="preserve">20836</t>
  </si>
  <si>
    <t xml:space="preserve">20839</t>
  </si>
  <si>
    <t xml:space="preserve">FRENCH STYLE EMBOSSED HEART CABINET</t>
  </si>
  <si>
    <t xml:space="preserve">21277</t>
  </si>
  <si>
    <t xml:space="preserve">FRENCH STYLE WALL DRESSER</t>
  </si>
  <si>
    <t xml:space="preserve">21760</t>
  </si>
  <si>
    <t xml:space="preserve">FRENCH STYLE WIRE DOOR CABINET</t>
  </si>
  <si>
    <t xml:space="preserve">21767</t>
  </si>
  <si>
    <t xml:space="preserve">FRENCH TOILET SIGN BLUE METAL</t>
  </si>
  <si>
    <t xml:space="preserve">22674</t>
  </si>
  <si>
    <t xml:space="preserve">FRENCH WC SIGN BLUE METAL</t>
  </si>
  <si>
    <t xml:space="preserve">FRESHWATER PEARL BRACELET GOLD</t>
  </si>
  <si>
    <t xml:space="preserve">90042A</t>
  </si>
  <si>
    <t xml:space="preserve">FRESHWATER PEARL BRACELET IVORY</t>
  </si>
  <si>
    <t xml:space="preserve">90042C</t>
  </si>
  <si>
    <t xml:space="preserve">FRESHWATER PEARL BRACELET PINK</t>
  </si>
  <si>
    <t xml:space="preserve">90042B</t>
  </si>
  <si>
    <t xml:space="preserve">FRIDGE MAGNETS LA VIE EN ROSE</t>
  </si>
  <si>
    <t xml:space="preserve">FRIDGE MAGNETS LES ENFANTS ASSORTED</t>
  </si>
  <si>
    <t xml:space="preserve">FRIDGE MAGNETS US DINER ASSORTED</t>
  </si>
  <si>
    <t xml:space="preserve">FROG CANDLE</t>
  </si>
  <si>
    <t xml:space="preserve">20941</t>
  </si>
  <si>
    <t xml:space="preserve">FROG KING WATERING CAN</t>
  </si>
  <si>
    <t xml:space="preserve">84675</t>
  </si>
  <si>
    <t xml:space="preserve">FROG SOCK PUPPET</t>
  </si>
  <si>
    <t xml:space="preserve">85185D</t>
  </si>
  <si>
    <t xml:space="preserve">FROSTED BOX 9 WHITE T-LIGHT CANDLES</t>
  </si>
  <si>
    <t xml:space="preserve">72008</t>
  </si>
  <si>
    <t xml:space="preserve">FROSTED GLASS WITH SILVER SURROUND</t>
  </si>
  <si>
    <t xml:space="preserve">84567</t>
  </si>
  <si>
    <t xml:space="preserve">FROSTED WHITE BASE</t>
  </si>
  <si>
    <t xml:space="preserve">79403</t>
  </si>
  <si>
    <t xml:space="preserve">79406</t>
  </si>
  <si>
    <t xml:space="preserve">FRUIT SALAD BAG CHARM</t>
  </si>
  <si>
    <t xml:space="preserve">90116</t>
  </si>
  <si>
    <t xml:space="preserve">FRUIT TREE AND BIRDS WALL PLAQUE</t>
  </si>
  <si>
    <t xml:space="preserve">84631</t>
  </si>
  <si>
    <t xml:space="preserve">FRYING PAN BLUE POLKADOT</t>
  </si>
  <si>
    <t xml:space="preserve">22201</t>
  </si>
  <si>
    <t xml:space="preserve">FRYING PAN PINK POLKADOT</t>
  </si>
  <si>
    <t xml:space="preserve">FRYING PAN RED POLKADOT</t>
  </si>
  <si>
    <t xml:space="preserve">FRYING PAN UNION FLAG</t>
  </si>
  <si>
    <t xml:space="preserve">22207</t>
  </si>
  <si>
    <t xml:space="preserve">FULL ENGLISH BREAKFAST PLATE</t>
  </si>
  <si>
    <t xml:space="preserve">22109</t>
  </si>
  <si>
    <t xml:space="preserve">FUNKY DIVA PEN</t>
  </si>
  <si>
    <t xml:space="preserve">22741</t>
  </si>
  <si>
    <t xml:space="preserve">FUNKY FLOWER COFFEE POT</t>
  </si>
  <si>
    <t xml:space="preserve">37438</t>
  </si>
  <si>
    <t xml:space="preserve">FUNKY FLOWER PICNIC BAG FOR 4</t>
  </si>
  <si>
    <t xml:space="preserve">84873A</t>
  </si>
  <si>
    <t xml:space="preserve">FUNKY GIRL ADDRESS BOOK</t>
  </si>
  <si>
    <t xml:space="preserve">16119</t>
  </si>
  <si>
    <t xml:space="preserve">FUNKY GIRLZ ASST MAGNETIC MEMO PAD</t>
  </si>
  <si>
    <t xml:space="preserve">16212</t>
  </si>
  <si>
    <t xml:space="preserve">FUNKY GIRLZ MAGNETIC TO DO LIST</t>
  </si>
  <si>
    <t xml:space="preserve">16215</t>
  </si>
  <si>
    <t xml:space="preserve">FUNKY MONKEY CUSHION COVER</t>
  </si>
  <si>
    <t xml:space="preserve">46118</t>
  </si>
  <si>
    <t xml:space="preserve">FUNKY MONKEY GIFT BAG MEDIUM</t>
  </si>
  <si>
    <t xml:space="preserve">16168M</t>
  </si>
  <si>
    <t xml:space="preserve">FUNKY MONKEY GIFT BAG SMALL</t>
  </si>
  <si>
    <t xml:space="preserve">16168S</t>
  </si>
  <si>
    <t xml:space="preserve">FUNKY MONKEY MUG</t>
  </si>
  <si>
    <t xml:space="preserve">37461</t>
  </si>
  <si>
    <t xml:space="preserve">FUNKY WASHING UP GLOVES ASSORTED</t>
  </si>
  <si>
    <t xml:space="preserve">20751</t>
  </si>
  <si>
    <t xml:space="preserve">FUSCHIA FLOWER PURSE WITH BEADS</t>
  </si>
  <si>
    <t xml:space="preserve">47343A</t>
  </si>
  <si>
    <t xml:space="preserve">FUSCHIA RETRO BAR STOOL</t>
  </si>
  <si>
    <t xml:space="preserve">20785</t>
  </si>
  <si>
    <t xml:space="preserve">FUSCHIA TABLE RUN FLOWER</t>
  </si>
  <si>
    <t xml:space="preserve">47341A</t>
  </si>
  <si>
    <t xml:space="preserve">FUSCHIA VOILE POINTY SHOE DEC</t>
  </si>
  <si>
    <t xml:space="preserve">47348A</t>
  </si>
  <si>
    <t xml:space="preserve">FUSCHIA/GREEN STRIPE WOOLLY BLANKET</t>
  </si>
  <si>
    <t xml:space="preserve">84414B</t>
  </si>
  <si>
    <t xml:space="preserve">GAOLERS KEYS DECORATIVE GARDEN</t>
  </si>
  <si>
    <t xml:space="preserve">21745</t>
  </si>
  <si>
    <t xml:space="preserve">GARDEN METAL SIGN</t>
  </si>
  <si>
    <t xml:space="preserve">21911</t>
  </si>
  <si>
    <t xml:space="preserve">GARDEN PATH JOURNAL</t>
  </si>
  <si>
    <t xml:space="preserve">20772</t>
  </si>
  <si>
    <t xml:space="preserve">GARDEN PATH NOTEBOOK</t>
  </si>
  <si>
    <t xml:space="preserve">20778</t>
  </si>
  <si>
    <t xml:space="preserve">GARDEN PATH POCKET BOOK</t>
  </si>
  <si>
    <t xml:space="preserve">20760</t>
  </si>
  <si>
    <t xml:space="preserve">GARDEN PATH SKETCHBOOK</t>
  </si>
  <si>
    <t xml:space="preserve">20766</t>
  </si>
  <si>
    <t xml:space="preserve">GARDENERS KNEELING PAD</t>
  </si>
  <si>
    <t xml:space="preserve">22528</t>
  </si>
  <si>
    <t xml:space="preserve">GARDENIA 1 WICK MORRIS BOXED CANDLE</t>
  </si>
  <si>
    <t xml:space="preserve">85036A</t>
  </si>
  <si>
    <t xml:space="preserve">GARDENIA 3 WICK MORRIS BOXED CANDLE</t>
  </si>
  <si>
    <t xml:space="preserve">85035A</t>
  </si>
  <si>
    <t xml:space="preserve">GARLAND WITH HEARTS AND BELLS</t>
  </si>
  <si>
    <t xml:space="preserve">21812</t>
  </si>
  <si>
    <t xml:space="preserve">GARLAND WITH STARS AND BELLS</t>
  </si>
  <si>
    <t xml:space="preserve">21813</t>
  </si>
  <si>
    <t xml:space="preserve">GARLAND WOODEN HAPPY EASTER</t>
  </si>
  <si>
    <t xml:space="preserve">22241</t>
  </si>
  <si>
    <t xml:space="preserve">GARLAND, MAGIC GARDEN 1.8M</t>
  </si>
  <si>
    <t xml:space="preserve">22246</t>
  </si>
  <si>
    <t xml:space="preserve">GEISHA GIRL CHOPSTICKS SET/5</t>
  </si>
  <si>
    <t xml:space="preserve">20987</t>
  </si>
  <si>
    <t xml:space="preserve">GENTLEMAN SHIRT REPAIR KIT</t>
  </si>
  <si>
    <t xml:space="preserve">22651</t>
  </si>
  <si>
    <t xml:space="preserve">GERANIUM FOLKART HEART DECORATION</t>
  </si>
  <si>
    <t xml:space="preserve">35973</t>
  </si>
  <si>
    <t xml:space="preserve">GERANIUM SQUARE HANDY TIN</t>
  </si>
  <si>
    <t xml:space="preserve">84845D</t>
  </si>
  <si>
    <t xml:space="preserve">GIANT BLACK SUNGLASSES</t>
  </si>
  <si>
    <t xml:space="preserve">84526</t>
  </si>
  <si>
    <t xml:space="preserve">GIANT MEDINA STAMPED METAL BOWL</t>
  </si>
  <si>
    <t xml:space="preserve">21681</t>
  </si>
  <si>
    <t xml:space="preserve">GIANT PINK HEART MEMO HOLDER</t>
  </si>
  <si>
    <t xml:space="preserve">84972L</t>
  </si>
  <si>
    <t xml:space="preserve">GIANT SEVENTEEN DRAWER SIDEBOARD</t>
  </si>
  <si>
    <t xml:space="preserve">22827</t>
  </si>
  <si>
    <t xml:space="preserve">GIFT BAG BIRTHDAY</t>
  </si>
  <si>
    <t xml:space="preserve">22820</t>
  </si>
  <si>
    <t xml:space="preserve">GIFT BAG PSYCHEDELIC APPLES</t>
  </si>
  <si>
    <t xml:space="preserve">GIN &amp; TONIC DIET GREETING CARD</t>
  </si>
  <si>
    <t xml:space="preserve">GIN + TONIC DIET METAL SIGN</t>
  </si>
  <si>
    <t xml:space="preserve">GIN AND TONIC MUG</t>
  </si>
  <si>
    <t xml:space="preserve">GINGERBREAD MAN COOKIE CUTTER</t>
  </si>
  <si>
    <t xml:space="preserve">GINGHAM HEART DECORATION</t>
  </si>
  <si>
    <t xml:space="preserve">84791</t>
  </si>
  <si>
    <t xml:space="preserve">GINGHAM HEART DOORSTOP RED</t>
  </si>
  <si>
    <t xml:space="preserve">GINGHAM HEART WREATH</t>
  </si>
  <si>
    <t xml:space="preserve">21350</t>
  </si>
  <si>
    <t xml:space="preserve">GINGHAM OVEN GLOVE RED HEART</t>
  </si>
  <si>
    <t xml:space="preserve">21836</t>
  </si>
  <si>
    <t xml:space="preserve">GINGHAM ROSE WRAP</t>
  </si>
  <si>
    <t xml:space="preserve">22986</t>
  </si>
  <si>
    <t xml:space="preserve">GIRLS ALPHABET IRON ON PATCHES</t>
  </si>
  <si>
    <t xml:space="preserve">84568</t>
  </si>
  <si>
    <t xml:space="preserve">GIRLS PARTY BAG</t>
  </si>
  <si>
    <t xml:space="preserve">DCGSSGIRL</t>
  </si>
  <si>
    <t xml:space="preserve">GIRLS VINTAGE TIN SEASIDE BUCKET</t>
  </si>
  <si>
    <t xml:space="preserve">21715</t>
  </si>
  <si>
    <t xml:space="preserve">GIRLY PINK TOOL SET</t>
  </si>
  <si>
    <t xml:space="preserve">84854</t>
  </si>
  <si>
    <t xml:space="preserve">GLAMOROUS MUG</t>
  </si>
  <si>
    <t xml:space="preserve">GLASS AND BEADS BRACELET IVORY</t>
  </si>
  <si>
    <t xml:space="preserve">90038C</t>
  </si>
  <si>
    <t xml:space="preserve">GLASS AND PAINTED BEADS BRACELET OL</t>
  </si>
  <si>
    <t xml:space="preserve">90038B</t>
  </si>
  <si>
    <t xml:space="preserve">GLASS AND PAINTED BEADS BRACELET TO</t>
  </si>
  <si>
    <t xml:space="preserve">90038A</t>
  </si>
  <si>
    <t xml:space="preserve">GLASS BEAD HOOP EARRINGS AMETHYST</t>
  </si>
  <si>
    <t xml:space="preserve">90027D</t>
  </si>
  <si>
    <t xml:space="preserve">GLASS BEAD HOOP EARRINGS BLACK</t>
  </si>
  <si>
    <t xml:space="preserve">90027A</t>
  </si>
  <si>
    <t xml:space="preserve">GLASS BEAD HOOP EARRINGS GREEN</t>
  </si>
  <si>
    <t xml:space="preserve">90027C</t>
  </si>
  <si>
    <t xml:space="preserve">GLASS BEAD HOOP EARRINGS MONTANA</t>
  </si>
  <si>
    <t xml:space="preserve">90027B</t>
  </si>
  <si>
    <t xml:space="preserve">GLASS BEAD HOOP NECKLACE AMETHYST</t>
  </si>
  <si>
    <t xml:space="preserve">90026D</t>
  </si>
  <si>
    <t xml:space="preserve">GLASS BEAD HOOP NECKLACE BLACK</t>
  </si>
  <si>
    <t xml:space="preserve">90026A</t>
  </si>
  <si>
    <t xml:space="preserve">GLASS BEAD HOOP NECKLACE GREEN</t>
  </si>
  <si>
    <t xml:space="preserve">90026C</t>
  </si>
  <si>
    <t xml:space="preserve">GLASS BEAD HOOP NECKLACE MONTANA</t>
  </si>
  <si>
    <t xml:space="preserve">90026B</t>
  </si>
  <si>
    <t xml:space="preserve">GLASS BEURRE DISH</t>
  </si>
  <si>
    <t xml:space="preserve">21658</t>
  </si>
  <si>
    <t xml:space="preserve">GLASS BONBON JAR PARFUME AUX FLEURE</t>
  </si>
  <si>
    <t xml:space="preserve">82607A</t>
  </si>
  <si>
    <t xml:space="preserve">GLASS BONBON JAR. D'AMANDES</t>
  </si>
  <si>
    <t xml:space="preserve">82607E</t>
  </si>
  <si>
    <t xml:space="preserve">GLASS BONBON JAR. SUPERFINES</t>
  </si>
  <si>
    <t xml:space="preserve">82607C</t>
  </si>
  <si>
    <t xml:space="preserve">GLASS CAKE COVER AND PLATE</t>
  </si>
  <si>
    <t xml:space="preserve">21667</t>
  </si>
  <si>
    <t xml:space="preserve">GLASS CAKE STAND</t>
  </si>
  <si>
    <t xml:space="preserve">21659</t>
  </si>
  <si>
    <t xml:space="preserve">GLASS CAKE STAND MIRRORED BASE</t>
  </si>
  <si>
    <t xml:space="preserve">21752</t>
  </si>
  <si>
    <t xml:space="preserve">GLASS CHALICE BLUE LARGE</t>
  </si>
  <si>
    <t xml:space="preserve">21321</t>
  </si>
  <si>
    <t xml:space="preserve">GLASS CHALICE BLUE SMALL</t>
  </si>
  <si>
    <t xml:space="preserve">21318</t>
  </si>
  <si>
    <t xml:space="preserve">GLASS CHALICE GREEN LARGE</t>
  </si>
  <si>
    <t xml:space="preserve">21320</t>
  </si>
  <si>
    <t xml:space="preserve">GLASS CHALICE GREEN SMALL</t>
  </si>
  <si>
    <t xml:space="preserve">21319</t>
  </si>
  <si>
    <t xml:space="preserve">GLASS CHICKEN BUTTER DISH</t>
  </si>
  <si>
    <t xml:space="preserve">20804</t>
  </si>
  <si>
    <t xml:space="preserve">GLASS CLOCHE LARGE</t>
  </si>
  <si>
    <t xml:space="preserve">22777</t>
  </si>
  <si>
    <t xml:space="preserve">GLASS CLOCHE SMALL</t>
  </si>
  <si>
    <t xml:space="preserve">22778</t>
  </si>
  <si>
    <t xml:space="preserve">GLASS ETCHED T-LIGHT HOLDER LARGE</t>
  </si>
  <si>
    <t xml:space="preserve">21653</t>
  </si>
  <si>
    <t xml:space="preserve">GLASS ETCHED T-LIGHT HOLDER MEDIUM</t>
  </si>
  <si>
    <t xml:space="preserve">21652</t>
  </si>
  <si>
    <t xml:space="preserve">GLASS HEART T-LIGHT HOLDER</t>
  </si>
  <si>
    <t xml:space="preserve">21313</t>
  </si>
  <si>
    <t xml:space="preserve">GLASS HONEYPOT WASP CATCHER</t>
  </si>
  <si>
    <t xml:space="preserve">79029</t>
  </si>
  <si>
    <t xml:space="preserve">GLASS JAR DAISY FRESH COTTON WOOL</t>
  </si>
  <si>
    <t xml:space="preserve">22361</t>
  </si>
  <si>
    <t xml:space="preserve">GLASS JAR DIGESTIVE BISCUITS</t>
  </si>
  <si>
    <t xml:space="preserve">22364</t>
  </si>
  <si>
    <t xml:space="preserve">GLASS JAR ENGLISH CONFECTIONERY</t>
  </si>
  <si>
    <t xml:space="preserve">22360</t>
  </si>
  <si>
    <t xml:space="preserve">GLASS JAR KINGS CHOICE</t>
  </si>
  <si>
    <t xml:space="preserve">22359</t>
  </si>
  <si>
    <t xml:space="preserve">GLASS JAR MARMALADE</t>
  </si>
  <si>
    <t xml:space="preserve">22363</t>
  </si>
  <si>
    <t xml:space="preserve">GLASS JAR PEACOCK BATH SALTS</t>
  </si>
  <si>
    <t xml:space="preserve">22362</t>
  </si>
  <si>
    <t xml:space="preserve">GLASS SPHERE CANDLE STAND LARGE</t>
  </si>
  <si>
    <t xml:space="preserve">21322</t>
  </si>
  <si>
    <t xml:space="preserve">GLASS SPHERE CANDLE STAND MEDIUM</t>
  </si>
  <si>
    <t xml:space="preserve">21317</t>
  </si>
  <si>
    <t xml:space="preserve">GLASS STAR FROSTED T-LIGHT HOLDER</t>
  </si>
  <si>
    <t xml:space="preserve">21730</t>
  </si>
  <si>
    <t xml:space="preserve">GLASS WINE GLASS DECORATIONS</t>
  </si>
  <si>
    <t xml:space="preserve">79413</t>
  </si>
  <si>
    <t xml:space="preserve">GLITTER BUTTERFLY CLIPS</t>
  </si>
  <si>
    <t xml:space="preserve">20828</t>
  </si>
  <si>
    <t xml:space="preserve">GLITTER CHRISTMAS HEART</t>
  </si>
  <si>
    <t xml:space="preserve">21818</t>
  </si>
  <si>
    <t xml:space="preserve">GLITTER CHRISTMAS STAR</t>
  </si>
  <si>
    <t xml:space="preserve">21819</t>
  </si>
  <si>
    <t xml:space="preserve">GLITTER CHRISTMAS TREE</t>
  </si>
  <si>
    <t xml:space="preserve">21817</t>
  </si>
  <si>
    <t xml:space="preserve">GLITTER CHRISTMAS TREE WITH BELLS</t>
  </si>
  <si>
    <t xml:space="preserve">21822</t>
  </si>
  <si>
    <t xml:space="preserve">GLITTER HANGING BUTTERFLY STRING</t>
  </si>
  <si>
    <t xml:space="preserve">20829</t>
  </si>
  <si>
    <t xml:space="preserve">GLITTER HEART GARLAND WITH BELLS</t>
  </si>
  <si>
    <t xml:space="preserve">21820</t>
  </si>
  <si>
    <t xml:space="preserve">GLITTER SNOW PEAR TREE DECORATION</t>
  </si>
  <si>
    <t xml:space="preserve">21011</t>
  </si>
  <si>
    <t xml:space="preserve">GLITTER STAR GARLAND WITH BELLS</t>
  </si>
  <si>
    <t xml:space="preserve">21821</t>
  </si>
  <si>
    <t xml:space="preserve">GLOW IN DARK DOLPHINS</t>
  </si>
  <si>
    <t xml:space="preserve">84199</t>
  </si>
  <si>
    <t xml:space="preserve">GOLD 2 STRAND NECKLACE-LEAF CHARMS</t>
  </si>
  <si>
    <t xml:space="preserve">90189B</t>
  </si>
  <si>
    <t xml:space="preserve">GOLD APERITIF GLASS</t>
  </si>
  <si>
    <t xml:space="preserve">20827</t>
  </si>
  <si>
    <t xml:space="preserve">GOLD CHERRY LIGHTS</t>
  </si>
  <si>
    <t xml:space="preserve">79323G</t>
  </si>
  <si>
    <t xml:space="preserve">GOLD CHRISTMAS STOCKING DECORATION</t>
  </si>
  <si>
    <t xml:space="preserve">35945</t>
  </si>
  <si>
    <t xml:space="preserve">GOLD COSMETIC BAG PINK STAR</t>
  </si>
  <si>
    <t xml:space="preserve">20861</t>
  </si>
  <si>
    <t xml:space="preserve">GOLD COSMETICS BAG WITH BUTTERFLY</t>
  </si>
  <si>
    <t xml:space="preserve">20860</t>
  </si>
  <si>
    <t xml:space="preserve">GOLD DIAMANTE STAR BROOCH</t>
  </si>
  <si>
    <t xml:space="preserve">90206A</t>
  </si>
  <si>
    <t xml:space="preserve">GOLD EAR MUFF HEADPHONES</t>
  </si>
  <si>
    <t xml:space="preserve">20781</t>
  </si>
  <si>
    <t xml:space="preserve">GOLD FABRIC MIRROR</t>
  </si>
  <si>
    <t xml:space="preserve">20869</t>
  </si>
  <si>
    <t xml:space="preserve">GOLD FISHING GNOME</t>
  </si>
  <si>
    <t xml:space="preserve">GOLD FLOWER CUSHION COVER</t>
  </si>
  <si>
    <t xml:space="preserve">20816</t>
  </si>
  <si>
    <t xml:space="preserve">GOLD JEWELERY BOX</t>
  </si>
  <si>
    <t xml:space="preserve">21343</t>
  </si>
  <si>
    <t xml:space="preserve">GOLD M PEARL ORBIT NECKLACE</t>
  </si>
  <si>
    <t xml:space="preserve">90014B</t>
  </si>
  <si>
    <t xml:space="preserve">GOLD M.O.P ORBIT BRACELET</t>
  </si>
  <si>
    <t xml:space="preserve">90019B</t>
  </si>
  <si>
    <t xml:space="preserve">GOLD M.O.P ORBIT DROP EARRINGS</t>
  </si>
  <si>
    <t xml:space="preserve">90018B</t>
  </si>
  <si>
    <t xml:space="preserve">GOLD MINI TAPE MEASURE</t>
  </si>
  <si>
    <t xml:space="preserve">20733</t>
  </si>
  <si>
    <t xml:space="preserve">GOLD MUG BONE CHINA TREE OF LIFE</t>
  </si>
  <si>
    <t xml:space="preserve">22307</t>
  </si>
  <si>
    <t xml:space="preserve">GOLD PHOTO FRAME</t>
  </si>
  <si>
    <t xml:space="preserve">GOLD PRINT PAPER BAG</t>
  </si>
  <si>
    <t xml:space="preserve">35271S</t>
  </si>
  <si>
    <t xml:space="preserve">GOLD SCROLL GLASS T-LIGHT HOLDER</t>
  </si>
  <si>
    <t xml:space="preserve">21736</t>
  </si>
  <si>
    <t xml:space="preserve">GOLD STANDING GNOME</t>
  </si>
  <si>
    <t xml:space="preserve">21131</t>
  </si>
  <si>
    <t xml:space="preserve">GOLD TEDDY BEAR</t>
  </si>
  <si>
    <t xml:space="preserve">20818</t>
  </si>
  <si>
    <t xml:space="preserve">GOLD WASHBAG</t>
  </si>
  <si>
    <t xml:space="preserve">21336</t>
  </si>
  <si>
    <t xml:space="preserve">GOLD WINE GLASS</t>
  </si>
  <si>
    <t xml:space="preserve">20825</t>
  </si>
  <si>
    <t xml:space="preserve">GOLD WINE GOBLET</t>
  </si>
  <si>
    <t xml:space="preserve">20823</t>
  </si>
  <si>
    <t xml:space="preserve">GOLD/AMBER DROP EARRINGS W LEAF</t>
  </si>
  <si>
    <t xml:space="preserve">90190B</t>
  </si>
  <si>
    <t xml:space="preserve">GOLD/M.O.P PENDANT ORBIT NECKLACE</t>
  </si>
  <si>
    <t xml:space="preserve">90016B</t>
  </si>
  <si>
    <t xml:space="preserve">GOLDIE LOOKING MIRROR</t>
  </si>
  <si>
    <t xml:space="preserve">20821</t>
  </si>
  <si>
    <t xml:space="preserve">GOTHIC CARRIAGE LANTERN</t>
  </si>
  <si>
    <t xml:space="preserve">21347</t>
  </si>
  <si>
    <t xml:space="preserve">GRAND CHOCOLATECANDLE</t>
  </si>
  <si>
    <t xml:space="preserve">GRASS HOPPER WOODEN WALL CLOCK</t>
  </si>
  <si>
    <t xml:space="preserve">84663A</t>
  </si>
  <si>
    <t xml:space="preserve">GREEN 3 PIECE MINI DOTS CUTLERY SET</t>
  </si>
  <si>
    <t xml:space="preserve">GREEN 3 TIER GLASS PLATE STAND</t>
  </si>
  <si>
    <t xml:space="preserve">84782C</t>
  </si>
  <si>
    <t xml:space="preserve">GREEN BIRDHOUSE DECORATION</t>
  </si>
  <si>
    <t xml:space="preserve">GREEN BITTY LIGHT CHAIN</t>
  </si>
  <si>
    <t xml:space="preserve">85179A</t>
  </si>
  <si>
    <t xml:space="preserve">GREEN BLUE FLOWER PIGGY BANK</t>
  </si>
  <si>
    <t xml:space="preserve">37492C</t>
  </si>
  <si>
    <t xml:space="preserve">GREEN CAT FLORAL CUSHION COVER</t>
  </si>
  <si>
    <t xml:space="preserve">20700</t>
  </si>
  <si>
    <t xml:space="preserve">GREEN CHENILLE SHAGGY C/COVER</t>
  </si>
  <si>
    <t xml:space="preserve">46138D</t>
  </si>
  <si>
    <t xml:space="preserve">GREEN CHENILLE SHAGGY RUG</t>
  </si>
  <si>
    <t xml:space="preserve">46137D</t>
  </si>
  <si>
    <t xml:space="preserve">GREEN CHERRY LIGHTS</t>
  </si>
  <si>
    <t xml:space="preserve">79323GR</t>
  </si>
  <si>
    <t xml:space="preserve">GREEN CHRISTMAS TREE CARD HOLDER</t>
  </si>
  <si>
    <t xml:space="preserve">22187</t>
  </si>
  <si>
    <t xml:space="preserve">GREEN CHRISTMAS TREE STRING 20LIGHT</t>
  </si>
  <si>
    <t xml:space="preserve">85045</t>
  </si>
  <si>
    <t xml:space="preserve">GREEN CRYSTAL DROP EARRINGS</t>
  </si>
  <si>
    <t xml:space="preserve">90011C</t>
  </si>
  <si>
    <t xml:space="preserve">GREEN DIAMANTE PEN IN GIFT BOX</t>
  </si>
  <si>
    <t xml:space="preserve">21847</t>
  </si>
  <si>
    <t xml:space="preserve">GREEN DRAWER KNOB ACRYLIC EDWARDIAN</t>
  </si>
  <si>
    <t xml:space="preserve">22773</t>
  </si>
  <si>
    <t xml:space="preserve">GREEN DROP EARRINGS W BEAD CLUSTER</t>
  </si>
  <si>
    <t xml:space="preserve">90187B</t>
  </si>
  <si>
    <t xml:space="preserve">GREEN EASTER EGG HUNT START POST</t>
  </si>
  <si>
    <t xml:space="preserve">21460</t>
  </si>
  <si>
    <t xml:space="preserve">GREEN ENAMEL FLOWER HAIR TIE</t>
  </si>
  <si>
    <t xml:space="preserve">90202C</t>
  </si>
  <si>
    <t xml:space="preserve">GREEN ENAMEL FLOWER RING</t>
  </si>
  <si>
    <t xml:space="preserve">90201D</t>
  </si>
  <si>
    <t xml:space="preserve">GREEN ENAMEL+GLASS HAIR COMB</t>
  </si>
  <si>
    <t xml:space="preserve">90209B</t>
  </si>
  <si>
    <t xml:space="preserve">GREEN FERN JOURNAL</t>
  </si>
  <si>
    <t xml:space="preserve">20768</t>
  </si>
  <si>
    <t xml:space="preserve">GREEN FERN NOTEBOOK</t>
  </si>
  <si>
    <t xml:space="preserve">20774</t>
  </si>
  <si>
    <t xml:space="preserve">GREEN FERN POCKET BOOK</t>
  </si>
  <si>
    <t xml:space="preserve">20756</t>
  </si>
  <si>
    <t xml:space="preserve">GREEN FERN SKETCHBOOK</t>
  </si>
  <si>
    <t xml:space="preserve">20762</t>
  </si>
  <si>
    <t xml:space="preserve">GREEN FLORAL FELTCRAFT SHOULDER BAG</t>
  </si>
  <si>
    <t xml:space="preserve">20968</t>
  </si>
  <si>
    <t xml:space="preserve">GREEN GEISHA GIRL</t>
  </si>
  <si>
    <t xml:space="preserve">84870C</t>
  </si>
  <si>
    <t xml:space="preserve">GREEN GIANT GARDEN THERMOMETER</t>
  </si>
  <si>
    <t xml:space="preserve">22927</t>
  </si>
  <si>
    <t xml:space="preserve">GREEN GINGHAM FLOWER JEWELLERY BOX</t>
  </si>
  <si>
    <t xml:space="preserve">21431</t>
  </si>
  <si>
    <t xml:space="preserve">GREEN GLASS TASSLE BAG CHARM</t>
  </si>
  <si>
    <t xml:space="preserve">90129C</t>
  </si>
  <si>
    <t xml:space="preserve">GREEN GOOSE FEATHER CHRISTMAS TREE</t>
  </si>
  <si>
    <t xml:space="preserve">21261</t>
  </si>
  <si>
    <t xml:space="preserve">GREEN GOOSE FEATHER TREE 60CM</t>
  </si>
  <si>
    <t xml:space="preserve">21263</t>
  </si>
  <si>
    <t xml:space="preserve">GREEN HEART COMPACT MIRROR</t>
  </si>
  <si>
    <t xml:space="preserve">84876B</t>
  </si>
  <si>
    <t xml:space="preserve">GREEN HEART OF GLASS BRACELET</t>
  </si>
  <si>
    <t xml:space="preserve">90123C</t>
  </si>
  <si>
    <t xml:space="preserve">GREEN JUICY FRUIT PHOTO FRAME</t>
  </si>
  <si>
    <t xml:space="preserve">85124C</t>
  </si>
  <si>
    <t xml:space="preserve">GREEN KASHMIRI BOXED MIRROR</t>
  </si>
  <si>
    <t xml:space="preserve">84966C</t>
  </si>
  <si>
    <t xml:space="preserve">GREEN KASHMIRI OCCASIONAL TABLE</t>
  </si>
  <si>
    <t xml:space="preserve">84967C</t>
  </si>
  <si>
    <t xml:space="preserve">GREEN LEAVES AND BEADS PHONE CHARM</t>
  </si>
  <si>
    <t xml:space="preserve">90128C</t>
  </si>
  <si>
    <t xml:space="preserve">GREEN METAL SWINGING BUNNY</t>
  </si>
  <si>
    <t xml:space="preserve">85188A</t>
  </si>
  <si>
    <t xml:space="preserve">GREEN MINI TAPE MEASURE</t>
  </si>
  <si>
    <t xml:space="preserve">20738</t>
  </si>
  <si>
    <t xml:space="preserve">GREEN MURANO TWIST BRACELET</t>
  </si>
  <si>
    <t xml:space="preserve">90120C</t>
  </si>
  <si>
    <t xml:space="preserve">GREEN MURANO TWIST NECKLACE</t>
  </si>
  <si>
    <t xml:space="preserve">90124C</t>
  </si>
  <si>
    <t xml:space="preserve">GREEN PAIR HEART HAIR SLIDES</t>
  </si>
  <si>
    <t xml:space="preserve">90003E</t>
  </si>
  <si>
    <t xml:space="preserve">GREEN PENDANT SHELL NECKLACE</t>
  </si>
  <si>
    <t xml:space="preserve">90142A</t>
  </si>
  <si>
    <t xml:space="preserve">GREEN PENDANT TRIPLE SHELL NECKLACE</t>
  </si>
  <si>
    <t xml:space="preserve">90141A</t>
  </si>
  <si>
    <t xml:space="preserve">GREEN PEONY CUSHION COVER</t>
  </si>
  <si>
    <t xml:space="preserve">84984A</t>
  </si>
  <si>
    <t xml:space="preserve">GREEN PICNIC BARBECUE BUCKET</t>
  </si>
  <si>
    <t xml:space="preserve">84762C</t>
  </si>
  <si>
    <t xml:space="preserve">GREEN POP ART MAO CUSHION COVER</t>
  </si>
  <si>
    <t xml:space="preserve">46115B</t>
  </si>
  <si>
    <t xml:space="preserve">GREEN REGENCY TEACUP AND SAUCER</t>
  </si>
  <si>
    <t xml:space="preserve">GREEN ROSE CUSHION COVER</t>
  </si>
  <si>
    <t xml:space="preserve">84657</t>
  </si>
  <si>
    <t xml:space="preserve">GREEN ROSE QUILT</t>
  </si>
  <si>
    <t xml:space="preserve">84653</t>
  </si>
  <si>
    <t xml:space="preserve">GREEN ROSE WASHBAG</t>
  </si>
  <si>
    <t xml:space="preserve">84912B</t>
  </si>
  <si>
    <t xml:space="preserve">GREEN ROUND COMPACT MIRROR</t>
  </si>
  <si>
    <t xml:space="preserve">84877B</t>
  </si>
  <si>
    <t xml:space="preserve">GREEN SPOTTY BOWL</t>
  </si>
  <si>
    <t xml:space="preserve">GREEN SPOTTY CUP</t>
  </si>
  <si>
    <t xml:space="preserve">21241</t>
  </si>
  <si>
    <t xml:space="preserve">GREEN SPOTTY PLATE</t>
  </si>
  <si>
    <t xml:space="preserve">GREEN SQUARE COMPACT MIRROR</t>
  </si>
  <si>
    <t xml:space="preserve">84875B</t>
  </si>
  <si>
    <t xml:space="preserve">GREEN STONE/CRYSTAL EARRINGS</t>
  </si>
  <si>
    <t xml:space="preserve">90130C</t>
  </si>
  <si>
    <t xml:space="preserve">GREEN SWEETHEART BRACELET</t>
  </si>
  <si>
    <t xml:space="preserve">90200E</t>
  </si>
  <si>
    <t xml:space="preserve">GREEN VINTAGE EARRINGS</t>
  </si>
  <si>
    <t xml:space="preserve">90013C</t>
  </si>
  <si>
    <t xml:space="preserve">GREEN WIRE GOBLET CANDLEHOLDER</t>
  </si>
  <si>
    <t xml:space="preserve">84891B</t>
  </si>
  <si>
    <t xml:space="preserve">GREEN WIRE STANDING CANDLE HOLDER</t>
  </si>
  <si>
    <t xml:space="preserve">84882</t>
  </si>
  <si>
    <t xml:space="preserve">GREEN WITH METAL BAG CHARM</t>
  </si>
  <si>
    <t xml:space="preserve">90048</t>
  </si>
  <si>
    <t xml:space="preserve">GREEN/BLUE CERAMIC CANDLE HOLDER</t>
  </si>
  <si>
    <t xml:space="preserve">37491C</t>
  </si>
  <si>
    <t xml:space="preserve">GREEN/BLUE FLOWER DESIGN BIG MUG</t>
  </si>
  <si>
    <t xml:space="preserve">37489C</t>
  </si>
  <si>
    <t xml:space="preserve">GREETING CARD, BLACKPOOL ROCK</t>
  </si>
  <si>
    <t xml:space="preserve">84250M</t>
  </si>
  <si>
    <t xml:space="preserve">GREETING CARD, OVERCROWDED POOL.</t>
  </si>
  <si>
    <t xml:space="preserve">84251G</t>
  </si>
  <si>
    <t xml:space="preserve">GREETING CARD, RITA</t>
  </si>
  <si>
    <t xml:space="preserve">84251F</t>
  </si>
  <si>
    <t xml:space="preserve">GREETING CARD, STICKY GORDON</t>
  </si>
  <si>
    <t xml:space="preserve">84251B</t>
  </si>
  <si>
    <t xml:space="preserve">GREETING CARD, THE BLACK CAT</t>
  </si>
  <si>
    <t xml:space="preserve">84251J</t>
  </si>
  <si>
    <t xml:space="preserve">GREETING CARD, TWO SISTERS.</t>
  </si>
  <si>
    <t xml:space="preserve">84251C</t>
  </si>
  <si>
    <t xml:space="preserve">GREETING CARD,SQUARE, DOUGHNUTS</t>
  </si>
  <si>
    <t xml:space="preserve">84249A</t>
  </si>
  <si>
    <t xml:space="preserve">GREY ACRYLIC FACETED BANGLE</t>
  </si>
  <si>
    <t xml:space="preserve">90210A</t>
  </si>
  <si>
    <t xml:space="preserve">GREY FLORAL FELTCRAFT SHOULDER BAG</t>
  </si>
  <si>
    <t xml:space="preserve">20967</t>
  </si>
  <si>
    <t xml:space="preserve">GREY HEART HOT WATER BOTTLE</t>
  </si>
  <si>
    <t xml:space="preserve">22113</t>
  </si>
  <si>
    <t xml:space="preserve">GROOVY CACTUS INFLATABLE</t>
  </si>
  <si>
    <t xml:space="preserve">10080</t>
  </si>
  <si>
    <t xml:space="preserve">GROW A FLYTRAP OR SUNFLOWER IN TIN</t>
  </si>
  <si>
    <t xml:space="preserve">GROW YOUR OWN BASIL IN ENAMEL MUG</t>
  </si>
  <si>
    <t xml:space="preserve">22441</t>
  </si>
  <si>
    <t xml:space="preserve">GROW YOUR OWN FLOWERS SET OF 3</t>
  </si>
  <si>
    <t xml:space="preserve">GROW YOUR OWN HERBS SET OF 3</t>
  </si>
  <si>
    <t xml:space="preserve">22443</t>
  </si>
  <si>
    <t xml:space="preserve">GROW YOUR OWN PLANT IN A CAN</t>
  </si>
  <si>
    <t xml:space="preserve">22444</t>
  </si>
  <si>
    <t xml:space="preserve">GUMBALL COAT RACK</t>
  </si>
  <si>
    <t xml:space="preserve">GUMBALL CUSTOM CARS TOP TRUMPS GAME</t>
  </si>
  <si>
    <t xml:space="preserve">21853</t>
  </si>
  <si>
    <t xml:space="preserve">GUMBALL MAGAZINE RACK</t>
  </si>
  <si>
    <t xml:space="preserve">22781</t>
  </si>
  <si>
    <t xml:space="preserve">GUMBALL MONOCHROME COAT RACK</t>
  </si>
  <si>
    <t xml:space="preserve">22719</t>
  </si>
  <si>
    <t xml:space="preserve">Glow In The Dark Shot Glasses</t>
  </si>
  <si>
    <t xml:space="preserve">21119</t>
  </si>
  <si>
    <t xml:space="preserve">HAIRCLIPS FORTIES FABRIC ASSORTED</t>
  </si>
  <si>
    <t xml:space="preserve">22319</t>
  </si>
  <si>
    <t xml:space="preserve">HALL CABINET WITH 3 DRAWERS</t>
  </si>
  <si>
    <t xml:space="preserve">22833</t>
  </si>
  <si>
    <t xml:space="preserve">HAND OPEN SHAPE BLACK</t>
  </si>
  <si>
    <t xml:space="preserve">35001B</t>
  </si>
  <si>
    <t xml:space="preserve">HAND OPEN SHAPE DECO.WHITE</t>
  </si>
  <si>
    <t xml:space="preserve">35001W</t>
  </si>
  <si>
    <t xml:space="preserve">HAND OPEN SHAPE GOLD</t>
  </si>
  <si>
    <t xml:space="preserve">35001G</t>
  </si>
  <si>
    <t xml:space="preserve">HAND OPEN SHAPE PINK</t>
  </si>
  <si>
    <t xml:space="preserve">35001P</t>
  </si>
  <si>
    <t xml:space="preserve">HAND OVER THE CHOCOLATE SIGN</t>
  </si>
  <si>
    <t xml:space="preserve">HAND TOWEL PALE BLUE W FLOWERS</t>
  </si>
  <si>
    <t xml:space="preserve">84916</t>
  </si>
  <si>
    <t xml:space="preserve">HAND TOWEL PINK FLOWER AND DAISY</t>
  </si>
  <si>
    <t xml:space="preserve">84915</t>
  </si>
  <si>
    <t xml:space="preserve">HAND WARMER BABUSHKA DESIGN</t>
  </si>
  <si>
    <t xml:space="preserve">HAND WARMER BIRD DESIGN</t>
  </si>
  <si>
    <t xml:space="preserve">HAND WARMER OWL DESIGN</t>
  </si>
  <si>
    <t xml:space="preserve">HAND WARMER RED RETROSPOT</t>
  </si>
  <si>
    <t xml:space="preserve">HAND WARMER SCOTTY DOG DESIGN</t>
  </si>
  <si>
    <t xml:space="preserve">22866</t>
  </si>
  <si>
    <t xml:space="preserve">HAND WARMER UNION JACK</t>
  </si>
  <si>
    <t xml:space="preserve">HANDZ-OFF CAR FRESHENER</t>
  </si>
  <si>
    <t xml:space="preserve">DCGS0044</t>
  </si>
  <si>
    <t xml:space="preserve">HANGING BAUBLE T-LIGHT HOLDER LARGE</t>
  </si>
  <si>
    <t xml:space="preserve">20894</t>
  </si>
  <si>
    <t xml:space="preserve">HANGING BAUBLE T-LIGHT HOLDER SMALL</t>
  </si>
  <si>
    <t xml:space="preserve">20893</t>
  </si>
  <si>
    <t xml:space="preserve">HANGING BUTTERFLY EGG</t>
  </si>
  <si>
    <t xml:space="preserve">85189</t>
  </si>
  <si>
    <t xml:space="preserve">HANGING FAIRY CAKE DECORATION</t>
  </si>
  <si>
    <t xml:space="preserve">35924</t>
  </si>
  <si>
    <t xml:space="preserve">HANGING FLOWERS+MIRROR,BLUE</t>
  </si>
  <si>
    <t xml:space="preserve">35824B</t>
  </si>
  <si>
    <t xml:space="preserve">HANGING FLOWERS+MIRROR,CLEAR</t>
  </si>
  <si>
    <t xml:space="preserve">35824C</t>
  </si>
  <si>
    <t xml:space="preserve">HANGING FLOWERS+MIRROR,PINK</t>
  </si>
  <si>
    <t xml:space="preserve">35824P</t>
  </si>
  <si>
    <t xml:space="preserve">HANGING GLASS ETCHED TEALIGHT</t>
  </si>
  <si>
    <t xml:space="preserve">21651</t>
  </si>
  <si>
    <t xml:space="preserve">HANGING HEART BASKET</t>
  </si>
  <si>
    <t xml:space="preserve">85195</t>
  </si>
  <si>
    <t xml:space="preserve">HANGING HEART JAR T-LIGHT HOLDER</t>
  </si>
  <si>
    <t xml:space="preserve">84978</t>
  </si>
  <si>
    <t xml:space="preserve">HANGING HEART ZINC T-LIGHT HOLDER</t>
  </si>
  <si>
    <t xml:space="preserve">84970S</t>
  </si>
  <si>
    <t xml:space="preserve">HANGING JAM JAR T-LIGHT HOLDER</t>
  </si>
  <si>
    <t xml:space="preserve">HANGING MEDINA LANTERN LARGE</t>
  </si>
  <si>
    <t xml:space="preserve">21323</t>
  </si>
  <si>
    <t xml:space="preserve">HANGING MEDINA LANTERN SMALL</t>
  </si>
  <si>
    <t xml:space="preserve">21324</t>
  </si>
  <si>
    <t xml:space="preserve">HANGING METAL BIRD BATH</t>
  </si>
  <si>
    <t xml:space="preserve">21765</t>
  </si>
  <si>
    <t xml:space="preserve">HANGING METAL HEART LANTERN</t>
  </si>
  <si>
    <t xml:space="preserve">HANGING METAL STAR LANTERN</t>
  </si>
  <si>
    <t xml:space="preserve">HANGING PHOTO CLIP ROPE LADDER</t>
  </si>
  <si>
    <t xml:space="preserve">47480</t>
  </si>
  <si>
    <t xml:space="preserve">HANGING RIDGE GLASS T-LIGHT HOLDER</t>
  </si>
  <si>
    <t xml:space="preserve">21655</t>
  </si>
  <si>
    <t xml:space="preserve">HANGING SPRING FLOWER EGG LARGE</t>
  </si>
  <si>
    <t xml:space="preserve">85194L</t>
  </si>
  <si>
    <t xml:space="preserve">HANGING SPRING FLOWER EGG SMALL</t>
  </si>
  <si>
    <t xml:space="preserve">85194S</t>
  </si>
  <si>
    <t xml:space="preserve">HANGING SPRING FLOWER HEART SMALL</t>
  </si>
  <si>
    <t xml:space="preserve">85192S</t>
  </si>
  <si>
    <t xml:space="preserve">HANGING WOOD AND FELT BUTTERFLY</t>
  </si>
  <si>
    <t xml:space="preserve">85203</t>
  </si>
  <si>
    <t xml:space="preserve">HANGING WOOD AND FELT FLOWER</t>
  </si>
  <si>
    <t xml:space="preserve">85204</t>
  </si>
  <si>
    <t xml:space="preserve">HANGING WOOD AND FELT HEART</t>
  </si>
  <si>
    <t xml:space="preserve">85202</t>
  </si>
  <si>
    <t xml:space="preserve">HAPPY ANNIVERSARY CANDLE LETTERS</t>
  </si>
  <si>
    <t xml:space="preserve">72140F</t>
  </si>
  <si>
    <t xml:space="preserve">HAPPY BIRTHDAY CARD STRIPEY TEDDY</t>
  </si>
  <si>
    <t xml:space="preserve">84201B</t>
  </si>
  <si>
    <t xml:space="preserve">HAPPY BIRTHDAY CARD TEDDY/CAKE</t>
  </si>
  <si>
    <t xml:space="preserve">84201C</t>
  </si>
  <si>
    <t xml:space="preserve">HAPPY BIRTHDAY GINGER CAT CARD</t>
  </si>
  <si>
    <t xml:space="preserve">84205C</t>
  </si>
  <si>
    <t xml:space="preserve">HAPPY EASTER HANGING DECORATION</t>
  </si>
  <si>
    <t xml:space="preserve">22270</t>
  </si>
  <si>
    <t xml:space="preserve">HAPPY STENCIL CRAFT</t>
  </si>
  <si>
    <t xml:space="preserve">HARDMAN MUG 3 ASSORTED</t>
  </si>
  <si>
    <t xml:space="preserve">37468</t>
  </si>
  <si>
    <t xml:space="preserve">HAWAIIAN GRASS SKIRT</t>
  </si>
  <si>
    <t xml:space="preserve">21562</t>
  </si>
  <si>
    <t xml:space="preserve">HAYNES CAMPER SHOULDER BAG</t>
  </si>
  <si>
    <t xml:space="preserve">DCGS0004</t>
  </si>
  <si>
    <t xml:space="preserve">HAYNES MINI-COOPER PLAYING CARDS</t>
  </si>
  <si>
    <t xml:space="preserve">DCGS0041</t>
  </si>
  <si>
    <t xml:space="preserve">HEADS AND TAILS SPORTING FUN</t>
  </si>
  <si>
    <t xml:space="preserve">22548</t>
  </si>
  <si>
    <t xml:space="preserve">HEART BUTTONS JEWELLERY BOX</t>
  </si>
  <si>
    <t xml:space="preserve">82095</t>
  </si>
  <si>
    <t xml:space="preserve">HEART CALCULATOR</t>
  </si>
  <si>
    <t xml:space="preserve">HEART DECORATION PAINTED ZINC</t>
  </si>
  <si>
    <t xml:space="preserve">22335</t>
  </si>
  <si>
    <t xml:space="preserve">HEART DECORATION RUSTIC HANGING</t>
  </si>
  <si>
    <t xml:space="preserve">22161</t>
  </si>
  <si>
    <t xml:space="preserve">HEART DECORATION WITH PEARLS</t>
  </si>
  <si>
    <t xml:space="preserve">22156</t>
  </si>
  <si>
    <t xml:space="preserve">HEART EAR MUFF HEADPHONES</t>
  </si>
  <si>
    <t xml:space="preserve">20783</t>
  </si>
  <si>
    <t xml:space="preserve">HEART FILIGREE DOVE LARGE</t>
  </si>
  <si>
    <t xml:space="preserve">22295</t>
  </si>
  <si>
    <t xml:space="preserve">HEART FILIGREE DOVE SMALL</t>
  </si>
  <si>
    <t xml:space="preserve">22294</t>
  </si>
  <si>
    <t xml:space="preserve">HEART GARLAND RUSTIC PADDED</t>
  </si>
  <si>
    <t xml:space="preserve">22162</t>
  </si>
  <si>
    <t xml:space="preserve">HEART IVORY TRELLIS LARGE</t>
  </si>
  <si>
    <t xml:space="preserve">22296</t>
  </si>
  <si>
    <t xml:space="preserve">HEART IVORY TRELLIS SMALL</t>
  </si>
  <si>
    <t xml:space="preserve">22297</t>
  </si>
  <si>
    <t xml:space="preserve">HEART OF WICKER LARGE</t>
  </si>
  <si>
    <t xml:space="preserve">22470</t>
  </si>
  <si>
    <t xml:space="preserve">HEART OF WICKER SMALL</t>
  </si>
  <si>
    <t xml:space="preserve">HEART SHAPE BUTTON FRAME</t>
  </si>
  <si>
    <t xml:space="preserve">82093</t>
  </si>
  <si>
    <t xml:space="preserve">HEART SHAPE WIRELESS DOORBELL</t>
  </si>
  <si>
    <t xml:space="preserve">79160</t>
  </si>
  <si>
    <t xml:space="preserve">HEART SHAPED MIRROR</t>
  </si>
  <si>
    <t xml:space="preserve">84975</t>
  </si>
  <si>
    <t xml:space="preserve">HEART STRING MEMO HOLDER HANGING</t>
  </si>
  <si>
    <t xml:space="preserve">22163</t>
  </si>
  <si>
    <t xml:space="preserve">HEART T-LIGHT HOLDER</t>
  </si>
  <si>
    <t xml:space="preserve">21814</t>
  </si>
  <si>
    <t xml:space="preserve">85118</t>
  </si>
  <si>
    <t xml:space="preserve">HEART WOODEN CHRISTMAS DECORATION</t>
  </si>
  <si>
    <t xml:space="preserve">HEARTS GIFT TAPE</t>
  </si>
  <si>
    <t xml:space="preserve">21879</t>
  </si>
  <si>
    <t xml:space="preserve">HEARTS PENCIL/RUBBER+5 MINI PENCILS</t>
  </si>
  <si>
    <t xml:space="preserve">16256C</t>
  </si>
  <si>
    <t xml:space="preserve">HEARTS STICKERS</t>
  </si>
  <si>
    <t xml:space="preserve">21677</t>
  </si>
  <si>
    <t xml:space="preserve">HEARTS WRAPPING TAPE</t>
  </si>
  <si>
    <t xml:space="preserve">10123C</t>
  </si>
  <si>
    <t xml:space="preserve">HEAVENS SCENT FRAGRANCE OILS ASSTD</t>
  </si>
  <si>
    <t xml:space="preserve">17001</t>
  </si>
  <si>
    <t xml:space="preserve">HELLO SAILOR BATHROOM SET</t>
  </si>
  <si>
    <t xml:space="preserve">84842</t>
  </si>
  <si>
    <t xml:space="preserve">HELLO SAILOR BLUE SOAP HOLDER</t>
  </si>
  <si>
    <t xml:space="preserve">84849A</t>
  </si>
  <si>
    <t xml:space="preserve">HEN &amp; 2 CHICKS IN BASKET</t>
  </si>
  <si>
    <t xml:space="preserve">22657</t>
  </si>
  <si>
    <t xml:space="preserve">HEN HOUSE DECORATION</t>
  </si>
  <si>
    <t xml:space="preserve">22284</t>
  </si>
  <si>
    <t xml:space="preserve">HEN HOUSE W CHICK IN NEST</t>
  </si>
  <si>
    <t xml:space="preserve">84227</t>
  </si>
  <si>
    <t xml:space="preserve">HEN HOUSE W CHICK STANDING</t>
  </si>
  <si>
    <t xml:space="preserve">84228</t>
  </si>
  <si>
    <t xml:space="preserve">HEN HOUSE W FAMILY IN BARN &amp; NEST</t>
  </si>
  <si>
    <t xml:space="preserve">84226</t>
  </si>
  <si>
    <t xml:space="preserve">HEN PARTY CORDON BARRIER TAPE</t>
  </si>
  <si>
    <t xml:space="preserve">22954</t>
  </si>
  <si>
    <t xml:space="preserve">HERB MARKER BASIL</t>
  </si>
  <si>
    <t xml:space="preserve">22920</t>
  </si>
  <si>
    <t xml:space="preserve">HERB MARKER CHIVES</t>
  </si>
  <si>
    <t xml:space="preserve">22921</t>
  </si>
  <si>
    <t xml:space="preserve">HERB MARKER MINT</t>
  </si>
  <si>
    <t xml:space="preserve">22919</t>
  </si>
  <si>
    <t xml:space="preserve">HERB MARKER PARSLEY</t>
  </si>
  <si>
    <t xml:space="preserve">22918</t>
  </si>
  <si>
    <t xml:space="preserve">HERB MARKER ROSEMARY</t>
  </si>
  <si>
    <t xml:space="preserve">22917</t>
  </si>
  <si>
    <t xml:space="preserve">HERB MARKER THYME</t>
  </si>
  <si>
    <t xml:space="preserve">22916</t>
  </si>
  <si>
    <t xml:space="preserve">HEXAGONAL CRYSTAL PERFUME BOTTLE</t>
  </si>
  <si>
    <t xml:space="preserve">84814A</t>
  </si>
  <si>
    <t xml:space="preserve">HI TEC ALPINE HAND WARMER</t>
  </si>
  <si>
    <t xml:space="preserve">70007</t>
  </si>
  <si>
    <t xml:space="preserve">HIGH SCHOOL MUSICAL 3 TOP TRUMPS</t>
  </si>
  <si>
    <t xml:space="preserve">21858</t>
  </si>
  <si>
    <t xml:space="preserve">HILDA CANDY SPOT RABBIT</t>
  </si>
  <si>
    <t xml:space="preserve">85096</t>
  </si>
  <si>
    <t xml:space="preserve">HIPPY CHIC DECORATIVE PARASOL</t>
  </si>
  <si>
    <t xml:space="preserve">21631</t>
  </si>
  <si>
    <t xml:space="preserve">HOLIDAY FUN LUDO</t>
  </si>
  <si>
    <t xml:space="preserve">HOLLY TOP CHRISTMAS STOCKING</t>
  </si>
  <si>
    <t xml:space="preserve">85084</t>
  </si>
  <si>
    <t xml:space="preserve">HOLLYHOCK SQUARE HANDY TIN</t>
  </si>
  <si>
    <t xml:space="preserve">84845A</t>
  </si>
  <si>
    <t xml:space="preserve">HOME BUILDING BLOCK WORD</t>
  </si>
  <si>
    <t xml:space="preserve">21754</t>
  </si>
  <si>
    <t xml:space="preserve">HOME GARLAND PAINTED ZINC</t>
  </si>
  <si>
    <t xml:space="preserve">22342</t>
  </si>
  <si>
    <t xml:space="preserve">HOME SMALL WOOD LETTERS</t>
  </si>
  <si>
    <t xml:space="preserve">21363</t>
  </si>
  <si>
    <t xml:space="preserve">HOME SWEET HOME BLACKBOARD</t>
  </si>
  <si>
    <t xml:space="preserve">21185</t>
  </si>
  <si>
    <t xml:space="preserve">HOME SWEET HOME METAL SIGN</t>
  </si>
  <si>
    <t xml:space="preserve">HOME SWEET HOME MUG</t>
  </si>
  <si>
    <t xml:space="preserve">21877</t>
  </si>
  <si>
    <t xml:space="preserve">HOMEMADE JAM SCENTED CANDLES</t>
  </si>
  <si>
    <t xml:space="preserve">22969</t>
  </si>
  <si>
    <t xml:space="preserve">HOOK, 1 HANGER ,MAGIC GARDEN</t>
  </si>
  <si>
    <t xml:space="preserve">22245</t>
  </si>
  <si>
    <t xml:space="preserve">HOOK, 3 HANGER ,MAGIC GARDEN</t>
  </si>
  <si>
    <t xml:space="preserve">22244</t>
  </si>
  <si>
    <t xml:space="preserve">HOOK, 5 HANGER , MAGIC TOADSTOOL</t>
  </si>
  <si>
    <t xml:space="preserve">22242</t>
  </si>
  <si>
    <t xml:space="preserve">HOOK, 5 HANGER ,MAGIC TOADSTOOL RED</t>
  </si>
  <si>
    <t xml:space="preserve">22243</t>
  </si>
  <si>
    <t xml:space="preserve">HOT BATHS METAL SIGN</t>
  </si>
  <si>
    <t xml:space="preserve">82583</t>
  </si>
  <si>
    <t xml:space="preserve">HOT BATHS SOAP HOLDER</t>
  </si>
  <si>
    <t xml:space="preserve">84849D</t>
  </si>
  <si>
    <t xml:space="preserve">HOT WATER BOTTLE BABUSHKA</t>
  </si>
  <si>
    <t xml:space="preserve">22837</t>
  </si>
  <si>
    <t xml:space="preserve">HOT WATER BOTTLE I AM SO POORLY</t>
  </si>
  <si>
    <t xml:space="preserve">HOT WATER BOTTLE TEA AND SYMPATHY</t>
  </si>
  <si>
    <t xml:space="preserve">HOUSE SHAPE PENCIL SHARPENER</t>
  </si>
  <si>
    <t xml:space="preserve">16219</t>
  </si>
  <si>
    <t xml:space="preserve">HOUSE WRECKING METAL SIGN</t>
  </si>
  <si>
    <t xml:space="preserve">21904</t>
  </si>
  <si>
    <t xml:space="preserve">HYACINTH BULB T-LIGHT CANDLES</t>
  </si>
  <si>
    <t xml:space="preserve">85172</t>
  </si>
  <si>
    <t xml:space="preserve">Hypochondriac Pill Stress Ball</t>
  </si>
  <si>
    <t xml:space="preserve">21596</t>
  </si>
  <si>
    <t xml:space="preserve">I CAN ONLY PLEASE ONE PERSON MUG</t>
  </si>
  <si>
    <t xml:space="preserve">21870</t>
  </si>
  <si>
    <t xml:space="preserve">I'M ON HOLIDAY METAL SIGN</t>
  </si>
  <si>
    <t xml:space="preserve">ICE CREAM DESIGN GARDEN PARASOL</t>
  </si>
  <si>
    <t xml:space="preserve">15058C</t>
  </si>
  <si>
    <t xml:space="preserve">ICON ALARM CLOCK,FUSCHIA PIN UP</t>
  </si>
  <si>
    <t xml:space="preserve">81985A</t>
  </si>
  <si>
    <t xml:space="preserve">ICON PLACEMAT POP ART ELVIS</t>
  </si>
  <si>
    <t xml:space="preserve">47518F</t>
  </si>
  <si>
    <t xml:space="preserve">IF YOU CAN'T STAND THE HEAT MUG</t>
  </si>
  <si>
    <t xml:space="preserve">21873</t>
  </si>
  <si>
    <t xml:space="preserve">INCENSE BAZAAR CANNABIS</t>
  </si>
  <si>
    <t xml:space="preserve">17027A</t>
  </si>
  <si>
    <t xml:space="preserve">INFLATABLE POLITICAL GLOBE</t>
  </si>
  <si>
    <t xml:space="preserve">10002</t>
  </si>
  <si>
    <t xml:space="preserve">INLAID WOOD INCENSE HOLDER</t>
  </si>
  <si>
    <t xml:space="preserve">17039</t>
  </si>
  <si>
    <t xml:space="preserve">IVORY EMBROIDERED QUILT</t>
  </si>
  <si>
    <t xml:space="preserve">22803</t>
  </si>
  <si>
    <t xml:space="preserve">IVORY ENCHANTED FOREST PLACEMAT</t>
  </si>
  <si>
    <t xml:space="preserve">85114B</t>
  </si>
  <si>
    <t xml:space="preserve">IVORY FELT EASTER RABBIT GARLAND</t>
  </si>
  <si>
    <t xml:space="preserve">85205A</t>
  </si>
  <si>
    <t xml:space="preserve">IVORY GIANT GARDEN THERMOMETER</t>
  </si>
  <si>
    <t xml:space="preserve">22926</t>
  </si>
  <si>
    <t xml:space="preserve">IVORY GOLD METAL BAG CHARM</t>
  </si>
  <si>
    <t xml:space="preserve">90049</t>
  </si>
  <si>
    <t xml:space="preserve">IVORY HANGING BIRD PLANTER</t>
  </si>
  <si>
    <t xml:space="preserve">84761</t>
  </si>
  <si>
    <t xml:space="preserve">IVORY HANGING DECORATION BIRD</t>
  </si>
  <si>
    <t xml:space="preserve">IVORY HANGING DECORATION BUTTERFLY</t>
  </si>
  <si>
    <t xml:space="preserve">21384</t>
  </si>
  <si>
    <t xml:space="preserve">IVORY HANGING DECORATION CHICKEN</t>
  </si>
  <si>
    <t xml:space="preserve">21388</t>
  </si>
  <si>
    <t xml:space="preserve">IVORY HANGING DECORATION EGG</t>
  </si>
  <si>
    <t xml:space="preserve">21386</t>
  </si>
  <si>
    <t xml:space="preserve">IVORY HANGING DECORATION HEART</t>
  </si>
  <si>
    <t xml:space="preserve">21385</t>
  </si>
  <si>
    <t xml:space="preserve">IVORY HANGING DECORATION RABBIT</t>
  </si>
  <si>
    <t xml:space="preserve">21387</t>
  </si>
  <si>
    <t xml:space="preserve">IVORY KITCHEN SCALES</t>
  </si>
  <si>
    <t xml:space="preserve">IVORY KNITTED MUG COSY</t>
  </si>
  <si>
    <t xml:space="preserve">22310</t>
  </si>
  <si>
    <t xml:space="preserve">IVORY LOVE BIRD CANDLE</t>
  </si>
  <si>
    <t xml:space="preserve">85169A</t>
  </si>
  <si>
    <t xml:space="preserve">IVORY PAPER CUP CAKE CASES</t>
  </si>
  <si>
    <t xml:space="preserve">21215</t>
  </si>
  <si>
    <t xml:space="preserve">IVORY PENDANT SHELL NECKLACE</t>
  </si>
  <si>
    <t xml:space="preserve">90142B</t>
  </si>
  <si>
    <t xml:space="preserve">IVORY PENDANT TRIPLE SHELL NECKLACE</t>
  </si>
  <si>
    <t xml:space="preserve">90141B</t>
  </si>
  <si>
    <t xml:space="preserve">IVORY PILLAR CANDLE GOLD FLOCK</t>
  </si>
  <si>
    <t xml:space="preserve">72799F</t>
  </si>
  <si>
    <t xml:space="preserve">IVORY PILLAR CANDLE SILVER FLOCK</t>
  </si>
  <si>
    <t xml:space="preserve">IVORY ROSE LAMPSHADE</t>
  </si>
  <si>
    <t xml:space="preserve">35085E</t>
  </si>
  <si>
    <t xml:space="preserve">IVORY SCULPTED RND CANDLE</t>
  </si>
  <si>
    <t xml:space="preserve">72709</t>
  </si>
  <si>
    <t xml:space="preserve">IVORY SHELL HEART EARRINGS</t>
  </si>
  <si>
    <t xml:space="preserve">90033</t>
  </si>
  <si>
    <t xml:space="preserve">IVORY SHELL HEART NECKLACE</t>
  </si>
  <si>
    <t xml:space="preserve">90032</t>
  </si>
  <si>
    <t xml:space="preserve">IVORY STRING CURTAIN WITH POLE</t>
  </si>
  <si>
    <t xml:space="preserve">35637A</t>
  </si>
  <si>
    <t xml:space="preserve">IVY HEART WREATH</t>
  </si>
  <si>
    <t xml:space="preserve">21349</t>
  </si>
  <si>
    <t xml:space="preserve">JACOBS LADDER SMALL</t>
  </si>
  <si>
    <t xml:space="preserve">35015</t>
  </si>
  <si>
    <t xml:space="preserve">JADE CRYSTAL+GLASS BRACELET</t>
  </si>
  <si>
    <t xml:space="preserve">90122B</t>
  </si>
  <si>
    <t xml:space="preserve">JADE DROP EARRINGS W FILIGREE</t>
  </si>
  <si>
    <t xml:space="preserve">90192</t>
  </si>
  <si>
    <t xml:space="preserve">JADE GREEN ENAMEL HAIR COMB</t>
  </si>
  <si>
    <t xml:space="preserve">90005A</t>
  </si>
  <si>
    <t xml:space="preserve">JADE GREEN PAIR ENAMEL HAIR SLIDES</t>
  </si>
  <si>
    <t xml:space="preserve">90004A</t>
  </si>
  <si>
    <t xml:space="preserve">JAM JAR WITH GREEN LID</t>
  </si>
  <si>
    <t xml:space="preserve">22963</t>
  </si>
  <si>
    <t xml:space="preserve">JAM JAR WITH PINK LID</t>
  </si>
  <si>
    <t xml:space="preserve">22962</t>
  </si>
  <si>
    <t xml:space="preserve">JAM MAKING SET PRINTED</t>
  </si>
  <si>
    <t xml:space="preserve">JAM MAKING SET WITH JARS</t>
  </si>
  <si>
    <t xml:space="preserve">JAPANESE CROCHETED ANIMAL</t>
  </si>
  <si>
    <t xml:space="preserve">84670</t>
  </si>
  <si>
    <t xml:space="preserve">JARDIN DE FEMME SCENTED CANDLE</t>
  </si>
  <si>
    <t xml:space="preserve">20889</t>
  </si>
  <si>
    <t xml:space="preserve">JARDIN ETCHED GLASS BUTTER DISH</t>
  </si>
  <si>
    <t xml:space="preserve">85144</t>
  </si>
  <si>
    <t xml:space="preserve">JARDIN ETCHED GLASS CANDLEHLDR LONG</t>
  </si>
  <si>
    <t xml:space="preserve">85147</t>
  </si>
  <si>
    <t xml:space="preserve">JARDIN ETCHED GLASS FRUITBOWL</t>
  </si>
  <si>
    <t xml:space="preserve">85141</t>
  </si>
  <si>
    <t xml:space="preserve">JARDIN ETCHED GLASS GINGER JAR</t>
  </si>
  <si>
    <t xml:space="preserve">85142</t>
  </si>
  <si>
    <t xml:space="preserve">JARDIN ETCHED GLASS LARGE BELL JAR</t>
  </si>
  <si>
    <t xml:space="preserve">85145</t>
  </si>
  <si>
    <t xml:space="preserve">JARDIN ETCHED GLASS SMALL BELL JAR</t>
  </si>
  <si>
    <t xml:space="preserve">85146</t>
  </si>
  <si>
    <t xml:space="preserve">JASMINE TEA INCENSE IN TIN</t>
  </si>
  <si>
    <t xml:space="preserve">17091B</t>
  </si>
  <si>
    <t xml:space="preserve">JASMINE VOTIVE CANDLE</t>
  </si>
  <si>
    <t xml:space="preserve">85230F</t>
  </si>
  <si>
    <t xml:space="preserve">JAZZ HEARTS ADDRESS BOOK</t>
  </si>
  <si>
    <t xml:space="preserve">20996</t>
  </si>
  <si>
    <t xml:space="preserve">JAZZ HEARTS MAGNETIC MEMO PAD</t>
  </si>
  <si>
    <t xml:space="preserve">20991</t>
  </si>
  <si>
    <t xml:space="preserve">JAZZ HEARTS MEMO PAD</t>
  </si>
  <si>
    <t xml:space="preserve">20993</t>
  </si>
  <si>
    <t xml:space="preserve">JAZZ HEARTS PURSE NOTEBOOK</t>
  </si>
  <si>
    <t xml:space="preserve">20992</t>
  </si>
  <si>
    <t xml:space="preserve">JAZZ HEARTS SPIRAL NOTEPAD</t>
  </si>
  <si>
    <t xml:space="preserve">20994</t>
  </si>
  <si>
    <t xml:space="preserve">JELLY BABIES YELLOW SMALL BOWL</t>
  </si>
  <si>
    <t xml:space="preserve">84596K</t>
  </si>
  <si>
    <t xml:space="preserve">JET BLACK LAS VEGAS BRACELET ROUND</t>
  </si>
  <si>
    <t xml:space="preserve">90212B</t>
  </si>
  <si>
    <t xml:space="preserve">JET BLACK LAS VEGAS NECKLACE 45CM</t>
  </si>
  <si>
    <t xml:space="preserve">90211B</t>
  </si>
  <si>
    <t xml:space="preserve">JEWELLED DECORATION,BLUE</t>
  </si>
  <si>
    <t xml:space="preserve">35821B</t>
  </si>
  <si>
    <t xml:space="preserve">JEWELLED DECORATION,PINK</t>
  </si>
  <si>
    <t xml:space="preserve">35821P</t>
  </si>
  <si>
    <t xml:space="preserve">JIGSAW RABBIT AND BIRDHOUSE</t>
  </si>
  <si>
    <t xml:space="preserve">22233</t>
  </si>
  <si>
    <t xml:space="preserve">JIGSAW TOADSTOOLS 3 PIECE</t>
  </si>
  <si>
    <t xml:space="preserve">22232</t>
  </si>
  <si>
    <t xml:space="preserve">JIGSAW TREE WITH BIRDHOUSE</t>
  </si>
  <si>
    <t xml:space="preserve">22231</t>
  </si>
  <si>
    <t xml:space="preserve">JIGSAW TREE WITH WATERING CAN</t>
  </si>
  <si>
    <t xml:space="preserve">22230</t>
  </si>
  <si>
    <t xml:space="preserve">JINGLE BELLS TREE DECORATION</t>
  </si>
  <si>
    <t xml:space="preserve">21147</t>
  </si>
  <si>
    <t xml:space="preserve">JOY LARGE WOOD LETTERS</t>
  </si>
  <si>
    <t xml:space="preserve">21360</t>
  </si>
  <si>
    <t xml:space="preserve">JOY WOODEN BLOCK LETTERS</t>
  </si>
  <si>
    <t xml:space="preserve">22118</t>
  </si>
  <si>
    <t xml:space="preserve">JUMBO BAG BAROQUE BLACK WHITE</t>
  </si>
  <si>
    <t xml:space="preserve">JUMBO BAG CHARLIE AND LOLA TOYS</t>
  </si>
  <si>
    <t xml:space="preserve">21033</t>
  </si>
  <si>
    <t xml:space="preserve">JUMBO BAG DOLLY GIRL DESIGN</t>
  </si>
  <si>
    <t xml:space="preserve">22663</t>
  </si>
  <si>
    <t xml:space="preserve">JUMBO BAG OWLS</t>
  </si>
  <si>
    <t xml:space="preserve">JUMBO BAG PINK VINTAGE PAISLEY</t>
  </si>
  <si>
    <t xml:space="preserve">21929</t>
  </si>
  <si>
    <t xml:space="preserve">JUMBO BAG PINK WITH WHITE SPOTS</t>
  </si>
  <si>
    <t xml:space="preserve">JUMBO BAG RED RETROSPOT</t>
  </si>
  <si>
    <t xml:space="preserve">JUMBO BAG SCANDINAVIAN PAISLEY</t>
  </si>
  <si>
    <t xml:space="preserve">21928</t>
  </si>
  <si>
    <t xml:space="preserve">JUMBO BAG SPACEBOY DESIGN</t>
  </si>
  <si>
    <t xml:space="preserve">JUMBO BAG STRAWBERRY</t>
  </si>
  <si>
    <t xml:space="preserve">JUMBO BAG TOYS</t>
  </si>
  <si>
    <t xml:space="preserve">20711</t>
  </si>
  <si>
    <t xml:space="preserve">JUMBO BAG WOODLAND ANIMALS</t>
  </si>
  <si>
    <t xml:space="preserve">JUMBO SHOPPER VINTAGE RED PAISLEY</t>
  </si>
  <si>
    <t xml:space="preserve">22411</t>
  </si>
  <si>
    <t xml:space="preserve">JUMBO STORAGE BAG SKULLS</t>
  </si>
  <si>
    <t xml:space="preserve">21930</t>
  </si>
  <si>
    <t xml:space="preserve">JUMBO STORAGE BAG SUKI</t>
  </si>
  <si>
    <t xml:space="preserve">JUNGLE POPSICLES ICE LOLLY HOLDERS</t>
  </si>
  <si>
    <t xml:space="preserve">KASBAH LANTERN WITH GLASS</t>
  </si>
  <si>
    <t xml:space="preserve">21341</t>
  </si>
  <si>
    <t xml:space="preserve">KASHMIR FOLKART HEART DISHES</t>
  </si>
  <si>
    <t xml:space="preserve">84942</t>
  </si>
  <si>
    <t xml:space="preserve">KASHMIR FOLKART TUMBLERS</t>
  </si>
  <si>
    <t xml:space="preserve">84937</t>
  </si>
  <si>
    <t xml:space="preserve">KEEP OUT BOYS DOOR HANGER</t>
  </si>
  <si>
    <t xml:space="preserve">21161</t>
  </si>
  <si>
    <t xml:space="preserve">KEEP OUT GIRLS DOOR HANGER</t>
  </si>
  <si>
    <t xml:space="preserve">21160</t>
  </si>
  <si>
    <t xml:space="preserve">KENSINGTON COFFEE SET</t>
  </si>
  <si>
    <t xml:space="preserve">20748</t>
  </si>
  <si>
    <t xml:space="preserve">KEY CABINET MA CAMPAGNE</t>
  </si>
  <si>
    <t xml:space="preserve">22763</t>
  </si>
  <si>
    <t xml:space="preserve">KEY FOB , BACK DOOR</t>
  </si>
  <si>
    <t xml:space="preserve">21901</t>
  </si>
  <si>
    <t xml:space="preserve">KEY FOB , FRONT DOOR</t>
  </si>
  <si>
    <t xml:space="preserve">21902</t>
  </si>
  <si>
    <t xml:space="preserve">KEY FOB , GARAGE DESIGN</t>
  </si>
  <si>
    <t xml:space="preserve">21899</t>
  </si>
  <si>
    <t xml:space="preserve">KEY FOB , SHED</t>
  </si>
  <si>
    <t xml:space="preserve">21900</t>
  </si>
  <si>
    <t xml:space="preserve">KEY-RING CORKSCREW</t>
  </si>
  <si>
    <t xml:space="preserve">DCGS0037</t>
  </si>
  <si>
    <t xml:space="preserve">KID'S CHALKBOARD/EASEL</t>
  </si>
  <si>
    <t xml:space="preserve">SP1002</t>
  </si>
  <si>
    <t xml:space="preserve">KIDS RAIN MAC BLUE</t>
  </si>
  <si>
    <t xml:space="preserve">21788</t>
  </si>
  <si>
    <t xml:space="preserve">KIDS RAIN MAC PINK</t>
  </si>
  <si>
    <t xml:space="preserve">21789</t>
  </si>
  <si>
    <t xml:space="preserve">KINGS CHOICE BISCUIT TIN</t>
  </si>
  <si>
    <t xml:space="preserve">KINGS CHOICE CIGAR BOX MATCHES</t>
  </si>
  <si>
    <t xml:space="preserve">21590</t>
  </si>
  <si>
    <t xml:space="preserve">KINGS CHOICE GIANT TUBE MATCHES</t>
  </si>
  <si>
    <t xml:space="preserve">21586</t>
  </si>
  <si>
    <t xml:space="preserve">KINGS CHOICE MUG</t>
  </si>
  <si>
    <t xml:space="preserve">21875</t>
  </si>
  <si>
    <t xml:space="preserve">KINGS CHOICE SMALL TUBE MATCHES</t>
  </si>
  <si>
    <t xml:space="preserve">21582</t>
  </si>
  <si>
    <t xml:space="preserve">KINGS CHOICE TEA CADDY</t>
  </si>
  <si>
    <t xml:space="preserve">22358</t>
  </si>
  <si>
    <t xml:space="preserve">KISS REINDEER SCANDINAVIAN STOCKING</t>
  </si>
  <si>
    <t xml:space="preserve">85083</t>
  </si>
  <si>
    <t xml:space="preserve">KISSING REINDEER TABLE RUNNER</t>
  </si>
  <si>
    <t xml:space="preserve">85077</t>
  </si>
  <si>
    <t xml:space="preserve">KITCHEN FLOWER POTS WALL PLAQUE</t>
  </si>
  <si>
    <t xml:space="preserve">84637</t>
  </si>
  <si>
    <t xml:space="preserve">KITCHEN METAL SIGN</t>
  </si>
  <si>
    <t xml:space="preserve">82578</t>
  </si>
  <si>
    <t xml:space="preserve">KITTENS DESIGN FLANNEL</t>
  </si>
  <si>
    <t xml:space="preserve">21944</t>
  </si>
  <si>
    <t xml:space="preserve">KITTY PENCIL ERASERS</t>
  </si>
  <si>
    <t xml:space="preserve">16236</t>
  </si>
  <si>
    <t xml:space="preserve">KNITTED POM POM HOT WATER BOTTLE</t>
  </si>
  <si>
    <t xml:space="preserve">84030B</t>
  </si>
  <si>
    <t xml:space="preserve">KNITTED RABBIT DOLL</t>
  </si>
  <si>
    <t xml:space="preserve">84539</t>
  </si>
  <si>
    <t xml:space="preserve">KNITTED RAINBOW HOT WATER BOTTLE</t>
  </si>
  <si>
    <t xml:space="preserve">84030C</t>
  </si>
  <si>
    <t xml:space="preserve">KNITTED UNION FLAG HOT WATER BOTTLE</t>
  </si>
  <si>
    <t xml:space="preserve">84029G</t>
  </si>
  <si>
    <t xml:space="preserve">LA PALMIERA METAL SIGN CALENDAR</t>
  </si>
  <si>
    <t xml:space="preserve">84924D</t>
  </si>
  <si>
    <t xml:space="preserve">LA PALMIERA TILE COASTER</t>
  </si>
  <si>
    <t xml:space="preserve">84926D</t>
  </si>
  <si>
    <t xml:space="preserve">LA PALMIERA TILE HOOK</t>
  </si>
  <si>
    <t xml:space="preserve">84927D</t>
  </si>
  <si>
    <t xml:space="preserve">LA PALMIERA WALL THERMOMETER</t>
  </si>
  <si>
    <t xml:space="preserve">84925D</t>
  </si>
  <si>
    <t xml:space="preserve">LA STREGA CANVAS PICTURE</t>
  </si>
  <si>
    <t xml:space="preserve">84367</t>
  </si>
  <si>
    <t xml:space="preserve">LADIES &amp; GENTLEMEN METAL SIGN</t>
  </si>
  <si>
    <t xml:space="preserve">85150</t>
  </si>
  <si>
    <t xml:space="preserve">LADLE LOVE HEART PINK</t>
  </si>
  <si>
    <t xml:space="preserve">22135</t>
  </si>
  <si>
    <t xml:space="preserve">LADLE LOVE HEART RED</t>
  </si>
  <si>
    <t xml:space="preserve">22134</t>
  </si>
  <si>
    <t xml:space="preserve">LADS ONLY TISSUE BOX</t>
  </si>
  <si>
    <t xml:space="preserve">22095</t>
  </si>
  <si>
    <t xml:space="preserve">LADYBIRD + BEE RAFFIA FOOD COVER</t>
  </si>
  <si>
    <t xml:space="preserve">21472</t>
  </si>
  <si>
    <t xml:space="preserve">LANTERN CREAM GAZEBO</t>
  </si>
  <si>
    <t xml:space="preserve">LARGE BLUE ORIENTAL FOLDING STOOL</t>
  </si>
  <si>
    <t xml:space="preserve">84933C</t>
  </si>
  <si>
    <t xml:space="preserve">LARGE BLUE PROVENCAL CERAMIC BALL</t>
  </si>
  <si>
    <t xml:space="preserve">20795</t>
  </si>
  <si>
    <t xml:space="preserve">LARGE CAKE STAND HANGING HEARTS</t>
  </si>
  <si>
    <t xml:space="preserve">22060</t>
  </si>
  <si>
    <t xml:space="preserve">LARGE CAKE STAND HANGING STRAWBERY</t>
  </si>
  <si>
    <t xml:space="preserve">22061</t>
  </si>
  <si>
    <t xml:space="preserve">LARGE CAKE TOWEL PINK SPOTS</t>
  </si>
  <si>
    <t xml:space="preserve">21110</t>
  </si>
  <si>
    <t xml:space="preserve">LARGE CAKE TOWEL, CHOCOLATE SPOTS</t>
  </si>
  <si>
    <t xml:space="preserve">LARGE CAMPHOR WOOD FIELD MUSHROOM</t>
  </si>
  <si>
    <t xml:space="preserve">21375</t>
  </si>
  <si>
    <t xml:space="preserve">LARGE CHINESE STYLE SCISSOR</t>
  </si>
  <si>
    <t xml:space="preserve">LARGE CHUNKY GLASS ROMAN BOWL</t>
  </si>
  <si>
    <t xml:space="preserve">21312</t>
  </si>
  <si>
    <t xml:space="preserve">LARGE CIRCULAR MIRROR MOBILE</t>
  </si>
  <si>
    <t xml:space="preserve">75049L</t>
  </si>
  <si>
    <t xml:space="preserve">LARGE CRYSTAL DIAMANTE HAIRSLIDE</t>
  </si>
  <si>
    <t xml:space="preserve">90205C</t>
  </si>
  <si>
    <t xml:space="preserve">LARGE ENGLISH ARBORETUM</t>
  </si>
  <si>
    <t xml:space="preserve">84830</t>
  </si>
  <si>
    <t xml:space="preserve">LARGE FIBRE OPTIC CHRISTMAS TREE</t>
  </si>
  <si>
    <t xml:space="preserve">84340</t>
  </si>
  <si>
    <t xml:space="preserve">LARGE GLASS ROSE SCENTED CANDLE</t>
  </si>
  <si>
    <t xml:space="preserve">20891</t>
  </si>
  <si>
    <t xml:space="preserve">LARGE GLASS SUNDAE DISH CLEAR</t>
  </si>
  <si>
    <t xml:space="preserve">20800</t>
  </si>
  <si>
    <t xml:space="preserve">LARGE GREEN PEONY FOLDING STOOL</t>
  </si>
  <si>
    <t xml:space="preserve">84933A</t>
  </si>
  <si>
    <t xml:space="preserve">LARGE HANGING GLASS+ZINC LANTERN</t>
  </si>
  <si>
    <t xml:space="preserve">84760L</t>
  </si>
  <si>
    <t xml:space="preserve">LARGE HANGING IVORY &amp; RED WOOD BIRD</t>
  </si>
  <si>
    <t xml:space="preserve">85199L</t>
  </si>
  <si>
    <t xml:space="preserve">LARGE HEART FLOWERS HOOK</t>
  </si>
  <si>
    <t xml:space="preserve">84971L</t>
  </si>
  <si>
    <t xml:space="preserve">LARGE HEART MEASURING SPOONS</t>
  </si>
  <si>
    <t xml:space="preserve">22195</t>
  </si>
  <si>
    <t xml:space="preserve">LARGE MEDINA STAMPED METAL BOWL</t>
  </si>
  <si>
    <t xml:space="preserve">21682</t>
  </si>
  <si>
    <t xml:space="preserve">LARGE MINT DIAMANTE HAIRSLIDE</t>
  </si>
  <si>
    <t xml:space="preserve">90205A</t>
  </si>
  <si>
    <t xml:space="preserve">LARGE PINK GLASS SUNDAE DISH</t>
  </si>
  <si>
    <t xml:space="preserve">20801</t>
  </si>
  <si>
    <t xml:space="preserve">LARGE PINK PEONY FOLDING STOOL</t>
  </si>
  <si>
    <t xml:space="preserve">84933B</t>
  </si>
  <si>
    <t xml:space="preserve">LARGE POPCORN HOLDER</t>
  </si>
  <si>
    <t xml:space="preserve">22198</t>
  </si>
  <si>
    <t xml:space="preserve">LARGE PURPLE BABUSHKA NOTEBOOK</t>
  </si>
  <si>
    <t xml:space="preserve">LARGE RED BABUSHKA NOTEBOOK</t>
  </si>
  <si>
    <t xml:space="preserve">LARGE RED RETROSPOT WINDMILL</t>
  </si>
  <si>
    <t xml:space="preserve">21749</t>
  </si>
  <si>
    <t xml:space="preserve">LARGE ROUND CUTGLASS CANDLESTICK</t>
  </si>
  <si>
    <t xml:space="preserve">85126</t>
  </si>
  <si>
    <t xml:space="preserve">LARGE ROUND WICKER PLATTER</t>
  </si>
  <si>
    <t xml:space="preserve">LARGE SKULL WINDMILL</t>
  </si>
  <si>
    <t xml:space="preserve">21750</t>
  </si>
  <si>
    <t xml:space="preserve">LARGE SPOTTY CHOCOLATE GIFT BAG</t>
  </si>
  <si>
    <t xml:space="preserve">21290</t>
  </si>
  <si>
    <t xml:space="preserve">LARGE STRAWBERRY CHOCOLATE CANDLE</t>
  </si>
  <si>
    <t xml:space="preserve">72740A</t>
  </si>
  <si>
    <t xml:space="preserve">LARGE STRIPES CHOCOLATE GIFT BAG</t>
  </si>
  <si>
    <t xml:space="preserve">21289</t>
  </si>
  <si>
    <t xml:space="preserve">LARGE TAHITI BEACH BAG</t>
  </si>
  <si>
    <t xml:space="preserve">84856L</t>
  </si>
  <si>
    <t xml:space="preserve">LARGE TALL CAMPHOR WOOD TOADSTOOL</t>
  </si>
  <si>
    <t xml:space="preserve">21376</t>
  </si>
  <si>
    <t xml:space="preserve">LARGE TORTILLA DESIGN RED BOWL</t>
  </si>
  <si>
    <t xml:space="preserve">84595E</t>
  </si>
  <si>
    <t xml:space="preserve">LARGE TRIFLE DESIGN L BLUE BOWL</t>
  </si>
  <si>
    <t xml:space="preserve">84595B</t>
  </si>
  <si>
    <t xml:space="preserve">LARGE WHITE CHOCOLATE CANDLE</t>
  </si>
  <si>
    <t xml:space="preserve">72740B</t>
  </si>
  <si>
    <t xml:space="preserve">LARGE WHITE HONEYCOMB PAPER BELL</t>
  </si>
  <si>
    <t xml:space="preserve">21191</t>
  </si>
  <si>
    <t xml:space="preserve">LARGE WHITE/PINK ROSE ART FLOWER</t>
  </si>
  <si>
    <t xml:space="preserve">84800L</t>
  </si>
  <si>
    <t xml:space="preserve">LARGE YELLOW BABUSHKA NOTEBOOK</t>
  </si>
  <si>
    <t xml:space="preserve">LARGE ZINC GLASS CANDLEHOLDER</t>
  </si>
  <si>
    <t xml:space="preserve">72812</t>
  </si>
  <si>
    <t xml:space="preserve">LASER CUT MULTI STRAND NECKLACE</t>
  </si>
  <si>
    <t xml:space="preserve">90021</t>
  </si>
  <si>
    <t xml:space="preserve">LAUNDRY 15C METAL SIGN</t>
  </si>
  <si>
    <t xml:space="preserve">82551</t>
  </si>
  <si>
    <t xml:space="preserve">LAVENDER INCENSE 40 CONES IN TIN</t>
  </si>
  <si>
    <t xml:space="preserve">17090A</t>
  </si>
  <si>
    <t xml:space="preserve">LAVENDER INCENSE IN TIN</t>
  </si>
  <si>
    <t xml:space="preserve">17091A</t>
  </si>
  <si>
    <t xml:space="preserve">LAVENDER SCENT CAKE CANDLE</t>
  </si>
  <si>
    <t xml:space="preserve">72225C</t>
  </si>
  <si>
    <t xml:space="preserve">LAVENDER SCENTED FABRIC HEART</t>
  </si>
  <si>
    <t xml:space="preserve">LAVENDER SCENTED SET/9 T-LIGHTS</t>
  </si>
  <si>
    <t xml:space="preserve">85231L</t>
  </si>
  <si>
    <t xml:space="preserve">LAZER CUT NECKLACE W PASTEL BEADS</t>
  </si>
  <si>
    <t xml:space="preserve">90154</t>
  </si>
  <si>
    <t xml:space="preserve">LEOPARD PRINT HOT WATER BOTTLE</t>
  </si>
  <si>
    <t xml:space="preserve">84029D</t>
  </si>
  <si>
    <t xml:space="preserve">LETS GO SHOPPING COTTON TOTE BAG</t>
  </si>
  <si>
    <t xml:space="preserve">LETTER "A" BLING KEY RING</t>
  </si>
  <si>
    <t xml:space="preserve">90214A</t>
  </si>
  <si>
    <t xml:space="preserve">LETTER "B" BLING KEY RING</t>
  </si>
  <si>
    <t xml:space="preserve">90214B</t>
  </si>
  <si>
    <t xml:space="preserve">LETTER "C" BLING KEY RING</t>
  </si>
  <si>
    <t xml:space="preserve">90214C</t>
  </si>
  <si>
    <t xml:space="preserve">LETTER "D" BLING KEY RING</t>
  </si>
  <si>
    <t xml:space="preserve">90214D</t>
  </si>
  <si>
    <t xml:space="preserve">LETTER "E" BLING KEY RING</t>
  </si>
  <si>
    <t xml:space="preserve">90214E</t>
  </si>
  <si>
    <t xml:space="preserve">LETTER "F" BLING KEY RING</t>
  </si>
  <si>
    <t xml:space="preserve">90214F</t>
  </si>
  <si>
    <t xml:space="preserve">LETTER "G" BLING KEY RING</t>
  </si>
  <si>
    <t xml:space="preserve">90214G</t>
  </si>
  <si>
    <t xml:space="preserve">LETTER "H" BLING KEY RING</t>
  </si>
  <si>
    <t xml:space="preserve">90214H</t>
  </si>
  <si>
    <t xml:space="preserve">LETTER "I" BLING KEY RING</t>
  </si>
  <si>
    <t xml:space="preserve">90214I</t>
  </si>
  <si>
    <t xml:space="preserve">LETTER "J" BLING KEY RING</t>
  </si>
  <si>
    <t xml:space="preserve">90214J</t>
  </si>
  <si>
    <t xml:space="preserve">LETTER "K" BLING KEY RING</t>
  </si>
  <si>
    <t xml:space="preserve">90214K</t>
  </si>
  <si>
    <t xml:space="preserve">LETTER "L" BLING KEY RING</t>
  </si>
  <si>
    <t xml:space="preserve">90214L</t>
  </si>
  <si>
    <t xml:space="preserve">LETTER "M" BLING KEY RING</t>
  </si>
  <si>
    <t xml:space="preserve">90214M</t>
  </si>
  <si>
    <t xml:space="preserve">LETTER "N" BLING KEY RING</t>
  </si>
  <si>
    <t xml:space="preserve">90214N</t>
  </si>
  <si>
    <t xml:space="preserve">LETTER "O" BLING KEY RING</t>
  </si>
  <si>
    <t xml:space="preserve">90214O</t>
  </si>
  <si>
    <t xml:space="preserve">LETTER "P" BLING KEY RING</t>
  </si>
  <si>
    <t xml:space="preserve">90214P</t>
  </si>
  <si>
    <t xml:space="preserve">LETTER "R" BLING KEY RING</t>
  </si>
  <si>
    <t xml:space="preserve">90214R</t>
  </si>
  <si>
    <t xml:space="preserve">LETTER "S" BLING KEY RING</t>
  </si>
  <si>
    <t xml:space="preserve">90214S</t>
  </si>
  <si>
    <t xml:space="preserve">LETTER "T" BLING KEY RING</t>
  </si>
  <si>
    <t xml:space="preserve">90214T</t>
  </si>
  <si>
    <t xml:space="preserve">LETTER "U" BLING KEY RING</t>
  </si>
  <si>
    <t xml:space="preserve">90214U</t>
  </si>
  <si>
    <t xml:space="preserve">LETTER "V" BLING KEY RING</t>
  </si>
  <si>
    <t xml:space="preserve">90214V</t>
  </si>
  <si>
    <t xml:space="preserve">LETTER "W" BLING KEY RING</t>
  </si>
  <si>
    <t xml:space="preserve">90214W</t>
  </si>
  <si>
    <t xml:space="preserve">LETTER "Y" BLING KEY RING</t>
  </si>
  <si>
    <t xml:space="preserve">90214Y</t>
  </si>
  <si>
    <t xml:space="preserve">LETTER "Z" BLING KEY RING</t>
  </si>
  <si>
    <t xml:space="preserve">90214Z</t>
  </si>
  <si>
    <t xml:space="preserve">LETTER SHAPE PENCIL SHARPENER</t>
  </si>
  <si>
    <t xml:space="preserve">16216</t>
  </si>
  <si>
    <t xml:space="preserve">LIBRARY LAMP</t>
  </si>
  <si>
    <t xml:space="preserve">21335</t>
  </si>
  <si>
    <t xml:space="preserve">LIGHT BIRD HOUSE TREE DECORATION</t>
  </si>
  <si>
    <t xml:space="preserve">21016</t>
  </si>
  <si>
    <t xml:space="preserve">LIGHT DECORATION BATTERY OPERATED</t>
  </si>
  <si>
    <t xml:space="preserve">47016</t>
  </si>
  <si>
    <t xml:space="preserve">LIGHT GARLAND BUTTERFILES PINK</t>
  </si>
  <si>
    <t xml:space="preserve">22780</t>
  </si>
  <si>
    <t xml:space="preserve">LIGHT PINK CHERRY LIGHTS</t>
  </si>
  <si>
    <t xml:space="preserve">79323LP</t>
  </si>
  <si>
    <t xml:space="preserve">LIGHT PINK FLOCK GLASS CANDLEHOLDER</t>
  </si>
  <si>
    <t xml:space="preserve">79336</t>
  </si>
  <si>
    <t xml:space="preserve">LIGHT TOPAZ TEAL/AQUA COL NECKLACE</t>
  </si>
  <si>
    <t xml:space="preserve">90132</t>
  </si>
  <si>
    <t xml:space="preserve">LIGHTHOUSE PRINTED METAL SIGN</t>
  </si>
  <si>
    <t xml:space="preserve">21757</t>
  </si>
  <si>
    <t xml:space="preserve">LILAC DIAMANTE PEN IN GIFT BOX</t>
  </si>
  <si>
    <t xml:space="preserve">21851</t>
  </si>
  <si>
    <t xml:space="preserve">LILAC FEATHERS CURTAIN</t>
  </si>
  <si>
    <t xml:space="preserve">44242A</t>
  </si>
  <si>
    <t xml:space="preserve">LILAC FLOWER BLOCK TABLE LAMP</t>
  </si>
  <si>
    <t xml:space="preserve">79303D</t>
  </si>
  <si>
    <t xml:space="preserve">LILAC GAUZE BUTTERFLY LAMPSHADE</t>
  </si>
  <si>
    <t xml:space="preserve">44089C</t>
  </si>
  <si>
    <t xml:space="preserve">LILAC VOTIVE CANDLE</t>
  </si>
  <si>
    <t xml:space="preserve">72024U</t>
  </si>
  <si>
    <t xml:space="preserve">LILLIES CANVAS PICTURE</t>
  </si>
  <si>
    <t xml:space="preserve">84726</t>
  </si>
  <si>
    <t xml:space="preserve">LILY BROOCH AMETHYST COLOUR</t>
  </si>
  <si>
    <t xml:space="preserve">90081A</t>
  </si>
  <si>
    <t xml:space="preserve">LILY BROOCH OLIVE COLOUR</t>
  </si>
  <si>
    <t xml:space="preserve">90081C</t>
  </si>
  <si>
    <t xml:space="preserve">LILY BROOCH WHITE/SILVER COLOUR</t>
  </si>
  <si>
    <t xml:space="preserve">90081B</t>
  </si>
  <si>
    <t xml:space="preserve">LION SOCK PUPPET</t>
  </si>
  <si>
    <t xml:space="preserve">85185F</t>
  </si>
  <si>
    <t xml:space="preserve">LIPSTICK PEN BABY PINK</t>
  </si>
  <si>
    <t xml:space="preserve">22420</t>
  </si>
  <si>
    <t xml:space="preserve">LIPSTICK PEN FUSCHIA</t>
  </si>
  <si>
    <t xml:space="preserve">22421</t>
  </si>
  <si>
    <t xml:space="preserve">LIPSTICK PEN RED</t>
  </si>
  <si>
    <t xml:space="preserve">LITTLE FLOWER SHOPPER BAG</t>
  </si>
  <si>
    <t xml:space="preserve">20715</t>
  </si>
  <si>
    <t xml:space="preserve">LITTLE GREEN MONSTER SOFT TOY</t>
  </si>
  <si>
    <t xml:space="preserve">20697</t>
  </si>
  <si>
    <t xml:space="preserve">LITTLE PINK MONSTER SOFT TOY</t>
  </si>
  <si>
    <t xml:space="preserve">20698</t>
  </si>
  <si>
    <t xml:space="preserve">LOCAL CAFE MUG</t>
  </si>
  <si>
    <t xml:space="preserve">22190</t>
  </si>
  <si>
    <t xml:space="preserve">LOLITA DESIGN COTTON TOTE BAG</t>
  </si>
  <si>
    <t xml:space="preserve">LONG SILVER NECKLACE PASTEL FLOWER</t>
  </si>
  <si>
    <t xml:space="preserve">90148</t>
  </si>
  <si>
    <t xml:space="preserve">LOO ROLL METAL SIGN</t>
  </si>
  <si>
    <t xml:space="preserve">21173</t>
  </si>
  <si>
    <t xml:space="preserve">LOUVRE CHALKBOARD</t>
  </si>
  <si>
    <t xml:space="preserve">21309</t>
  </si>
  <si>
    <t xml:space="preserve">LOUVRE VANITY MIRROR</t>
  </si>
  <si>
    <t xml:space="preserve">21308</t>
  </si>
  <si>
    <t xml:space="preserve">LOVE BUILDING BLOCK WORD</t>
  </si>
  <si>
    <t xml:space="preserve">21755</t>
  </si>
  <si>
    <t xml:space="preserve">LOVE GARLAND PAINTED ZINC</t>
  </si>
  <si>
    <t xml:space="preserve">22341</t>
  </si>
  <si>
    <t xml:space="preserve">LOVE HEART NAPKIN BOX</t>
  </si>
  <si>
    <t xml:space="preserve">22862</t>
  </si>
  <si>
    <t xml:space="preserve">LOVE HEART POCKET WARMER</t>
  </si>
  <si>
    <t xml:space="preserve">LOVE HEART SOCK HANGER</t>
  </si>
  <si>
    <t xml:space="preserve">22136</t>
  </si>
  <si>
    <t xml:space="preserve">LOVE HEART TRINKET POT</t>
  </si>
  <si>
    <t xml:space="preserve">22066</t>
  </si>
  <si>
    <t xml:space="preserve">LOVE LARGE WOOD LETTERS</t>
  </si>
  <si>
    <t xml:space="preserve">21361</t>
  </si>
  <si>
    <t xml:space="preserve">LOVE POTION MASALA INCENSE</t>
  </si>
  <si>
    <t xml:space="preserve">17084J</t>
  </si>
  <si>
    <t xml:space="preserve">LOVEBIRD HANGING DECORATION WHITE</t>
  </si>
  <si>
    <t xml:space="preserve">LOVELY BONBON STICKER SHEET</t>
  </si>
  <si>
    <t xml:space="preserve">21719</t>
  </si>
  <si>
    <t xml:space="preserve">LUNCH BAG BLACK SKULL.</t>
  </si>
  <si>
    <t xml:space="preserve">LUNCH BAG CARS BLUE</t>
  </si>
  <si>
    <t xml:space="preserve">LUNCH BAG DOLLY GIRL DESIGN</t>
  </si>
  <si>
    <t xml:space="preserve">LUNCH BAG PINK RETROSPOT</t>
  </si>
  <si>
    <t xml:space="preserve">LUNCH BAG RED SPOTTY</t>
  </si>
  <si>
    <t xml:space="preserve">LUNCH BAG SPACEBOY DESIGN</t>
  </si>
  <si>
    <t xml:space="preserve">LUNCH BAG SUKI DESIGN</t>
  </si>
  <si>
    <t xml:space="preserve">22383</t>
  </si>
  <si>
    <t xml:space="preserve">LUNCH BAG WOODLAND</t>
  </si>
  <si>
    <t xml:space="preserve">LUNCH BOX I LOVE LONDON</t>
  </si>
  <si>
    <t xml:space="preserve">22659</t>
  </si>
  <si>
    <t xml:space="preserve">LUNCH BOX WITH CUTLERY FAIRY CAKES</t>
  </si>
  <si>
    <t xml:space="preserve">22353</t>
  </si>
  <si>
    <t xml:space="preserve">LUNCH BOX WITH CUTLERY RETROSPOT</t>
  </si>
  <si>
    <t xml:space="preserve">LUSH GREENS RIBBONS</t>
  </si>
  <si>
    <t xml:space="preserve">85049B</t>
  </si>
  <si>
    <t xml:space="preserve">M/COLOUR POM-POM CURTAIN</t>
  </si>
  <si>
    <t xml:space="preserve">44265</t>
  </si>
  <si>
    <t xml:space="preserve">MA CAMPAGNE 4 DRAWER WALL SHELF</t>
  </si>
  <si>
    <t xml:space="preserve">21780</t>
  </si>
  <si>
    <t xml:space="preserve">MA CAMPAGNE CUTLERY BOX</t>
  </si>
  <si>
    <t xml:space="preserve">21781</t>
  </si>
  <si>
    <t xml:space="preserve">MA CAMPAGNE MINI WOODEN CHEST</t>
  </si>
  <si>
    <t xml:space="preserve">21779</t>
  </si>
  <si>
    <t xml:space="preserve">MADRAS NOTEBOOK LARGE</t>
  </si>
  <si>
    <t xml:space="preserve">21635</t>
  </si>
  <si>
    <t xml:space="preserve">MADRAS NOTEBOOK MEDIUM</t>
  </si>
  <si>
    <t xml:space="preserve">21636</t>
  </si>
  <si>
    <t xml:space="preserve">MAGAZINE RACK GEBRA ASSORTED</t>
  </si>
  <si>
    <t xml:space="preserve">78124</t>
  </si>
  <si>
    <t xml:space="preserve">MAGIC DRAWING SLATE BAKE A CAKE</t>
  </si>
  <si>
    <t xml:space="preserve">22533</t>
  </si>
  <si>
    <t xml:space="preserve">MAGIC DRAWING SLATE BUNNIES</t>
  </si>
  <si>
    <t xml:space="preserve">22535</t>
  </si>
  <si>
    <t xml:space="preserve">MAGIC DRAWING SLATE CIRCUS PARADE</t>
  </si>
  <si>
    <t xml:space="preserve">22531</t>
  </si>
  <si>
    <t xml:space="preserve">MAGIC DRAWING SLATE DINOSAUR</t>
  </si>
  <si>
    <t xml:space="preserve">22537</t>
  </si>
  <si>
    <t xml:space="preserve">MAGIC DRAWING SLATE DOLLY GIRL</t>
  </si>
  <si>
    <t xml:space="preserve">22530</t>
  </si>
  <si>
    <t xml:space="preserve">MAGIC DRAWING SLATE GO TO THE FAIR</t>
  </si>
  <si>
    <t xml:space="preserve">22529</t>
  </si>
  <si>
    <t xml:space="preserve">MAGIC DRAWING SLATE LEAP FROG</t>
  </si>
  <si>
    <t xml:space="preserve">22532</t>
  </si>
  <si>
    <t xml:space="preserve">MAGIC DRAWING SLATE PURDEY</t>
  </si>
  <si>
    <t xml:space="preserve">22536</t>
  </si>
  <si>
    <t xml:space="preserve">MAGIC DRAWING SLATE SPACEBOY</t>
  </si>
  <si>
    <t xml:space="preserve">22534</t>
  </si>
  <si>
    <t xml:space="preserve">MAGIC GARDEN MOUNT FUJI</t>
  </si>
  <si>
    <t xml:space="preserve">84007</t>
  </si>
  <si>
    <t xml:space="preserve">MAGIC SHEEP WOOL GROWING FROM PAPER</t>
  </si>
  <si>
    <t xml:space="preserve">MAGIC TREE -PAPER FLOWERS</t>
  </si>
  <si>
    <t xml:space="preserve">MAGNETS PACK OF 4 CHILDHOOD MEMORY</t>
  </si>
  <si>
    <t xml:space="preserve">MAGNETS PACK OF 4 HOME SWEET HOME</t>
  </si>
  <si>
    <t xml:space="preserve">MAGNETS PACK OF 4 RETRO PHOTO</t>
  </si>
  <si>
    <t xml:space="preserve">MAGNETS PACK OF 4 SWALLOWS</t>
  </si>
  <si>
    <t xml:space="preserve">MAGNETS PACK OF 4 VINTAGE COLLAGE</t>
  </si>
  <si>
    <t xml:space="preserve">MAGNETS PACK OF 4 VINTAGE LABELS</t>
  </si>
  <si>
    <t xml:space="preserve">MAKE YOUR OWN FLOWERPOWER CARD KIT</t>
  </si>
  <si>
    <t xml:space="preserve">MAKE YOUR OWN MONSOON CARD KIT</t>
  </si>
  <si>
    <t xml:space="preserve">MAKE YOUR OWN PLAYTIME CARD KIT</t>
  </si>
  <si>
    <t xml:space="preserve">MAN FLU METAL SIGN</t>
  </si>
  <si>
    <t xml:space="preserve">21903</t>
  </si>
  <si>
    <t xml:space="preserve">MANHATTAN CANVAS ART PICTURE</t>
  </si>
  <si>
    <t xml:space="preserve">84721</t>
  </si>
  <si>
    <t xml:space="preserve">MARAKESH LANTERN LARGE</t>
  </si>
  <si>
    <t xml:space="preserve">21339</t>
  </si>
  <si>
    <t xml:space="preserve">MARAKESH LANTERN SMALL</t>
  </si>
  <si>
    <t xml:space="preserve">21338</t>
  </si>
  <si>
    <t xml:space="preserve">MAXWELL 2 TONE BLUE 60 PAGE PHOTO A</t>
  </si>
  <si>
    <t xml:space="preserve">16244B</t>
  </si>
  <si>
    <t xml:space="preserve">MAXWELL 2 TONE PINK 60 PAGE PHOTO A</t>
  </si>
  <si>
    <t xml:space="preserve">16244A</t>
  </si>
  <si>
    <t xml:space="preserve">MEASURING TAPE BABUSHKA BLUE</t>
  </si>
  <si>
    <t xml:space="preserve">22453</t>
  </si>
  <si>
    <t xml:space="preserve">MEASURING TAPE BABUSHKA PINK</t>
  </si>
  <si>
    <t xml:space="preserve">22452</t>
  </si>
  <si>
    <t xml:space="preserve">MEASURING TAPE BABUSHKA RED</t>
  </si>
  <si>
    <t xml:space="preserve">22454</t>
  </si>
  <si>
    <t xml:space="preserve">MEDINA STAMPED METAL STOOL</t>
  </si>
  <si>
    <t xml:space="preserve">21686</t>
  </si>
  <si>
    <t xml:space="preserve">MEDINA STAMPED METAL TRAY</t>
  </si>
  <si>
    <t xml:space="preserve">21685</t>
  </si>
  <si>
    <t xml:space="preserve">MEDIUM CHINESE STYLE SCISSOR</t>
  </si>
  <si>
    <t xml:space="preserve">16015</t>
  </si>
  <si>
    <t xml:space="preserve">MEDIUM MEDINA STAMPED METAL BOWL</t>
  </si>
  <si>
    <t xml:space="preserve">21683</t>
  </si>
  <si>
    <t xml:space="preserve">MEDIUM PINK BUDDHA HEAD</t>
  </si>
  <si>
    <t xml:space="preserve">84429A</t>
  </si>
  <si>
    <t xml:space="preserve">MEDIUM WHITE/PINK ROSE ART FLOWER</t>
  </si>
  <si>
    <t xml:space="preserve">84800M</t>
  </si>
  <si>
    <t xml:space="preserve">MEMO BOARD COTTAGE DESIGN</t>
  </si>
  <si>
    <t xml:space="preserve">MEMO BOARD RETROSPOT DESIGN</t>
  </si>
  <si>
    <t xml:space="preserve">22507</t>
  </si>
  <si>
    <t xml:space="preserve">METAL 4 HOOK HANGER FRENCH CHATEAU</t>
  </si>
  <si>
    <t xml:space="preserve">22173</t>
  </si>
  <si>
    <t xml:space="preserve">METAL BASE FOR CANDLES</t>
  </si>
  <si>
    <t xml:space="preserve">71215</t>
  </si>
  <si>
    <t xml:space="preserve">METAL DECORATION NAUGHTY CHILDREN</t>
  </si>
  <si>
    <t xml:space="preserve">METAL MEDINA LANTERN</t>
  </si>
  <si>
    <t xml:space="preserve">21728</t>
  </si>
  <si>
    <t xml:space="preserve">METAL MERRY CHRISTMAS WREATH</t>
  </si>
  <si>
    <t xml:space="preserve">22575</t>
  </si>
  <si>
    <t xml:space="preserve">METAL RABBIT LADDER EASTER</t>
  </si>
  <si>
    <t xml:space="preserve">84452</t>
  </si>
  <si>
    <t xml:space="preserve">METAL SHELF WITH RAIL</t>
  </si>
  <si>
    <t xml:space="preserve">22172</t>
  </si>
  <si>
    <t xml:space="preserve">METAL SIGN CUPCAKE SINGLE HOOK</t>
  </si>
  <si>
    <t xml:space="preserve">82613D</t>
  </si>
  <si>
    <t xml:space="preserve">METAL SIGN EMPIRE TEA</t>
  </si>
  <si>
    <t xml:space="preserve">METAL SIGN HER DINNER IS SERVED</t>
  </si>
  <si>
    <t xml:space="preserve">22117</t>
  </si>
  <si>
    <t xml:space="preserve">METAL SIGN HIS DINNER IS SERVED</t>
  </si>
  <si>
    <t xml:space="preserve">22116</t>
  </si>
  <si>
    <t xml:space="preserve">METAL SIGN NEIGHBOURHOOD WITCH</t>
  </si>
  <si>
    <t xml:space="preserve">22412</t>
  </si>
  <si>
    <t xml:space="preserve">METAL SIGN TAKE IT OR LEAVE IT</t>
  </si>
  <si>
    <t xml:space="preserve">METAL SIGN,CUPCAKE SINGLE HOOK</t>
  </si>
  <si>
    <t xml:space="preserve">82613A</t>
  </si>
  <si>
    <t xml:space="preserve">82613B</t>
  </si>
  <si>
    <t xml:space="preserve">82613C</t>
  </si>
  <si>
    <t xml:space="preserve">METAL TUBE CHIME ON BAMBOO</t>
  </si>
  <si>
    <t xml:space="preserve">75131</t>
  </si>
  <si>
    <t xml:space="preserve">METAL WALL SHELF UNIT WITH HOOKS</t>
  </si>
  <si>
    <t xml:space="preserve">21759</t>
  </si>
  <si>
    <t xml:space="preserve">METALIC LEAVES BAG CHARMS</t>
  </si>
  <si>
    <t xml:space="preserve">90119</t>
  </si>
  <si>
    <t xml:space="preserve">MIDNIGHT BLUE COPPER FLOWER NECKLAC</t>
  </si>
  <si>
    <t xml:space="preserve">90000B</t>
  </si>
  <si>
    <t xml:space="preserve">MIDNIGHT BLUE CRYSTAL DROP EARRINGS</t>
  </si>
  <si>
    <t xml:space="preserve">90011A</t>
  </si>
  <si>
    <t xml:space="preserve">MIDNIGHT BLUE DROP CRYSTAL NECKLACE</t>
  </si>
  <si>
    <t xml:space="preserve">90012A</t>
  </si>
  <si>
    <t xml:space="preserve">MIDNIGHT BLUE GLASS/SILVER BRACELET</t>
  </si>
  <si>
    <t xml:space="preserve">90010A</t>
  </si>
  <si>
    <t xml:space="preserve">MIDNIGHT BLUE PAIR HEART HAIR SLIDE</t>
  </si>
  <si>
    <t xml:space="preserve">90003C</t>
  </si>
  <si>
    <t xml:space="preserve">MIDNIGHT BLUE VINTAGE EARRINGS</t>
  </si>
  <si>
    <t xml:space="preserve">90013A</t>
  </si>
  <si>
    <t xml:space="preserve">MIDNIGHT GLAMOUR SCARF KNITTING KIT</t>
  </si>
  <si>
    <t xml:space="preserve">82616C</t>
  </si>
  <si>
    <t xml:space="preserve">MILK BOTTLE WITH GLASS STOPPER</t>
  </si>
  <si>
    <t xml:space="preserve">21657</t>
  </si>
  <si>
    <t xml:space="preserve">MILK PAN BLUE RETROSPOT</t>
  </si>
  <si>
    <t xml:space="preserve">22204</t>
  </si>
  <si>
    <t xml:space="preserve">MILK PAN PINK RETROSPOT</t>
  </si>
  <si>
    <t xml:space="preserve">22202</t>
  </si>
  <si>
    <t xml:space="preserve">MILK PAN RED RETROSPOT</t>
  </si>
  <si>
    <t xml:space="preserve">MINATURE COLOURED GARDENING SET</t>
  </si>
  <si>
    <t xml:space="preserve">47505</t>
  </si>
  <si>
    <t xml:space="preserve">MINI CAKE STAND HANGING HEARTS</t>
  </si>
  <si>
    <t xml:space="preserve">22054</t>
  </si>
  <si>
    <t xml:space="preserve">MINI CAKE STAND HANGING STRAWBERY</t>
  </si>
  <si>
    <t xml:space="preserve">MINI CAKE STAND T-LIGHT HOLDER</t>
  </si>
  <si>
    <t xml:space="preserve">22893</t>
  </si>
  <si>
    <t xml:space="preserve">MINI CAKE STAND WITH HANGING CAKES</t>
  </si>
  <si>
    <t xml:space="preserve">37446</t>
  </si>
  <si>
    <t xml:space="preserve">MINI FUNKY DESIGN TAPES</t>
  </si>
  <si>
    <t xml:space="preserve">MINI HIGHLIGHTER PENS</t>
  </si>
  <si>
    <t xml:space="preserve">16033</t>
  </si>
  <si>
    <t xml:space="preserve">MINI JIGSAW BAKE A CAKE</t>
  </si>
  <si>
    <t xml:space="preserve">22543</t>
  </si>
  <si>
    <t xml:space="preserve">MINI JIGSAW BUNNIES</t>
  </si>
  <si>
    <t xml:space="preserve">22545</t>
  </si>
  <si>
    <t xml:space="preserve">MINI JIGSAW CIRCUS PARADE</t>
  </si>
  <si>
    <t xml:space="preserve">MINI JIGSAW DINOSAUR</t>
  </si>
  <si>
    <t xml:space="preserve">MINI JIGSAW DOLLY GIRL</t>
  </si>
  <si>
    <t xml:space="preserve">MINI JIGSAW GO TO THE FAIR</t>
  </si>
  <si>
    <t xml:space="preserve">22538</t>
  </si>
  <si>
    <t xml:space="preserve">MINI JIGSAW LEAP FROG</t>
  </si>
  <si>
    <t xml:space="preserve">22541</t>
  </si>
  <si>
    <t xml:space="preserve">MINI JIGSAW PURDEY</t>
  </si>
  <si>
    <t xml:space="preserve">22546</t>
  </si>
  <si>
    <t xml:space="preserve">MINI JIGSAW SPACEBOY</t>
  </si>
  <si>
    <t xml:space="preserve">MINI PAINT SET VINTAGE</t>
  </si>
  <si>
    <t xml:space="preserve">22492</t>
  </si>
  <si>
    <t xml:space="preserve">MINI PAINTED GARDEN DECORATION</t>
  </si>
  <si>
    <t xml:space="preserve">85212</t>
  </si>
  <si>
    <t xml:space="preserve">MINI WOODEN HAPPY BIRTHDAY GARLAND</t>
  </si>
  <si>
    <t xml:space="preserve">21381</t>
  </si>
  <si>
    <t xml:space="preserve">MINI ZINC GARDEN DECORATIONS</t>
  </si>
  <si>
    <t xml:space="preserve">85213</t>
  </si>
  <si>
    <t xml:space="preserve">MINT GREEN ROSE TOWEL</t>
  </si>
  <si>
    <t xml:space="preserve">MINT KITCHEN SCALES</t>
  </si>
  <si>
    <t xml:space="preserve">MIRROR CORNICE</t>
  </si>
  <si>
    <t xml:space="preserve">22770</t>
  </si>
  <si>
    <t xml:space="preserve">MIRROR LOVE BIRD T-LIGHT HOLDER</t>
  </si>
  <si>
    <t xml:space="preserve">84952C</t>
  </si>
  <si>
    <t xml:space="preserve">MIRROR MOSAIC CANDLE PLATE</t>
  </si>
  <si>
    <t xml:space="preserve">22104</t>
  </si>
  <si>
    <t xml:space="preserve">MIRROR MOSAIC GOBLET CANDLE HOLDER</t>
  </si>
  <si>
    <t xml:space="preserve">22105</t>
  </si>
  <si>
    <t xml:space="preserve">MIRROR MOSAIC HURRICANE LAMP</t>
  </si>
  <si>
    <t xml:space="preserve">22106</t>
  </si>
  <si>
    <t xml:space="preserve">MIRROR MOSAIC T-LIGHT HOLDER</t>
  </si>
  <si>
    <t xml:space="preserve">22102</t>
  </si>
  <si>
    <t xml:space="preserve">MIRROR MOSAIC T-LIGHT HOLDER ROUND</t>
  </si>
  <si>
    <t xml:space="preserve">22103</t>
  </si>
  <si>
    <t xml:space="preserve">MIRROR MOSAIC VOTIVE HOLDER</t>
  </si>
  <si>
    <t xml:space="preserve">22101</t>
  </si>
  <si>
    <t xml:space="preserve">MIRROR, ARCHED GEORGIAN</t>
  </si>
  <si>
    <t xml:space="preserve">22790</t>
  </si>
  <si>
    <t xml:space="preserve">MIRRORED DISCO BALL</t>
  </si>
  <si>
    <t xml:space="preserve">21463</t>
  </si>
  <si>
    <t xml:space="preserve">MIRRORED DOVE WALL DECORATION</t>
  </si>
  <si>
    <t xml:space="preserve">21293</t>
  </si>
  <si>
    <t xml:space="preserve">MIRRORED WALL ART FOXY</t>
  </si>
  <si>
    <t xml:space="preserve">21370</t>
  </si>
  <si>
    <t xml:space="preserve">MIRRORED WALL ART GENTS</t>
  </si>
  <si>
    <t xml:space="preserve">21367</t>
  </si>
  <si>
    <t xml:space="preserve">MIRRORED WALL ART LADIES</t>
  </si>
  <si>
    <t xml:space="preserve">21368</t>
  </si>
  <si>
    <t xml:space="preserve">MIRRORED WALL ART PHOTO FRAMES</t>
  </si>
  <si>
    <t xml:space="preserve">21366</t>
  </si>
  <si>
    <t xml:space="preserve">MIRRORED WALL ART POPPIES</t>
  </si>
  <si>
    <t xml:space="preserve">21371</t>
  </si>
  <si>
    <t xml:space="preserve">MIRRORED WALL ART SKULLS</t>
  </si>
  <si>
    <t xml:space="preserve">21374</t>
  </si>
  <si>
    <t xml:space="preserve">MIRRORED WALL ART SNOWFLAKES</t>
  </si>
  <si>
    <t xml:space="preserve">21373</t>
  </si>
  <si>
    <t xml:space="preserve">MIRRORED WALL ART SPLODGES</t>
  </si>
  <si>
    <t xml:space="preserve">21369</t>
  </si>
  <si>
    <t xml:space="preserve">MIRRORED WALL ART STARS</t>
  </si>
  <si>
    <t xml:space="preserve">21365</t>
  </si>
  <si>
    <t xml:space="preserve">MIRRORED WALL ART TABLE LAMP</t>
  </si>
  <si>
    <t xml:space="preserve">21372</t>
  </si>
  <si>
    <t xml:space="preserve">MISO PRETTY GUM</t>
  </si>
  <si>
    <t xml:space="preserve">DCGS0058</t>
  </si>
  <si>
    <t xml:space="preserve">MIXED NUTS LIGHT GREEN BOWL</t>
  </si>
  <si>
    <t xml:space="preserve">84596J</t>
  </si>
  <si>
    <t xml:space="preserve">MOBILE VINTAGE HEARTS</t>
  </si>
  <si>
    <t xml:space="preserve">22325</t>
  </si>
  <si>
    <t xml:space="preserve">MOCK LOBSTER FRIDGE MAGNET</t>
  </si>
  <si>
    <t xml:space="preserve">21698</t>
  </si>
  <si>
    <t xml:space="preserve">MODERN CHRISTMAS BAUBLE CANDLE</t>
  </si>
  <si>
    <t xml:space="preserve">20877</t>
  </si>
  <si>
    <t xml:space="preserve">MODERN CHRISTMAS TREE CANDLE</t>
  </si>
  <si>
    <t xml:space="preserve">20881</t>
  </si>
  <si>
    <t xml:space="preserve">20882</t>
  </si>
  <si>
    <t xml:space="preserve">20884</t>
  </si>
  <si>
    <t xml:space="preserve">MODERN FLORAL STATIONERY SET</t>
  </si>
  <si>
    <t xml:space="preserve">21990</t>
  </si>
  <si>
    <t xml:space="preserve">MODERN VINTAGE COTTON SHOPPING BAG</t>
  </si>
  <si>
    <t xml:space="preserve">21040</t>
  </si>
  <si>
    <t xml:space="preserve">MONEY BOX BISCUITS DESIGN</t>
  </si>
  <si>
    <t xml:space="preserve">22409</t>
  </si>
  <si>
    <t xml:space="preserve">MONEY BOX CONFECTIONERY DESIGN</t>
  </si>
  <si>
    <t xml:space="preserve">22408</t>
  </si>
  <si>
    <t xml:space="preserve">MONEY BOX FIRST ADE DESIGN</t>
  </si>
  <si>
    <t xml:space="preserve">22407</t>
  </si>
  <si>
    <t xml:space="preserve">MONEY BOX HOUSEKEEPING DESIGN</t>
  </si>
  <si>
    <t xml:space="preserve">MONEY BOX KINGS CHOICE DESIGN</t>
  </si>
  <si>
    <t xml:space="preserve">22406</t>
  </si>
  <si>
    <t xml:space="preserve">MONEY BOX POCKET MONEY DESIGN</t>
  </si>
  <si>
    <t xml:space="preserve">MONSTERS STENCIL CRAFT</t>
  </si>
  <si>
    <t xml:space="preserve">22562</t>
  </si>
  <si>
    <t xml:space="preserve">MONTANA DIAMOND CLUSTER EARRINGS</t>
  </si>
  <si>
    <t xml:space="preserve">90076</t>
  </si>
  <si>
    <t xml:space="preserve">MONTANA DIAMOND CLUSTER NECKLACE</t>
  </si>
  <si>
    <t xml:space="preserve">90075</t>
  </si>
  <si>
    <t xml:space="preserve">MOODY BOY DOOR HANGER</t>
  </si>
  <si>
    <t xml:space="preserve">MOODY GIRL DOOR HANGER</t>
  </si>
  <si>
    <t xml:space="preserve">MOON INCENSE</t>
  </si>
  <si>
    <t xml:space="preserve">17084G</t>
  </si>
  <si>
    <t xml:space="preserve">MOP PENDANT SHELL NECKLACE</t>
  </si>
  <si>
    <t xml:space="preserve">90142D</t>
  </si>
  <si>
    <t xml:space="preserve">MORE BUTTER METAL SIGN</t>
  </si>
  <si>
    <t xml:space="preserve">21905</t>
  </si>
  <si>
    <t xml:space="preserve">MOROCCAN BEATEN METAL DISH</t>
  </si>
  <si>
    <t xml:space="preserve">21344</t>
  </si>
  <si>
    <t xml:space="preserve">MOROCCAN BEATEN METAL DISH LARGE</t>
  </si>
  <si>
    <t xml:space="preserve">21331</t>
  </si>
  <si>
    <t xml:space="preserve">MOROCCAN BEATEN METAL MIRROR</t>
  </si>
  <si>
    <t xml:space="preserve">21332</t>
  </si>
  <si>
    <t xml:space="preserve">MOROCCAN TEA GLASS</t>
  </si>
  <si>
    <t xml:space="preserve">79000</t>
  </si>
  <si>
    <t xml:space="preserve">MOSAIC CANDLE DISH BLUE PURPLE</t>
  </si>
  <si>
    <t xml:space="preserve">79308B</t>
  </si>
  <si>
    <t xml:space="preserve">MOSAIC GLASS BALL CANDLEHOLDER</t>
  </si>
  <si>
    <t xml:space="preserve">79532</t>
  </si>
  <si>
    <t xml:space="preserve">MOTORING TISSUE BOX</t>
  </si>
  <si>
    <t xml:space="preserve">22093</t>
  </si>
  <si>
    <t xml:space="preserve">MOUSE TOY WITH PINK T-SHIRT</t>
  </si>
  <si>
    <t xml:space="preserve">MOUSEY LONG LEGS SOFT TOY</t>
  </si>
  <si>
    <t xml:space="preserve">20699</t>
  </si>
  <si>
    <t xml:space="preserve">MR ROBOT SOFT TOY</t>
  </si>
  <si>
    <t xml:space="preserve">20704</t>
  </si>
  <si>
    <t xml:space="preserve">MRS ROBOT SOFT TOY</t>
  </si>
  <si>
    <t xml:space="preserve">20705</t>
  </si>
  <si>
    <t xml:space="preserve">MUG , DOTCOMGIFTSHOP.COM</t>
  </si>
  <si>
    <t xml:space="preserve">22206</t>
  </si>
  <si>
    <t xml:space="preserve">MUG AND COASTER SET RED CIRCLES</t>
  </si>
  <si>
    <t xml:space="preserve">22864</t>
  </si>
  <si>
    <t xml:space="preserve">MUG PINK AND PURPLE ARABIC DESIGN</t>
  </si>
  <si>
    <t xml:space="preserve">37432</t>
  </si>
  <si>
    <t xml:space="preserve">MULTI COLOUR SILVER T-LIGHT HOLDER</t>
  </si>
  <si>
    <t xml:space="preserve">MULTI HEARTS STICKERS</t>
  </si>
  <si>
    <t xml:space="preserve">21726</t>
  </si>
  <si>
    <t xml:space="preserve">MULTICOLOUR 3D BALLS GARLAND</t>
  </si>
  <si>
    <t xml:space="preserve">21205</t>
  </si>
  <si>
    <t xml:space="preserve">MULTICOLOUR CONFETTI IN TUBE</t>
  </si>
  <si>
    <t xml:space="preserve">MULTICOLOUR CRUSOE CHECK LAMPSHADE</t>
  </si>
  <si>
    <t xml:space="preserve">44091C</t>
  </si>
  <si>
    <t xml:space="preserve">MULTICOLOUR DOTS PLATE</t>
  </si>
  <si>
    <t xml:space="preserve">37471</t>
  </si>
  <si>
    <t xml:space="preserve">MULTICOLOUR EASTER RABBIT</t>
  </si>
  <si>
    <t xml:space="preserve">35910A</t>
  </si>
  <si>
    <t xml:space="preserve">MULTICOLOUR FEATHERS CURTAIN</t>
  </si>
  <si>
    <t xml:space="preserve">44217M</t>
  </si>
  <si>
    <t xml:space="preserve">MULTICOLOUR GLASS PLATE</t>
  </si>
  <si>
    <t xml:space="preserve">79534</t>
  </si>
  <si>
    <t xml:space="preserve">MULTICOLOUR HONEYCOMB FAN</t>
  </si>
  <si>
    <t xml:space="preserve">MULTICOLOUR HONEYCOMB PAPER GARLAND</t>
  </si>
  <si>
    <t xml:space="preserve">21200</t>
  </si>
  <si>
    <t xml:space="preserve">MULTICOLOUR RABBIT EGG WARMER</t>
  </si>
  <si>
    <t xml:space="preserve">35911A</t>
  </si>
  <si>
    <t xml:space="preserve">MULTICOLOUR SPRING FLOWER MUG</t>
  </si>
  <si>
    <t xml:space="preserve">37340</t>
  </si>
  <si>
    <t xml:space="preserve">MUMMY MOUSE RED GINGHAM RIBBON</t>
  </si>
  <si>
    <t xml:space="preserve">21839</t>
  </si>
  <si>
    <t xml:space="preserve">MURANO STYLE GLASS BRACELET BLACK</t>
  </si>
  <si>
    <t xml:space="preserve">90040B</t>
  </si>
  <si>
    <t xml:space="preserve">MURANO STYLE GLASS BRACELET GOLD</t>
  </si>
  <si>
    <t xml:space="preserve">90040C</t>
  </si>
  <si>
    <t xml:space="preserve">MURANO STYLE GLASS BRACELET PINK</t>
  </si>
  <si>
    <t xml:space="preserve">90040D</t>
  </si>
  <si>
    <t xml:space="preserve">MURANO STYLE GLASS BRACELET RED</t>
  </si>
  <si>
    <t xml:space="preserve">90040A</t>
  </si>
  <si>
    <t xml:space="preserve">MUSHROOM BLUE HOT WATER BOTTLE</t>
  </si>
  <si>
    <t xml:space="preserve">21482</t>
  </si>
  <si>
    <t xml:space="preserve">Manual</t>
  </si>
  <si>
    <t xml:space="preserve">M</t>
  </si>
  <si>
    <t xml:space="preserve">NAMASTE SWAGAT INCENSE</t>
  </si>
  <si>
    <t xml:space="preserve">17021</t>
  </si>
  <si>
    <t xml:space="preserve">NATURAL BARK CANDLE LARGE</t>
  </si>
  <si>
    <t xml:space="preserve">21282</t>
  </si>
  <si>
    <t xml:space="preserve">NATURAL BARK CANDLE SMALL</t>
  </si>
  <si>
    <t xml:space="preserve">21283</t>
  </si>
  <si>
    <t xml:space="preserve">NATURAL RIVIERA HANDBAG</t>
  </si>
  <si>
    <t xml:space="preserve">84858A</t>
  </si>
  <si>
    <t xml:space="preserve">NATURAL SLATE CHALKBOARD LARGE</t>
  </si>
  <si>
    <t xml:space="preserve">NATURAL SLATE HEART CHALKBOARD</t>
  </si>
  <si>
    <t xml:space="preserve">NATURAL SLATE RECTANGLE CHALKBOARD</t>
  </si>
  <si>
    <t xml:space="preserve">NAVY CUDDLES DOG HOODIE</t>
  </si>
  <si>
    <t xml:space="preserve">DCGS0066N</t>
  </si>
  <si>
    <t xml:space="preserve">NECKLACE+BRACELET PINK BUTTERFLY</t>
  </si>
  <si>
    <t xml:space="preserve">90098</t>
  </si>
  <si>
    <t xml:space="preserve">NECKLACE+BRACELET SET BLUE BLOSSOM</t>
  </si>
  <si>
    <t xml:space="preserve">90096</t>
  </si>
  <si>
    <t xml:space="preserve">NECKLACE+BRACELET SET BLUE HIBISCUS</t>
  </si>
  <si>
    <t xml:space="preserve">90099</t>
  </si>
  <si>
    <t xml:space="preserve">NECKLACE+BRACELET SET FRUIT SALAD</t>
  </si>
  <si>
    <t xml:space="preserve">90094</t>
  </si>
  <si>
    <t xml:space="preserve">NECKLACE+BRACELET SET PINK BLOSSOM</t>
  </si>
  <si>
    <t xml:space="preserve">90095</t>
  </si>
  <si>
    <t xml:space="preserve">NECKLACE+BRACELET SET PINK DAISY</t>
  </si>
  <si>
    <t xml:space="preserve">90100</t>
  </si>
  <si>
    <t xml:space="preserve">NEW BAROQUE B'FLY NECKLACE BLACK</t>
  </si>
  <si>
    <t xml:space="preserve">90024A</t>
  </si>
  <si>
    <t xml:space="preserve">NEW BAROQUE B'FLY NECKLACE CRYSTAL</t>
  </si>
  <si>
    <t xml:space="preserve">90024F</t>
  </si>
  <si>
    <t xml:space="preserve">NEW BAROQUE B'FLY NECKLACE GREEN</t>
  </si>
  <si>
    <t xml:space="preserve">90024C</t>
  </si>
  <si>
    <t xml:space="preserve">NEW BAROQUE B'FLY NECKLACE MONTANA</t>
  </si>
  <si>
    <t xml:space="preserve">90024E</t>
  </si>
  <si>
    <t xml:space="preserve">NEW BAROQUE B'FLY NECKLACE PINK</t>
  </si>
  <si>
    <t xml:space="preserve">90024D</t>
  </si>
  <si>
    <t xml:space="preserve">NEW BAROQUE B'FLY NECKLACE RED</t>
  </si>
  <si>
    <t xml:space="preserve">90024B</t>
  </si>
  <si>
    <t xml:space="preserve">NEW BAROQUE BLACK BOXES</t>
  </si>
  <si>
    <t xml:space="preserve">84617</t>
  </si>
  <si>
    <t xml:space="preserve">NEW BAROQUE BLACK PHOTO ALBUM</t>
  </si>
  <si>
    <t xml:space="preserve">84865</t>
  </si>
  <si>
    <t xml:space="preserve">NEW BAROQUE IVORY CUSHION COVER</t>
  </si>
  <si>
    <t xml:space="preserve">84601A</t>
  </si>
  <si>
    <t xml:space="preserve">NEW BAROQUE JEWELLERY BOX</t>
  </si>
  <si>
    <t xml:space="preserve">84600</t>
  </si>
  <si>
    <t xml:space="preserve">NEW BAROQUE LARGE NECKLACE BLK/WHIT</t>
  </si>
  <si>
    <t xml:space="preserve">90028</t>
  </si>
  <si>
    <t xml:space="preserve">NEW BAROQUE SMALL NECKLACE BLACK</t>
  </si>
  <si>
    <t xml:space="preserve">90029</t>
  </si>
  <si>
    <t xml:space="preserve">NEW BAROQUE WALL MIRROR</t>
  </si>
  <si>
    <t xml:space="preserve">84648</t>
  </si>
  <si>
    <t xml:space="preserve">NEW ENGLAND CERAMIC CAKE SERVER</t>
  </si>
  <si>
    <t xml:space="preserve">37508</t>
  </si>
  <si>
    <t xml:space="preserve">NEW ENGLAND EGG WARMER</t>
  </si>
  <si>
    <t xml:space="preserve">47598</t>
  </si>
  <si>
    <t xml:space="preserve">NEW ENGLAND MILK JUG W GIFT BOX</t>
  </si>
  <si>
    <t xml:space="preserve">37506</t>
  </si>
  <si>
    <t xml:space="preserve">NEW ENGLAND MUG W GIFT BOX</t>
  </si>
  <si>
    <t xml:space="preserve">37509</t>
  </si>
  <si>
    <t xml:space="preserve">NEW ENGLAND TEATOWELS</t>
  </si>
  <si>
    <t xml:space="preserve">47597</t>
  </si>
  <si>
    <t xml:space="preserve">NEWSPAPER STAND</t>
  </si>
  <si>
    <t xml:space="preserve">22765</t>
  </si>
  <si>
    <t xml:space="preserve">NIGHTINGALE COATHOOK WHITE</t>
  </si>
  <si>
    <t xml:space="preserve">85117</t>
  </si>
  <si>
    <t xml:space="preserve">NINJA RABBIT BLACK</t>
  </si>
  <si>
    <t xml:space="preserve">21028</t>
  </si>
  <si>
    <t xml:space="preserve">NINJA RABBIT PINK</t>
  </si>
  <si>
    <t xml:space="preserve">21027</t>
  </si>
  <si>
    <t xml:space="preserve">NO JUNK MAIL METAL SIGN</t>
  </si>
  <si>
    <t xml:space="preserve">21179</t>
  </si>
  <si>
    <t xml:space="preserve">NO SINGING METAL SIGN</t>
  </si>
  <si>
    <t xml:space="preserve">NOEL GARLAND PAINTED ZINC</t>
  </si>
  <si>
    <t xml:space="preserve">22340</t>
  </si>
  <si>
    <t xml:space="preserve">NOEL WOODEN BLOCK LETTERS</t>
  </si>
  <si>
    <t xml:space="preserve">22121</t>
  </si>
  <si>
    <t xml:space="preserve">NOVELTY BISCUITS CAKE STAND 3 TIER</t>
  </si>
  <si>
    <t xml:space="preserve">22890</t>
  </si>
  <si>
    <t xml:space="preserve">NUMBER TILE COTTAGE GARDEN 0</t>
  </si>
  <si>
    <t xml:space="preserve">22868</t>
  </si>
  <si>
    <t xml:space="preserve">NUMBER TILE COTTAGE GARDEN 2</t>
  </si>
  <si>
    <t xml:space="preserve">22870</t>
  </si>
  <si>
    <t xml:space="preserve">NUMBER TILE COTTAGE GARDEN 3</t>
  </si>
  <si>
    <t xml:space="preserve">22871</t>
  </si>
  <si>
    <t xml:space="preserve">NUMBER TILE COTTAGE GARDEN 4</t>
  </si>
  <si>
    <t xml:space="preserve">22872</t>
  </si>
  <si>
    <t xml:space="preserve">NUMBER TILE COTTAGE GARDEN 5</t>
  </si>
  <si>
    <t xml:space="preserve">22873</t>
  </si>
  <si>
    <t xml:space="preserve">NUMBER TILE COTTAGE GARDEN 6</t>
  </si>
  <si>
    <t xml:space="preserve">22874</t>
  </si>
  <si>
    <t xml:space="preserve">NUMBER TILE COTTAGE GARDEN 7</t>
  </si>
  <si>
    <t xml:space="preserve">22875</t>
  </si>
  <si>
    <t xml:space="preserve">NUMBER TILE COTTAGE GARDEN 8</t>
  </si>
  <si>
    <t xml:space="preserve">22876</t>
  </si>
  <si>
    <t xml:space="preserve">NUMBER TILE COTTAGE GARDEN No</t>
  </si>
  <si>
    <t xml:space="preserve">22878</t>
  </si>
  <si>
    <t xml:space="preserve">NUMBER TILE COTTAGE GARDEN, 1</t>
  </si>
  <si>
    <t xml:space="preserve">22869</t>
  </si>
  <si>
    <t xml:space="preserve">NUMBER TILE COTTAGE GARDEN, 9</t>
  </si>
  <si>
    <t xml:space="preserve">22877</t>
  </si>
  <si>
    <t xml:space="preserve">NUMBER TILE VINTAGE FONT 0</t>
  </si>
  <si>
    <t xml:space="preserve">22879</t>
  </si>
  <si>
    <t xml:space="preserve">NUMBER TILE VINTAGE FONT 1</t>
  </si>
  <si>
    <t xml:space="preserve">22880</t>
  </si>
  <si>
    <t xml:space="preserve">NUMBER TILE VINTAGE FONT 2</t>
  </si>
  <si>
    <t xml:space="preserve">22881</t>
  </si>
  <si>
    <t xml:space="preserve">NUMBER TILE VINTAGE FONT 3</t>
  </si>
  <si>
    <t xml:space="preserve">22882</t>
  </si>
  <si>
    <t xml:space="preserve">NUMBER TILE VINTAGE FONT 4</t>
  </si>
  <si>
    <t xml:space="preserve">22883</t>
  </si>
  <si>
    <t xml:space="preserve">NUMBER TILE VINTAGE FONT 5</t>
  </si>
  <si>
    <t xml:space="preserve">22884</t>
  </si>
  <si>
    <t xml:space="preserve">NUMBER TILE VINTAGE FONT 6</t>
  </si>
  <si>
    <t xml:space="preserve">22885</t>
  </si>
  <si>
    <t xml:space="preserve">NUMBER TILE VINTAGE FONT 7</t>
  </si>
  <si>
    <t xml:space="preserve">22886</t>
  </si>
  <si>
    <t xml:space="preserve">NUMBER TILE VINTAGE FONT 8</t>
  </si>
  <si>
    <t xml:space="preserve">22887</t>
  </si>
  <si>
    <t xml:space="preserve">NUMBER TILE VINTAGE FONT 9</t>
  </si>
  <si>
    <t xml:space="preserve">22888</t>
  </si>
  <si>
    <t xml:space="preserve">NUMBER TILE VINTAGE FONT No</t>
  </si>
  <si>
    <t xml:space="preserve">22889</t>
  </si>
  <si>
    <t xml:space="preserve">NURSE'S BAG SOFT TOY</t>
  </si>
  <si>
    <t xml:space="preserve">21054</t>
  </si>
  <si>
    <t xml:space="preserve">NURSERY A,B,C PAINTED LETTERS</t>
  </si>
  <si>
    <t xml:space="preserve">OCCASIONS GIFT CARD ASSORTMENT</t>
  </si>
  <si>
    <t xml:space="preserve">85072</t>
  </si>
  <si>
    <t xml:space="preserve">OCEAN SCENT CANDLE IN JEWELLED BOX</t>
  </si>
  <si>
    <t xml:space="preserve">72802B</t>
  </si>
  <si>
    <t xml:space="preserve">OCEAN SCENT CANDLE JEWELLED DRAWER</t>
  </si>
  <si>
    <t xml:space="preserve">72803B</t>
  </si>
  <si>
    <t xml:space="preserve">OCEAN STRIPE HAMMOCK</t>
  </si>
  <si>
    <t xml:space="preserve">84795C</t>
  </si>
  <si>
    <t xml:space="preserve">OFFICE MUG WARMER BLACK+SILVER</t>
  </si>
  <si>
    <t xml:space="preserve">OFFICE MUG WARMER CHOC+BLUE</t>
  </si>
  <si>
    <t xml:space="preserve">22314</t>
  </si>
  <si>
    <t xml:space="preserve">OFFICE MUG WARMER PINK</t>
  </si>
  <si>
    <t xml:space="preserve">22313</t>
  </si>
  <si>
    <t xml:space="preserve">OFFICE MUG WARMER POLKADOT</t>
  </si>
  <si>
    <t xml:space="preserve">OLD DOC RUSSEL METAL SIGN</t>
  </si>
  <si>
    <t xml:space="preserve">82605</t>
  </si>
  <si>
    <t xml:space="preserve">OLD ROSE COMBO BEAD NECKLACE</t>
  </si>
  <si>
    <t xml:space="preserve">90134</t>
  </si>
  <si>
    <t xml:space="preserve">OLIVE CHALET BIRDFEEDER</t>
  </si>
  <si>
    <t xml:space="preserve">21443</t>
  </si>
  <si>
    <t xml:space="preserve">OOH LA LA DOGS COLLAR</t>
  </si>
  <si>
    <t xml:space="preserve">DCGS0069</t>
  </si>
  <si>
    <t xml:space="preserve">OPAL WHITE/SILVER FLOWER NECKLACE</t>
  </si>
  <si>
    <t xml:space="preserve">90000C</t>
  </si>
  <si>
    <t xml:space="preserve">OPEN CLOSED METAL SIGN</t>
  </si>
  <si>
    <t xml:space="preserve">OPIUM SCENTED VOTIVE CANDLE</t>
  </si>
  <si>
    <t xml:space="preserve">85230A</t>
  </si>
  <si>
    <t xml:space="preserve">OPULENT VELVET CANDLE IN BOX</t>
  </si>
  <si>
    <t xml:space="preserve">20870</t>
  </si>
  <si>
    <t xml:space="preserve">OPULENT VELVET SET/3 CANDLES</t>
  </si>
  <si>
    <t xml:space="preserve">20871</t>
  </si>
  <si>
    <t xml:space="preserve">ORANGE CANDLE</t>
  </si>
  <si>
    <t xml:space="preserve">20939</t>
  </si>
  <si>
    <t xml:space="preserve">ORANGE COCKTAIL GLASS LAMP</t>
  </si>
  <si>
    <t xml:space="preserve">84255B</t>
  </si>
  <si>
    <t xml:space="preserve">ORANGE FELT VASE + FLOWERS</t>
  </si>
  <si>
    <t xml:space="preserve">84743C</t>
  </si>
  <si>
    <t xml:space="preserve">ORANGE FLOWER MUG</t>
  </si>
  <si>
    <t xml:space="preserve">37351</t>
  </si>
  <si>
    <t xml:space="preserve">ORANGE PENDANT TRIPLE SHELL NECKLAC</t>
  </si>
  <si>
    <t xml:space="preserve">90141E</t>
  </si>
  <si>
    <t xml:space="preserve">ORANGE SCENTED SET/9 T-LIGHTS</t>
  </si>
  <si>
    <t xml:space="preserve">85231G</t>
  </si>
  <si>
    <t xml:space="preserve">ORANGE TV TRAY TABLE</t>
  </si>
  <si>
    <t xml:space="preserve">84313C</t>
  </si>
  <si>
    <t xml:space="preserve">ORANGE VOTIVE CANDLE</t>
  </si>
  <si>
    <t xml:space="preserve">85230G</t>
  </si>
  <si>
    <t xml:space="preserve">ORANGE/FUSCHIA STONES NECKLACE</t>
  </si>
  <si>
    <t xml:space="preserve">90135A</t>
  </si>
  <si>
    <t xml:space="preserve">ORANGE/WHT/FUSCHIA STONES NECKLACE</t>
  </si>
  <si>
    <t xml:space="preserve">90135</t>
  </si>
  <si>
    <t xml:space="preserve">ORGANISER WOOD ANTIQUE WHITE</t>
  </si>
  <si>
    <t xml:space="preserve">22168</t>
  </si>
  <si>
    <t xml:space="preserve">ORIENTAL BLUE C/COVER</t>
  </si>
  <si>
    <t xml:space="preserve">84984C</t>
  </si>
  <si>
    <t xml:space="preserve">ORIENTAL RED C/COVER</t>
  </si>
  <si>
    <t xml:space="preserve">84984D</t>
  </si>
  <si>
    <t xml:space="preserve">ORIGAMI JASMINE INCENSE IN TUBE</t>
  </si>
  <si>
    <t xml:space="preserve">17013B</t>
  </si>
  <si>
    <t xml:space="preserve">ORIGAMI JASMINE INCENSE+FLOWER</t>
  </si>
  <si>
    <t xml:space="preserve">17011B</t>
  </si>
  <si>
    <t xml:space="preserve">ORIGAMI JASMINE INCENSE/CANDLE SET</t>
  </si>
  <si>
    <t xml:space="preserve">17012B</t>
  </si>
  <si>
    <t xml:space="preserve">ORIGAMI LAVENDER INCENSE CONES</t>
  </si>
  <si>
    <t xml:space="preserve">17014C</t>
  </si>
  <si>
    <t xml:space="preserve">ORIGAMI LAVENDER INCENSE IN TUBE</t>
  </si>
  <si>
    <t xml:space="preserve">17013C</t>
  </si>
  <si>
    <t xml:space="preserve">ORIGAMI LAVENDER INCENSE+FLOWER</t>
  </si>
  <si>
    <t xml:space="preserve">17011C</t>
  </si>
  <si>
    <t xml:space="preserve">ORIGAMI LAVENDER INCENSE/CANDL SET</t>
  </si>
  <si>
    <t xml:space="preserve">17012C</t>
  </si>
  <si>
    <t xml:space="preserve">ORIGAMI OPIUM INCENSE CONES</t>
  </si>
  <si>
    <t xml:space="preserve">17014E</t>
  </si>
  <si>
    <t xml:space="preserve">ORIGAMI OPIUM INCENSE/CANDLE SET</t>
  </si>
  <si>
    <t xml:space="preserve">17012E</t>
  </si>
  <si>
    <t xml:space="preserve">ORIGAMI OPIUM SCENT INCENSE+FLOWER</t>
  </si>
  <si>
    <t xml:space="preserve">17011E</t>
  </si>
  <si>
    <t xml:space="preserve">ORIGAMI ROSE INCENSE CONES</t>
  </si>
  <si>
    <t xml:space="preserve">17014D</t>
  </si>
  <si>
    <t xml:space="preserve">ORIGAMI ROSE INCENSE IN TUBE</t>
  </si>
  <si>
    <t xml:space="preserve">17013D</t>
  </si>
  <si>
    <t xml:space="preserve">ORIGAMI ROSE INCENSE+FLOWER</t>
  </si>
  <si>
    <t xml:space="preserve">17011D</t>
  </si>
  <si>
    <t xml:space="preserve">ORIGAMI ROSE INCENSE/CANDLE SET</t>
  </si>
  <si>
    <t xml:space="preserve">17012D</t>
  </si>
  <si>
    <t xml:space="preserve">ORIGAMI SANDLEWOOD INCENSE CONES</t>
  </si>
  <si>
    <t xml:space="preserve">17014F</t>
  </si>
  <si>
    <t xml:space="preserve">ORIGAMI SANDLEWOOD INCENSE IN TUBE</t>
  </si>
  <si>
    <t xml:space="preserve">17013F</t>
  </si>
  <si>
    <t xml:space="preserve">ORIGAMI SANDLEWOOD INCENSE+FLOWER</t>
  </si>
  <si>
    <t xml:space="preserve">17011F</t>
  </si>
  <si>
    <t xml:space="preserve">ORIGAMI SANDLEWOOD INCENSE/CAND SET</t>
  </si>
  <si>
    <t xml:space="preserve">17012F</t>
  </si>
  <si>
    <t xml:space="preserve">ORIGAMI VANILLA INCENSE CONES</t>
  </si>
  <si>
    <t xml:space="preserve">17014A</t>
  </si>
  <si>
    <t xml:space="preserve">ORIGAMI VANILLA INCENSE+FLOWER</t>
  </si>
  <si>
    <t xml:space="preserve">17011A</t>
  </si>
  <si>
    <t xml:space="preserve">ORIGAMI VANILLA INCENSE/CANDLE SET</t>
  </si>
  <si>
    <t xml:space="preserve">17012A</t>
  </si>
  <si>
    <t xml:space="preserve">ORNATE EDWARDIAN CANDLE HOLDER</t>
  </si>
  <si>
    <t xml:space="preserve">84608</t>
  </si>
  <si>
    <t xml:space="preserve">OVEN MITT APPLES DESIGN</t>
  </si>
  <si>
    <t xml:space="preserve">22897</t>
  </si>
  <si>
    <t xml:space="preserve">OVERNIGHT BAG VINTAGE ROSE PAISLEY</t>
  </si>
  <si>
    <t xml:space="preserve">OWL DOORSTOP</t>
  </si>
  <si>
    <t xml:space="preserve">21116</t>
  </si>
  <si>
    <t xml:space="preserve">OWLS CHARLOTTE BAG</t>
  </si>
  <si>
    <t xml:space="preserve">20721</t>
  </si>
  <si>
    <t xml:space="preserve">OYSTER TRINKET BOX</t>
  </si>
  <si>
    <t xml:space="preserve">21420</t>
  </si>
  <si>
    <t xml:space="preserve">PACK 20 DOLLY PEGS</t>
  </si>
  <si>
    <t xml:space="preserve">84691</t>
  </si>
  <si>
    <t xml:space="preserve">PACK 20 ENGLISH ROSE PAPER NAPKINS</t>
  </si>
  <si>
    <t xml:space="preserve">84520B</t>
  </si>
  <si>
    <t xml:space="preserve">PACK 3 BOXES BIRD PANNETONE</t>
  </si>
  <si>
    <t xml:space="preserve">22813</t>
  </si>
  <si>
    <t xml:space="preserve">PACK 3 BOXES CHRISTMAS PANNETONE</t>
  </si>
  <si>
    <t xml:space="preserve">22812</t>
  </si>
  <si>
    <t xml:space="preserve">PACK 3 FIRE ENGINE/CAR PATCHES</t>
  </si>
  <si>
    <t xml:space="preserve">84569B</t>
  </si>
  <si>
    <t xml:space="preserve">PACK 3 IRON ON DOG PATCHES</t>
  </si>
  <si>
    <t xml:space="preserve">84569A</t>
  </si>
  <si>
    <t xml:space="preserve">PACK 4 FLOWER/BUTTERFLY PATCHES</t>
  </si>
  <si>
    <t xml:space="preserve">84569C</t>
  </si>
  <si>
    <t xml:space="preserve">PACK 6 HEART/ICE-CREAM PATCHES</t>
  </si>
  <si>
    <t xml:space="preserve">84569D</t>
  </si>
  <si>
    <t xml:space="preserve">PACK OF 12 BLUE PAISLEY TISSUES</t>
  </si>
  <si>
    <t xml:space="preserve">21983</t>
  </si>
  <si>
    <t xml:space="preserve">PACK OF 12 CIRCUS PARADE TISSUES</t>
  </si>
  <si>
    <t xml:space="preserve">22615</t>
  </si>
  <si>
    <t xml:space="preserve">PACK OF 12 COLOURED PENCILS</t>
  </si>
  <si>
    <t xml:space="preserve">22491</t>
  </si>
  <si>
    <t xml:space="preserve">PACK OF 12 HEARTS DESIGN TISSUES</t>
  </si>
  <si>
    <t xml:space="preserve">21985</t>
  </si>
  <si>
    <t xml:space="preserve">PACK OF 12 LONDON TISSUES</t>
  </si>
  <si>
    <t xml:space="preserve">22616</t>
  </si>
  <si>
    <t xml:space="preserve">PACK OF 12 PINK PAISLEY TISSUES</t>
  </si>
  <si>
    <t xml:space="preserve">21984</t>
  </si>
  <si>
    <t xml:space="preserve">PACK OF 12 PINK SPOT TISSUES</t>
  </si>
  <si>
    <t xml:space="preserve">21986</t>
  </si>
  <si>
    <t xml:space="preserve">PACK OF 12 RED SPOTTY TISSUES</t>
  </si>
  <si>
    <t xml:space="preserve">PACK OF 12 SKULL TISSUES</t>
  </si>
  <si>
    <t xml:space="preserve">21967</t>
  </si>
  <si>
    <t xml:space="preserve">PACK OF 12 SPACEBOY TISSUES</t>
  </si>
  <si>
    <t xml:space="preserve">22614</t>
  </si>
  <si>
    <t xml:space="preserve">PACK OF 12 STICKY BUNNIES</t>
  </si>
  <si>
    <t xml:space="preserve">21383</t>
  </si>
  <si>
    <t xml:space="preserve">PACK OF 12 SUKI TISSUES</t>
  </si>
  <si>
    <t xml:space="preserve">PACK OF 12 TRADITIONAL CRAYONS</t>
  </si>
  <si>
    <t xml:space="preserve">PACK OF 12 WOODLAND TISSUES</t>
  </si>
  <si>
    <t xml:space="preserve">PACK OF 20 FAIRY CAKE PAPER NAPKINS</t>
  </si>
  <si>
    <t xml:space="preserve">84520D</t>
  </si>
  <si>
    <t xml:space="preserve">PACK OF 20 NAPKINS PANTRY DESIGN</t>
  </si>
  <si>
    <t xml:space="preserve">PACK OF 20 NAPKINS RED APPLES</t>
  </si>
  <si>
    <t xml:space="preserve">PACK OF 20 SKULL PAPER NAPKINS</t>
  </si>
  <si>
    <t xml:space="preserve">PACK OF 20 SPACEBOY NAPKINS</t>
  </si>
  <si>
    <t xml:space="preserve">PACK OF 6 BIRDY GIFT TAGS</t>
  </si>
  <si>
    <t xml:space="preserve">PACK OF 6 HANDBAG GIFT BOXES</t>
  </si>
  <si>
    <t xml:space="preserve">22583</t>
  </si>
  <si>
    <t xml:space="preserve">PACK OF 6 PANNETONE GIFT BOXES</t>
  </si>
  <si>
    <t xml:space="preserve">PACK OF 6 SANDCASTLE FLAGS ASSORTED</t>
  </si>
  <si>
    <t xml:space="preserve">21878</t>
  </si>
  <si>
    <t xml:space="preserve">PACK OF 6 SKULL PAPER CUPS</t>
  </si>
  <si>
    <t xml:space="preserve">PACK OF 6 SKULL PAPER PLATES</t>
  </si>
  <si>
    <t xml:space="preserve">PACK OF 6 SWEETIE GIFT BOXES</t>
  </si>
  <si>
    <t xml:space="preserve">22582</t>
  </si>
  <si>
    <t xml:space="preserve">PACK OF 60 DINOSAUR CAKE CASES</t>
  </si>
  <si>
    <t xml:space="preserve">PACK OF 60 MUSHROOM CAKE CASES</t>
  </si>
  <si>
    <t xml:space="preserve">PACK OF 60 PINK PAISLEY CAKE CASES</t>
  </si>
  <si>
    <t xml:space="preserve">PACK OF 60 SPACEBOY CAKE CASES</t>
  </si>
  <si>
    <t xml:space="preserve">PACK OF 72 RETRO SPOT CAKE CASES</t>
  </si>
  <si>
    <t xml:space="preserve">PACK OF 72 SKULL CAKE CASES</t>
  </si>
  <si>
    <t xml:space="preserve">21213</t>
  </si>
  <si>
    <t xml:space="preserve">PACK/12 BLUE FOLKART CARDS</t>
  </si>
  <si>
    <t xml:space="preserve">84247N</t>
  </si>
  <si>
    <t xml:space="preserve">PACK/12 BLUE REINDEER CARD</t>
  </si>
  <si>
    <t xml:space="preserve">84247C</t>
  </si>
  <si>
    <t xml:space="preserve">PACK/12 DECOUPAGE CARD</t>
  </si>
  <si>
    <t xml:space="preserve">84247H</t>
  </si>
  <si>
    <t xml:space="preserve">PACK/12 RUSSIAN DOLL CARDS</t>
  </si>
  <si>
    <t xml:space="preserve">84247J</t>
  </si>
  <si>
    <t xml:space="preserve">PACK/12 XMAS FUN CARD</t>
  </si>
  <si>
    <t xml:space="preserve">84247E</t>
  </si>
  <si>
    <t xml:space="preserve">PADDED HOLLY CHRISTMAS DECORATION</t>
  </si>
  <si>
    <t xml:space="preserve">85081</t>
  </si>
  <si>
    <t xml:space="preserve">PADDED RED HEART DECORATION</t>
  </si>
  <si>
    <t xml:space="preserve">85080</t>
  </si>
  <si>
    <t xml:space="preserve">PADS TO MATCH ALL CUSHIONS</t>
  </si>
  <si>
    <t xml:space="preserve">PADS</t>
  </si>
  <si>
    <t xml:space="preserve">PAINT YOUR OWN CANVAS SET</t>
  </si>
  <si>
    <t xml:space="preserve">22493</t>
  </si>
  <si>
    <t xml:space="preserve">PAINTED BIRD ASSORTED CHRISTMAS</t>
  </si>
  <si>
    <t xml:space="preserve">21133</t>
  </si>
  <si>
    <t xml:space="preserve">PAINTED LIGHTBULB RAINBOW DESIGN</t>
  </si>
  <si>
    <t xml:space="preserve">79144C</t>
  </si>
  <si>
    <t xml:space="preserve">PAINTED LIGHTBULB STAR+ MOON</t>
  </si>
  <si>
    <t xml:space="preserve">79144B</t>
  </si>
  <si>
    <t xml:space="preserve">PAINTED METAL HEART WITH HOLLY BELL</t>
  </si>
  <si>
    <t xml:space="preserve">21823</t>
  </si>
  <si>
    <t xml:space="preserve">PAINTED METAL PEARS ASSORTED</t>
  </si>
  <si>
    <t xml:space="preserve">21136</t>
  </si>
  <si>
    <t xml:space="preserve">PAINTED METAL STAR WITH HOLLY BELLS</t>
  </si>
  <si>
    <t xml:space="preserve">21824</t>
  </si>
  <si>
    <t xml:space="preserve">PAINTED METAL TREE WITH HOLLY BELLS</t>
  </si>
  <si>
    <t xml:space="preserve">21825</t>
  </si>
  <si>
    <t xml:space="preserve">PAINTED PINK RABBIT</t>
  </si>
  <si>
    <t xml:space="preserve">21454</t>
  </si>
  <si>
    <t xml:space="preserve">PAINTED SEA SHELL METAL WINDCHIME</t>
  </si>
  <si>
    <t xml:space="preserve">75172</t>
  </si>
  <si>
    <t xml:space="preserve">PAINTED YELLOW WOODEN DAISY</t>
  </si>
  <si>
    <t xml:space="preserve">21455</t>
  </si>
  <si>
    <t xml:space="preserve">PAIR BUTTERFLY HAIR CLIPS</t>
  </si>
  <si>
    <t xml:space="preserve">90173</t>
  </si>
  <si>
    <t xml:space="preserve">PAIR OF ENAMEL BUTTERFLY HAIRCLIP</t>
  </si>
  <si>
    <t xml:space="preserve">90204</t>
  </si>
  <si>
    <t xml:space="preserve">PAIR OF ENAMEL FLOWER CLUSTER SLIDE</t>
  </si>
  <si>
    <t xml:space="preserve">90208</t>
  </si>
  <si>
    <t xml:space="preserve">PAIR PADDED HANGERS PINK CHECK</t>
  </si>
  <si>
    <t xml:space="preserve">47367B</t>
  </si>
  <si>
    <t xml:space="preserve">PAIR PINK/BLACK COATHANGERS</t>
  </si>
  <si>
    <t xml:space="preserve">35644</t>
  </si>
  <si>
    <t xml:space="preserve">PAISLEY PATTERN STICKERS</t>
  </si>
  <si>
    <t xml:space="preserve">21678</t>
  </si>
  <si>
    <t xml:space="preserve">PALE PINK/AMETHYST STONE NECKLACE</t>
  </si>
  <si>
    <t xml:space="preserve">90136</t>
  </si>
  <si>
    <t xml:space="preserve">PANDA AND BUNNIES STICKER SHEET</t>
  </si>
  <si>
    <t xml:space="preserve">21724</t>
  </si>
  <si>
    <t xml:space="preserve">PAPER BUNTING COLOURED LACE</t>
  </si>
  <si>
    <t xml:space="preserve">22088</t>
  </si>
  <si>
    <t xml:space="preserve">PAPER BUNTING RETRO SPOTS</t>
  </si>
  <si>
    <t xml:space="preserve">PAPER BUNTING VINTAGE PAISLEY</t>
  </si>
  <si>
    <t xml:space="preserve">22089</t>
  </si>
  <si>
    <t xml:space="preserve">PAPER BUNTING WHITE LACE</t>
  </si>
  <si>
    <t xml:space="preserve">22087</t>
  </si>
  <si>
    <t xml:space="preserve">PAPER CHAIN KIT 50'S CHRISTMAS</t>
  </si>
  <si>
    <t xml:space="preserve">PAPER CHAIN KIT EMPIRE</t>
  </si>
  <si>
    <t xml:space="preserve">22084</t>
  </si>
  <si>
    <t xml:space="preserve">PAPER CHAIN KIT LONDON</t>
  </si>
  <si>
    <t xml:space="preserve">22911</t>
  </si>
  <si>
    <t xml:space="preserve">PAPER CHAIN KIT RETRO SPOT</t>
  </si>
  <si>
    <t xml:space="preserve">PAPER CHAIN KIT SKULLS</t>
  </si>
  <si>
    <t xml:space="preserve">22085</t>
  </si>
  <si>
    <t xml:space="preserve">PAPER CHAIN KIT VINTAGE CHRISTMAS</t>
  </si>
  <si>
    <t xml:space="preserve">PAPER POCKET TRAVELING FAN</t>
  </si>
  <si>
    <t xml:space="preserve">15034</t>
  </si>
  <si>
    <t xml:space="preserve">PAPERWEIGHT CHILDHOOD MEMORIES</t>
  </si>
  <si>
    <t xml:space="preserve">PAPERWEIGHT HOME SWEET HOME</t>
  </si>
  <si>
    <t xml:space="preserve">PAPERWEIGHT KINGS CHOICE</t>
  </si>
  <si>
    <t xml:space="preserve">22394</t>
  </si>
  <si>
    <t xml:space="preserve">PAPERWEIGHT SAVE THE PLANET</t>
  </si>
  <si>
    <t xml:space="preserve">22389</t>
  </si>
  <si>
    <t xml:space="preserve">PAPERWEIGHT VINTAGE COLLAGE</t>
  </si>
  <si>
    <t xml:space="preserve">PAPERWEIGHT VINTAGE PAISLEY</t>
  </si>
  <si>
    <t xml:space="preserve">PARTY BUNTING</t>
  </si>
  <si>
    <t xml:space="preserve">PARTY CONE CHRISTMAS DECORATION</t>
  </si>
  <si>
    <t xml:space="preserve">22130</t>
  </si>
  <si>
    <t xml:space="preserve">PARTY CONES CANDY ASSORTED</t>
  </si>
  <si>
    <t xml:space="preserve">22128</t>
  </si>
  <si>
    <t xml:space="preserve">PARTY CONES CANDY TREE DECORATION</t>
  </si>
  <si>
    <t xml:space="preserve">22129</t>
  </si>
  <si>
    <t xml:space="preserve">PARTY CONES CARNIVAL ASSORTED</t>
  </si>
  <si>
    <t xml:space="preserve">22127</t>
  </si>
  <si>
    <t xml:space="preserve">PARTY FOOD SHOPPER BAG</t>
  </si>
  <si>
    <t xml:space="preserve">20716</t>
  </si>
  <si>
    <t xml:space="preserve">PARTY INVITES BALLOON GIRL</t>
  </si>
  <si>
    <t xml:space="preserve">21060</t>
  </si>
  <si>
    <t xml:space="preserve">PARTY INVITES DINOSAURS</t>
  </si>
  <si>
    <t xml:space="preserve">21059</t>
  </si>
  <si>
    <t xml:space="preserve">PARTY INVITES FOOTBALL</t>
  </si>
  <si>
    <t xml:space="preserve">21061</t>
  </si>
  <si>
    <t xml:space="preserve">PARTY INVITES JAZZ HEARTS</t>
  </si>
  <si>
    <t xml:space="preserve">21063</t>
  </si>
  <si>
    <t xml:space="preserve">PARTY INVITES SPACEMAN</t>
  </si>
  <si>
    <t xml:space="preserve">21062</t>
  </si>
  <si>
    <t xml:space="preserve">PARTY INVITES WOODLAND</t>
  </si>
  <si>
    <t xml:space="preserve">21058</t>
  </si>
  <si>
    <t xml:space="preserve">PARTY METAL SIGN</t>
  </si>
  <si>
    <t xml:space="preserve">PARTY PIZZA DISH BLUE RETROSPOT</t>
  </si>
  <si>
    <t xml:space="preserve">22345</t>
  </si>
  <si>
    <t xml:space="preserve">PARTY PIZZA DISH GREEN RETROSPOT</t>
  </si>
  <si>
    <t xml:space="preserve">22346</t>
  </si>
  <si>
    <t xml:space="preserve">PARTY PIZZA DISH PINK RETROSPOT</t>
  </si>
  <si>
    <t xml:space="preserve">22344</t>
  </si>
  <si>
    <t xml:space="preserve">PARTY PIZZA DISH RED RETROSPOT</t>
  </si>
  <si>
    <t xml:space="preserve">PARTY TIME DESIGN FLANNEL</t>
  </si>
  <si>
    <t xml:space="preserve">21946</t>
  </si>
  <si>
    <t xml:space="preserve">PARTY TIME PENCIL ERASERS</t>
  </si>
  <si>
    <t xml:space="preserve">16238</t>
  </si>
  <si>
    <t xml:space="preserve">PASTA ENAMEL/BRASS CONTAINER</t>
  </si>
  <si>
    <t xml:space="preserve">35233</t>
  </si>
  <si>
    <t xml:space="preserve">PASTEL BLUE PHOTO ALBUM</t>
  </si>
  <si>
    <t xml:space="preserve">16201B</t>
  </si>
  <si>
    <t xml:space="preserve">16202B</t>
  </si>
  <si>
    <t xml:space="preserve">PASTEL COLOUR HONEYCOMB FAN</t>
  </si>
  <si>
    <t xml:space="preserve">PASTEL PINK PHOTO ALBUM</t>
  </si>
  <si>
    <t xml:space="preserve">16201A</t>
  </si>
  <si>
    <t xml:space="preserve">16202A</t>
  </si>
  <si>
    <t xml:space="preserve">PASTEL STRIPE HAMMOCK</t>
  </si>
  <si>
    <t xml:space="preserve">84795A</t>
  </si>
  <si>
    <t xml:space="preserve">PATCHWORK PENCIL CASE BUTTERFLY</t>
  </si>
  <si>
    <t xml:space="preserve">20865</t>
  </si>
  <si>
    <t xml:space="preserve">PEACE SMALL WOOD LETTERS</t>
  </si>
  <si>
    <t xml:space="preserve">21364</t>
  </si>
  <si>
    <t xml:space="preserve">PEACE WOODEN BLOCK LETTERS</t>
  </si>
  <si>
    <t xml:space="preserve">PEACH KNITTED HEN</t>
  </si>
  <si>
    <t xml:space="preserve">35915C</t>
  </si>
  <si>
    <t xml:space="preserve">PEARL &amp; SHELL 42"NECKL. GREEN</t>
  </si>
  <si>
    <t xml:space="preserve">90035A</t>
  </si>
  <si>
    <t xml:space="preserve">PEARL &amp; SHELL 42"NECKL. IVORY</t>
  </si>
  <si>
    <t xml:space="preserve">90035C</t>
  </si>
  <si>
    <t xml:space="preserve">PEARL &amp; SHELL 42"NECKL. PINK</t>
  </si>
  <si>
    <t xml:space="preserve">90035B</t>
  </si>
  <si>
    <t xml:space="preserve">PEARL AND CHERRY QUARTZ BRACLET</t>
  </si>
  <si>
    <t xml:space="preserve">90041</t>
  </si>
  <si>
    <t xml:space="preserve">PEARL CRYSTAL PUMPKIN T-LIGHT HLDR</t>
  </si>
  <si>
    <t xml:space="preserve">85062</t>
  </si>
  <si>
    <t xml:space="preserve">PEG BAG APPLES DESIGN</t>
  </si>
  <si>
    <t xml:space="preserve">PENCIL CASE LIFE IS BEAUTIFUL</t>
  </si>
  <si>
    <t xml:space="preserve">22445</t>
  </si>
  <si>
    <t xml:space="preserve">PENNY FARTHING BIRTHDAY CARD</t>
  </si>
  <si>
    <t xml:space="preserve">PENS ASSORTED FUNKY JEWELED</t>
  </si>
  <si>
    <t xml:space="preserve">22608</t>
  </si>
  <si>
    <t xml:space="preserve">PENS ASSORTED FUNNY FACE</t>
  </si>
  <si>
    <t xml:space="preserve">PENS ASSORTED SPACEBALL</t>
  </si>
  <si>
    <t xml:space="preserve">22609</t>
  </si>
  <si>
    <t xml:space="preserve">PERIWINKLE T-LIGHT HOLDER</t>
  </si>
  <si>
    <t xml:space="preserve">21413</t>
  </si>
  <si>
    <t xml:space="preserve">PET MUG, BUDGIE</t>
  </si>
  <si>
    <t xml:space="preserve">37462B</t>
  </si>
  <si>
    <t xml:space="preserve">PET MUG, GOLDFISH</t>
  </si>
  <si>
    <t xml:space="preserve">37462E</t>
  </si>
  <si>
    <t xml:space="preserve">PHARMACIE FIRST AID TIN</t>
  </si>
  <si>
    <t xml:space="preserve">21906</t>
  </si>
  <si>
    <t xml:space="preserve">PHOTO CLIP LINE</t>
  </si>
  <si>
    <t xml:space="preserve">71270</t>
  </si>
  <si>
    <t xml:space="preserve">PHOTO CUBE</t>
  </si>
  <si>
    <t xml:space="preserve">22174</t>
  </si>
  <si>
    <t xml:space="preserve">PHOTO FRAME 3 CLASSIC HANGING</t>
  </si>
  <si>
    <t xml:space="preserve">PHOTO FRAME CORNICE</t>
  </si>
  <si>
    <t xml:space="preserve">PICCADILLY TEA SET</t>
  </si>
  <si>
    <t xml:space="preserve">20747</t>
  </si>
  <si>
    <t xml:space="preserve">PICNIC BASKET WICKER LARGE</t>
  </si>
  <si>
    <t xml:space="preserve">22501</t>
  </si>
  <si>
    <t xml:space="preserve">PICNIC BASKET WICKER SMALL</t>
  </si>
  <si>
    <t xml:space="preserve">22502</t>
  </si>
  <si>
    <t xml:space="preserve">PICNIC BOXES SET OF 3 RETROSPOT</t>
  </si>
  <si>
    <t xml:space="preserve">PICTURE DOMINOES</t>
  </si>
  <si>
    <t xml:space="preserve">PICTURE FRAME WOOD TRIPLE PORTRAIT</t>
  </si>
  <si>
    <t xml:space="preserve">22170</t>
  </si>
  <si>
    <t xml:space="preserve">PIECE OF CAMO STATIONERY SET</t>
  </si>
  <si>
    <t xml:space="preserve">16259</t>
  </si>
  <si>
    <t xml:space="preserve">PIG KEYRING WITH LIGHT &amp; SOUND</t>
  </si>
  <si>
    <t xml:space="preserve">PIG MUG IN TWO COLOUR DESIGNS</t>
  </si>
  <si>
    <t xml:space="preserve">37467</t>
  </si>
  <si>
    <t xml:space="preserve">PIGGY BANK RETROSPOT</t>
  </si>
  <si>
    <t xml:space="preserve">22637</t>
  </si>
  <si>
    <t xml:space="preserve">PIN CUSHION BABUSHKA RED</t>
  </si>
  <si>
    <t xml:space="preserve">PIN CUSHION RUSSIAN DOLL BLUE</t>
  </si>
  <si>
    <t xml:space="preserve">22447</t>
  </si>
  <si>
    <t xml:space="preserve">PIN CUSHION RUSSIAN DOLL PINK</t>
  </si>
  <si>
    <t xml:space="preserve">PING MICROWAVE APRON</t>
  </si>
  <si>
    <t xml:space="preserve">PING! MICROWAVE PLATE</t>
  </si>
  <si>
    <t xml:space="preserve">22108</t>
  </si>
  <si>
    <t xml:space="preserve">PINK &amp; WHITE BREAKFAST TRAY</t>
  </si>
  <si>
    <t xml:space="preserve">84563A</t>
  </si>
  <si>
    <t xml:space="preserve">PINK &amp; WHITE ROSEBUD RING</t>
  </si>
  <si>
    <t xml:space="preserve">90166</t>
  </si>
  <si>
    <t xml:space="preserve">PINK 3 PIECE MINI DOTS CUTLERY SET</t>
  </si>
  <si>
    <t xml:space="preserve">PINK 3 TIER GLASS PLATE STAND</t>
  </si>
  <si>
    <t xml:space="preserve">84782A</t>
  </si>
  <si>
    <t xml:space="preserve">PINK 5 PATCH FLOWER CUSHION COVER</t>
  </si>
  <si>
    <t xml:space="preserve">84908A</t>
  </si>
  <si>
    <t xml:space="preserve">PINK ALLIUM ARTIFICIAL FLOWER</t>
  </si>
  <si>
    <t xml:space="preserve">84803A</t>
  </si>
  <si>
    <t xml:space="preserve">PINK AND BLACK STRING CURTAIN</t>
  </si>
  <si>
    <t xml:space="preserve">35638A</t>
  </si>
  <si>
    <t xml:space="preserve">PINK AND LILAC QUILTED THROW</t>
  </si>
  <si>
    <t xml:space="preserve">84472</t>
  </si>
  <si>
    <t xml:space="preserve">PINK AND WHITE CHRISTMAS TREE 120CM</t>
  </si>
  <si>
    <t xml:space="preserve">35599D</t>
  </si>
  <si>
    <t xml:space="preserve">PINK AND WHITE CHRISTMAS TREE 180CM</t>
  </si>
  <si>
    <t xml:space="preserve">35600D</t>
  </si>
  <si>
    <t xml:space="preserve">PINK B'FLY C/COVER W BOBBLES</t>
  </si>
  <si>
    <t xml:space="preserve">84906</t>
  </si>
  <si>
    <t xml:space="preserve">PINK BABY BUNTING</t>
  </si>
  <si>
    <t xml:space="preserve">22668</t>
  </si>
  <si>
    <t xml:space="preserve">PINK BABY GIRL'S MEMORY BOX</t>
  </si>
  <si>
    <t xml:space="preserve">84868A</t>
  </si>
  <si>
    <t xml:space="preserve">PINK BABY GIRLS PHOTO ALBUM</t>
  </si>
  <si>
    <t xml:space="preserve">84867A</t>
  </si>
  <si>
    <t xml:space="preserve">PINK BALLET OPENING CUBE BOX</t>
  </si>
  <si>
    <t xml:space="preserve">16192</t>
  </si>
  <si>
    <t xml:space="preserve">PINK BAROQUE FLOCK CANDLE HOLDER</t>
  </si>
  <si>
    <t xml:space="preserve">84614A</t>
  </si>
  <si>
    <t xml:space="preserve">PINK BEADED CONE CHRISTMAS</t>
  </si>
  <si>
    <t xml:space="preserve">35051B</t>
  </si>
  <si>
    <t xml:space="preserve">PINK BEADS+HAND PHONE CHARM</t>
  </si>
  <si>
    <t xml:space="preserve">90127A</t>
  </si>
  <si>
    <t xml:space="preserve">PINK BERTIE GLASS BEAD BAG CHARM</t>
  </si>
  <si>
    <t xml:space="preserve">90125A</t>
  </si>
  <si>
    <t xml:space="preserve">PINK BERTIE MOBILE PHONE CHARM</t>
  </si>
  <si>
    <t xml:space="preserve">90126A</t>
  </si>
  <si>
    <t xml:space="preserve">PINK BITTY LIGHT CHAIN</t>
  </si>
  <si>
    <t xml:space="preserve">85179C</t>
  </si>
  <si>
    <t xml:space="preserve">PINK BLUE FELT CRAFT TRINKET BOX</t>
  </si>
  <si>
    <t xml:space="preserve">20971</t>
  </si>
  <si>
    <t xml:space="preserve">PINK BOUDICCA LARGE BRACELET</t>
  </si>
  <si>
    <t xml:space="preserve">90160D</t>
  </si>
  <si>
    <t xml:space="preserve">PINK BOUDOIR T-LIGHT HOLDER</t>
  </si>
  <si>
    <t xml:space="preserve">85109</t>
  </si>
  <si>
    <t xml:space="preserve">PINK BREAKFAST CUP AND SAUCER</t>
  </si>
  <si>
    <t xml:space="preserve">37444C</t>
  </si>
  <si>
    <t xml:space="preserve">PINK BUTTERFLY CUSHION COVER</t>
  </si>
  <si>
    <t xml:space="preserve">84905</t>
  </si>
  <si>
    <t xml:space="preserve">PINK BUTTERFLY HANDBAG W BOBBLES</t>
  </si>
  <si>
    <t xml:space="preserve">84923</t>
  </si>
  <si>
    <t xml:space="preserve">PINK BUTTERFLY PAPER LAMPSHADE</t>
  </si>
  <si>
    <t xml:space="preserve">40046C</t>
  </si>
  <si>
    <t xml:space="preserve">PINK BUTTERFLY WASHBAG</t>
  </si>
  <si>
    <t xml:space="preserve">84922</t>
  </si>
  <si>
    <t xml:space="preserve">PINK CANDYSTUFT ARTIFICIAL FLOWER</t>
  </si>
  <si>
    <t xml:space="preserve">PINK CANVAS DES CUSHION COVER</t>
  </si>
  <si>
    <t xml:space="preserve">46037A</t>
  </si>
  <si>
    <t xml:space="preserve">PINK CAT BOWL</t>
  </si>
  <si>
    <t xml:space="preserve">22703</t>
  </si>
  <si>
    <t xml:space="preserve">PINK CAT FLORAL CUSHION COVER</t>
  </si>
  <si>
    <t xml:space="preserve">20701</t>
  </si>
  <si>
    <t xml:space="preserve">PINK CHERRY BLOSSOM CUP &amp; SAUCER</t>
  </si>
  <si>
    <t xml:space="preserve">37379A</t>
  </si>
  <si>
    <t xml:space="preserve">PINK CHERRY LIGHTS</t>
  </si>
  <si>
    <t xml:space="preserve">79323P</t>
  </si>
  <si>
    <t xml:space="preserve">PINK CHICK EGG WARMER + EGG CUP</t>
  </si>
  <si>
    <t xml:space="preserve">35914</t>
  </si>
  <si>
    <t xml:space="preserve">PINK CHRISTMAS FLOCK DROPLET</t>
  </si>
  <si>
    <t xml:space="preserve">35610A</t>
  </si>
  <si>
    <t xml:space="preserve">PINK CHRISTMAS TREE DECORATION</t>
  </si>
  <si>
    <t xml:space="preserve">35932</t>
  </si>
  <si>
    <t xml:space="preserve">PINK CHRYSANTHEMUMS ART FLOWER</t>
  </si>
  <si>
    <t xml:space="preserve">84809B</t>
  </si>
  <si>
    <t xml:space="preserve">PINK CLEAR GLASS CANDLE PLATE</t>
  </si>
  <si>
    <t xml:space="preserve">72369A</t>
  </si>
  <si>
    <t xml:space="preserve">PINK COMBO MINI CRYSTALS NECKLACE</t>
  </si>
  <si>
    <t xml:space="preserve">90137</t>
  </si>
  <si>
    <t xml:space="preserve">PINK CREAM FELT CRAFT TRINKET BOX</t>
  </si>
  <si>
    <t xml:space="preserve">20972</t>
  </si>
  <si>
    <t xml:space="preserve">PINK CROCHET CAT WITH SCARF</t>
  </si>
  <si>
    <t xml:space="preserve">84582</t>
  </si>
  <si>
    <t xml:space="preserve">PINK CRYSTAL GUITAR PHONE CHARM</t>
  </si>
  <si>
    <t xml:space="preserve">90084</t>
  </si>
  <si>
    <t xml:space="preserve">PINK CRYSTAL HEART PHONE CHARM</t>
  </si>
  <si>
    <t xml:space="preserve">90090</t>
  </si>
  <si>
    <t xml:space="preserve">PINK CRYSTAL SKULL PHONE CHARM</t>
  </si>
  <si>
    <t xml:space="preserve">90089</t>
  </si>
  <si>
    <t xml:space="preserve">PINK CRYSTAL+GLASS BRACELET</t>
  </si>
  <si>
    <t xml:space="preserve">90122A</t>
  </si>
  <si>
    <t xml:space="preserve">PINK CURRENT CANDLE RING</t>
  </si>
  <si>
    <t xml:space="preserve">35751D</t>
  </si>
  <si>
    <t xml:space="preserve">PINK DAISY BAG CHARM</t>
  </si>
  <si>
    <t xml:space="preserve">90118</t>
  </si>
  <si>
    <t xml:space="preserve">PINK DIAMANTE PEN IN GIFT BOX</t>
  </si>
  <si>
    <t xml:space="preserve">21846</t>
  </si>
  <si>
    <t xml:space="preserve">PINK DISCO HANDBAG</t>
  </si>
  <si>
    <t xml:space="preserve">84859C</t>
  </si>
  <si>
    <t xml:space="preserve">PINK DOG BOWL</t>
  </si>
  <si>
    <t xml:space="preserve">22701</t>
  </si>
  <si>
    <t xml:space="preserve">PINK DOG CANNISTER</t>
  </si>
  <si>
    <t xml:space="preserve">84575A</t>
  </si>
  <si>
    <t xml:space="preserve">PINK DOLLY HAIR CLIPS</t>
  </si>
  <si>
    <t xml:space="preserve">90112</t>
  </si>
  <si>
    <t xml:space="preserve">PINK DOUGHNUT TRINKET POT</t>
  </si>
  <si>
    <t xml:space="preserve">22064</t>
  </si>
  <si>
    <t xml:space="preserve">PINK DRAWER KNOB ACRYLIC EDWARDIAN</t>
  </si>
  <si>
    <t xml:space="preserve">22772</t>
  </si>
  <si>
    <t xml:space="preserve">PINK DRESS JEWELLERY STAND</t>
  </si>
  <si>
    <t xml:space="preserve">84402D</t>
  </si>
  <si>
    <t xml:space="preserve">PINK EASTER HENS+FLOWER</t>
  </si>
  <si>
    <t xml:space="preserve">84746</t>
  </si>
  <si>
    <t xml:space="preserve">PINK EAU DE COLOGNE BOTTLE</t>
  </si>
  <si>
    <t xml:space="preserve">84753A</t>
  </si>
  <si>
    <t xml:space="preserve">PINK ENAMEL FLOWER HAIR TIE</t>
  </si>
  <si>
    <t xml:space="preserve">90202D</t>
  </si>
  <si>
    <t xml:space="preserve">PINK ENAMEL+GLASS HAIR COMB</t>
  </si>
  <si>
    <t xml:space="preserve">90209C</t>
  </si>
  <si>
    <t xml:space="preserve">PINK FAIRY CAKE CHILD'S APRON</t>
  </si>
  <si>
    <t xml:space="preserve">47591D</t>
  </si>
  <si>
    <t xml:space="preserve">PINK FAIRY CAKE COASTER</t>
  </si>
  <si>
    <t xml:space="preserve">47587A</t>
  </si>
  <si>
    <t xml:space="preserve">PINK FAIRY CAKE CUSHION COVER</t>
  </si>
  <si>
    <t xml:space="preserve">47585A</t>
  </si>
  <si>
    <t xml:space="preserve">47586A</t>
  </si>
  <si>
    <t xml:space="preserve">PINK FEATHER CHRISTMAS DECORATION</t>
  </si>
  <si>
    <t xml:space="preserve">35609A</t>
  </si>
  <si>
    <t xml:space="preserve">PINK FEATHERS CURTAIN</t>
  </si>
  <si>
    <t xml:space="preserve">44242B</t>
  </si>
  <si>
    <t xml:space="preserve">PINK FELT EASTER EGG BASKET</t>
  </si>
  <si>
    <t xml:space="preserve">85206B</t>
  </si>
  <si>
    <t xml:space="preserve">PINK FELT EASTER RABBIT GARLAND</t>
  </si>
  <si>
    <t xml:space="preserve">85205B</t>
  </si>
  <si>
    <t xml:space="preserve">PINK FELT HANGING HEART W FLOWER</t>
  </si>
  <si>
    <t xml:space="preserve">35916C</t>
  </si>
  <si>
    <t xml:space="preserve">PINK FLOCK GLASS CANDLEHOLDER</t>
  </si>
  <si>
    <t xml:space="preserve">79329</t>
  </si>
  <si>
    <t xml:space="preserve">79331</t>
  </si>
  <si>
    <t xml:space="preserve">PINK FLOCK PHOTO FRAME</t>
  </si>
  <si>
    <t xml:space="preserve">84705C</t>
  </si>
  <si>
    <t xml:space="preserve">PINK FLOCK SUEDE CUSHION COVER</t>
  </si>
  <si>
    <t xml:space="preserve">84415A</t>
  </si>
  <si>
    <t xml:space="preserve">PINK FLOCK TABLE CLOCK</t>
  </si>
  <si>
    <t xml:space="preserve">84706C</t>
  </si>
  <si>
    <t xml:space="preserve">PINK FLORAL FELTCRAFT SHOULDER BAG</t>
  </si>
  <si>
    <t xml:space="preserve">PINK FLOWER CROCHET FOOD COVER</t>
  </si>
  <si>
    <t xml:space="preserve">21465</t>
  </si>
  <si>
    <t xml:space="preserve">PINK FLOWER FABRIC PONY</t>
  </si>
  <si>
    <t xml:space="preserve">84920</t>
  </si>
  <si>
    <t xml:space="preserve">PINK FLOWER HANGING HEART</t>
  </si>
  <si>
    <t xml:space="preserve">85190</t>
  </si>
  <si>
    <t xml:space="preserve">PINK FLOWERS CHILDS UMBRELLA</t>
  </si>
  <si>
    <t xml:space="preserve">20680</t>
  </si>
  <si>
    <t xml:space="preserve">PINK FLOWERS RABBIT EASTER</t>
  </si>
  <si>
    <t xml:space="preserve">35909B</t>
  </si>
  <si>
    <t xml:space="preserve">35910B</t>
  </si>
  <si>
    <t xml:space="preserve">PINK FLUFFY CHRISTMAS DECORATION</t>
  </si>
  <si>
    <t xml:space="preserve">35607A</t>
  </si>
  <si>
    <t xml:space="preserve">PINK FLY SWAT</t>
  </si>
  <si>
    <t xml:space="preserve">84673A</t>
  </si>
  <si>
    <t xml:space="preserve">PINK FOXGLOVE ARTIIFCIAL FLOWER</t>
  </si>
  <si>
    <t xml:space="preserve">84798A</t>
  </si>
  <si>
    <t xml:space="preserve">PINK GAUZE BUTTERFLY LAMPSHADE</t>
  </si>
  <si>
    <t xml:space="preserve">44089A</t>
  </si>
  <si>
    <t xml:space="preserve">PINK GINGHAM CAT WITH SCARF</t>
  </si>
  <si>
    <t xml:space="preserve">84584</t>
  </si>
  <si>
    <t xml:space="preserve">PINK GINGHAM ROSE CUSHION COVER</t>
  </si>
  <si>
    <t xml:space="preserve">84622</t>
  </si>
  <si>
    <t xml:space="preserve">PINK GINGHAM ROSE FLOOR CUSHION</t>
  </si>
  <si>
    <t xml:space="preserve">84623</t>
  </si>
  <si>
    <t xml:space="preserve">PINK GLASS CANDLEHOLDER</t>
  </si>
  <si>
    <t xml:space="preserve">71279</t>
  </si>
  <si>
    <t xml:space="preserve">PINK GLASS CHUNKY CHARM BRACELET</t>
  </si>
  <si>
    <t xml:space="preserve">90175B</t>
  </si>
  <si>
    <t xml:space="preserve">PINK GLASS COCKTAIL LAMP</t>
  </si>
  <si>
    <t xml:space="preserve">84255A</t>
  </si>
  <si>
    <t xml:space="preserve">PINK GLASS TASSLE BAG CHARM</t>
  </si>
  <si>
    <t xml:space="preserve">90129A</t>
  </si>
  <si>
    <t xml:space="preserve">PINK GOOSE FEATHER TREE 60CM</t>
  </si>
  <si>
    <t xml:space="preserve">PINK GREEN EMBROIDERY COSMETIC BAG</t>
  </si>
  <si>
    <t xml:space="preserve">47369A</t>
  </si>
  <si>
    <t xml:space="preserve">PINK HANGING GINGHAM EASTER HEN</t>
  </si>
  <si>
    <t xml:space="preserve">84745A</t>
  </si>
  <si>
    <t xml:space="preserve">PINK HAPPY BIRTHDAY BUNTING</t>
  </si>
  <si>
    <t xml:space="preserve">47590B</t>
  </si>
  <si>
    <t xml:space="preserve">PINK HAWAIIAN PICNIC HAMPER FOR 2</t>
  </si>
  <si>
    <t xml:space="preserve">84796A</t>
  </si>
  <si>
    <t xml:space="preserve">PINK HAWAIIAN PICNIC HAMPER FOR 4</t>
  </si>
  <si>
    <t xml:space="preserve">84797A</t>
  </si>
  <si>
    <t xml:space="preserve">PINK HEART CANDY BUTTON CALCULATOR</t>
  </si>
  <si>
    <t xml:space="preserve">21842</t>
  </si>
  <si>
    <t xml:space="preserve">PINK HEART CHRISTMAS DECORATION</t>
  </si>
  <si>
    <t xml:space="preserve">35930</t>
  </si>
  <si>
    <t xml:space="preserve">PINK HEART CONFETTI IN TUBE</t>
  </si>
  <si>
    <t xml:space="preserve">PINK HEART DOTS HOT WATER BOTTLE</t>
  </si>
  <si>
    <t xml:space="preserve">21486</t>
  </si>
  <si>
    <t xml:space="preserve">PINK HEART OF GLASS BRACELET</t>
  </si>
  <si>
    <t xml:space="preserve">90123A</t>
  </si>
  <si>
    <t xml:space="preserve">PINK HEART RED HANDBAG</t>
  </si>
  <si>
    <t xml:space="preserve">16207B</t>
  </si>
  <si>
    <t xml:space="preserve">PINK HEART SHAPE EGG FRYING PAN</t>
  </si>
  <si>
    <t xml:space="preserve">84050</t>
  </si>
  <si>
    <t xml:space="preserve">PINK HEART SHAPE LOVE BUCKET</t>
  </si>
  <si>
    <t xml:space="preserve">PINK HEART SHAPE PHOTO FRAME</t>
  </si>
  <si>
    <t xml:space="preserve">85025C</t>
  </si>
  <si>
    <t xml:space="preserve">PINK HEARTS LIGHT CHAIN</t>
  </si>
  <si>
    <t xml:space="preserve">85180B</t>
  </si>
  <si>
    <t xml:space="preserve">PINK HEARTS PAPER GARLAND</t>
  </si>
  <si>
    <t xml:space="preserve">21190</t>
  </si>
  <si>
    <t xml:space="preserve">PINK HEARTS PHOTO ALBUM</t>
  </si>
  <si>
    <t xml:space="preserve">82081</t>
  </si>
  <si>
    <t xml:space="preserve">PINK HONEYCOMB PAPER BALL</t>
  </si>
  <si>
    <t xml:space="preserve">21195</t>
  </si>
  <si>
    <t xml:space="preserve">PINK HONEYCOMB PAPER FAN</t>
  </si>
  <si>
    <t xml:space="preserve">PINK HORSE SOCK PUPPET</t>
  </si>
  <si>
    <t xml:space="preserve">85185B</t>
  </si>
  <si>
    <t xml:space="preserve">PINK HYDRANGEA ART FLOWER</t>
  </si>
  <si>
    <t xml:space="preserve">84801A</t>
  </si>
  <si>
    <t xml:space="preserve">PINK JEWELLED MIRROR TRINKET TRAY</t>
  </si>
  <si>
    <t xml:space="preserve">PINK JEWELLED PHOTO FRAME</t>
  </si>
  <si>
    <t xml:space="preserve">84708B</t>
  </si>
  <si>
    <t xml:space="preserve">84712B</t>
  </si>
  <si>
    <t xml:space="preserve">PINK JUICY FRUIT PHOTO FRAME</t>
  </si>
  <si>
    <t xml:space="preserve">85124A</t>
  </si>
  <si>
    <t xml:space="preserve">PINK JUMPER LARRY THE LAMB</t>
  </si>
  <si>
    <t xml:space="preserve">84327A</t>
  </si>
  <si>
    <t xml:space="preserve">PINK KASHMIRI BOXED MIRROR</t>
  </si>
  <si>
    <t xml:space="preserve">84966A</t>
  </si>
  <si>
    <t xml:space="preserve">PINK KASHMIRI COFFEE TABLE</t>
  </si>
  <si>
    <t xml:space="preserve">84965A</t>
  </si>
  <si>
    <t xml:space="preserve">PINK KASHMIRI OCCASIONAL TABLE</t>
  </si>
  <si>
    <t xml:space="preserve">84967A</t>
  </si>
  <si>
    <t xml:space="preserve">PINK KNITTED COW STUFFED TOY</t>
  </si>
  <si>
    <t xml:space="preserve">84902</t>
  </si>
  <si>
    <t xml:space="preserve">PINK KNITTED EGG COSY</t>
  </si>
  <si>
    <t xml:space="preserve">84531A</t>
  </si>
  <si>
    <t xml:space="preserve">PINK KNITTED KIDS RUCKSACK</t>
  </si>
  <si>
    <t xml:space="preserve">84529A</t>
  </si>
  <si>
    <t xml:space="preserve">PINK LARGE JEWELED PHOTOFRAME</t>
  </si>
  <si>
    <t xml:space="preserve">85023C</t>
  </si>
  <si>
    <t xml:space="preserve">PINK LEAVES AND BEADS PHONE CHARM</t>
  </si>
  <si>
    <t xml:space="preserve">90128A</t>
  </si>
  <si>
    <t xml:space="preserve">PINK LOVE BIRD CANDLE</t>
  </si>
  <si>
    <t xml:space="preserve">85169D</t>
  </si>
  <si>
    <t xml:space="preserve">PINK LOVE HEART SHAPE CUP</t>
  </si>
  <si>
    <t xml:space="preserve">22133</t>
  </si>
  <si>
    <t xml:space="preserve">PINK MARSHMALLOW SCARF KNITTING KIT</t>
  </si>
  <si>
    <t xml:space="preserve">82615</t>
  </si>
  <si>
    <t xml:space="preserve">PINK METAL CHICKEN HEART</t>
  </si>
  <si>
    <t xml:space="preserve">84459A</t>
  </si>
  <si>
    <t xml:space="preserve">PINK METAL SWINGING BUNNY</t>
  </si>
  <si>
    <t xml:space="preserve">85188B</t>
  </si>
  <si>
    <t xml:space="preserve">PINK MILKSHAKE GLASS</t>
  </si>
  <si>
    <t xml:space="preserve">20799</t>
  </si>
  <si>
    <t xml:space="preserve">PINK MINI STATIONERY SET W CASE</t>
  </si>
  <si>
    <t xml:space="preserve">16245A</t>
  </si>
  <si>
    <t xml:space="preserve">PINK MINI TAPE MEASURE</t>
  </si>
  <si>
    <t xml:space="preserve">20736</t>
  </si>
  <si>
    <t xml:space="preserve">PINK MONTE CARLO HANDBAG</t>
  </si>
  <si>
    <t xml:space="preserve">84857C</t>
  </si>
  <si>
    <t xml:space="preserve">PINK MURANO TWIST BRACELET</t>
  </si>
  <si>
    <t xml:space="preserve">90120A</t>
  </si>
  <si>
    <t xml:space="preserve">PINK MURANO TWIST NECKLACE</t>
  </si>
  <si>
    <t xml:space="preserve">90124A</t>
  </si>
  <si>
    <t xml:space="preserve">PINK NEW BAROQUE FLOCK CANDLESTICK</t>
  </si>
  <si>
    <t xml:space="preserve">84613A</t>
  </si>
  <si>
    <t xml:space="preserve">PINK NEW BAROQUECANDLESTICK CANDLE</t>
  </si>
  <si>
    <t xml:space="preserve">PINK OVAL JEWELLED MIRROR</t>
  </si>
  <si>
    <t xml:space="preserve">84709B</t>
  </si>
  <si>
    <t xml:space="preserve">PINK OVAL SHAPE TRINKET BOX</t>
  </si>
  <si>
    <t xml:space="preserve">84711B</t>
  </si>
  <si>
    <t xml:space="preserve">PINK OWL SOFT TOY</t>
  </si>
  <si>
    <t xml:space="preserve">PINK PADDED MOBILE</t>
  </si>
  <si>
    <t xml:space="preserve">20702</t>
  </si>
  <si>
    <t xml:space="preserve">PINK PAINTED KASHMIRI CHAIR</t>
  </si>
  <si>
    <t xml:space="preserve">84963A</t>
  </si>
  <si>
    <t xml:space="preserve">PINK PAINTED KASHMIRI TABLE</t>
  </si>
  <si>
    <t xml:space="preserve">84964A</t>
  </si>
  <si>
    <t xml:space="preserve">PINK PAISLEY CUSHION COVER</t>
  </si>
  <si>
    <t xml:space="preserve">84910A</t>
  </si>
  <si>
    <t xml:space="preserve">PINK PAISLEY PHOTO ALBUM</t>
  </si>
  <si>
    <t xml:space="preserve">84864A</t>
  </si>
  <si>
    <t xml:space="preserve">PINK PAISLEY QUILT</t>
  </si>
  <si>
    <t xml:space="preserve">84909A</t>
  </si>
  <si>
    <t xml:space="preserve">PINK PAISLEY ROSE GIFT WRAP</t>
  </si>
  <si>
    <t xml:space="preserve">22050</t>
  </si>
  <si>
    <t xml:space="preserve">PINK PAISLEY SQUARE TISSUE BOX</t>
  </si>
  <si>
    <t xml:space="preserve">22096</t>
  </si>
  <si>
    <t xml:space="preserve">PINK PAPER PARASOL</t>
  </si>
  <si>
    <t xml:space="preserve">15044A</t>
  </si>
  <si>
    <t xml:space="preserve">PINK PARTY BAGS</t>
  </si>
  <si>
    <t xml:space="preserve">47599A</t>
  </si>
  <si>
    <t xml:space="preserve">PINK PARTY SUNGLASSES</t>
  </si>
  <si>
    <t xml:space="preserve">84522</t>
  </si>
  <si>
    <t xml:space="preserve">PINK PATCH PENCIL CASE BLUE HEART</t>
  </si>
  <si>
    <t xml:space="preserve">20862</t>
  </si>
  <si>
    <t xml:space="preserve">PINK PATCH PURSE BLUE HEART</t>
  </si>
  <si>
    <t xml:space="preserve">20855</t>
  </si>
  <si>
    <t xml:space="preserve">PINK PICNIC BARBECUE BUCKET</t>
  </si>
  <si>
    <t xml:space="preserve">84762B</t>
  </si>
  <si>
    <t xml:space="preserve">PINK PILLAR CANDLE SILVER FLOCK</t>
  </si>
  <si>
    <t xml:space="preserve">72799C</t>
  </si>
  <si>
    <t xml:space="preserve">PINK POLKADOT KIDS BAG</t>
  </si>
  <si>
    <t xml:space="preserve">22323</t>
  </si>
  <si>
    <t xml:space="preserve">PINK POODLE HANGING DECORATION</t>
  </si>
  <si>
    <t xml:space="preserve">21144</t>
  </si>
  <si>
    <t xml:space="preserve">PINK PORCELAIN B'FLY OIL BURNER</t>
  </si>
  <si>
    <t xml:space="preserve">18098A</t>
  </si>
  <si>
    <t xml:space="preserve">PINK POT PLANT CANDLE</t>
  </si>
  <si>
    <t xml:space="preserve">20932</t>
  </si>
  <si>
    <t xml:space="preserve">PINK RABBIT SITTING EASTER</t>
  </si>
  <si>
    <t xml:space="preserve">84450A</t>
  </si>
  <si>
    <t xml:space="preserve">PINK REGENCY TEACUP AND SAUCER</t>
  </si>
  <si>
    <t xml:space="preserve">PINK RETRO BIG FLOWER BAG</t>
  </si>
  <si>
    <t xml:space="preserve">62086A</t>
  </si>
  <si>
    <t xml:space="preserve">PINK RIVIERA HANDBAG</t>
  </si>
  <si>
    <t xml:space="preserve">84858C</t>
  </si>
  <si>
    <t xml:space="preserve">PINK ROSE FABRIC MIRROR</t>
  </si>
  <si>
    <t xml:space="preserve">20867</t>
  </si>
  <si>
    <t xml:space="preserve">PINK ROSE PICNIC RUG</t>
  </si>
  <si>
    <t xml:space="preserve">84914A</t>
  </si>
  <si>
    <t xml:space="preserve">PINK ROSE WASHBAG</t>
  </si>
  <si>
    <t xml:space="preserve">84912A</t>
  </si>
  <si>
    <t xml:space="preserve">PINK ROSEBUD &amp; PEARL NECKLACE</t>
  </si>
  <si>
    <t xml:space="preserve">90163A</t>
  </si>
  <si>
    <t xml:space="preserve">PINK ROSEBUD PEARL BRACELET</t>
  </si>
  <si>
    <t xml:space="preserve">90164A</t>
  </si>
  <si>
    <t xml:space="preserve">PINK ROSEBUD PEARL EARRINGS</t>
  </si>
  <si>
    <t xml:space="preserve">90165A</t>
  </si>
  <si>
    <t xml:space="preserve">PINK ROSES/GINGHAM PATCH RABBIT 8"</t>
  </si>
  <si>
    <t xml:space="preserve">84586L</t>
  </si>
  <si>
    <t xml:space="preserve">PINK ROUND BUTTERFLY MIRROR</t>
  </si>
  <si>
    <t xml:space="preserve">84615</t>
  </si>
  <si>
    <t xml:space="preserve">PINK ROUND COMPACT MIRROR</t>
  </si>
  <si>
    <t xml:space="preserve">84877A</t>
  </si>
  <si>
    <t xml:space="preserve">PINK SCOTTIE DOG W FLOWER PATTERN</t>
  </si>
  <si>
    <t xml:space="preserve">84931A</t>
  </si>
  <si>
    <t xml:space="preserve">PINK SMALL GLASS CAKE STAND</t>
  </si>
  <si>
    <t xml:space="preserve">84750A</t>
  </si>
  <si>
    <t xml:space="preserve">PINK SMALL JEWELLED PHOTOFRAME</t>
  </si>
  <si>
    <t xml:space="preserve">85024C</t>
  </si>
  <si>
    <t xml:space="preserve">PINK SPOTS CHOCOLATE NESTING BOXES</t>
  </si>
  <si>
    <t xml:space="preserve">21348</t>
  </si>
  <si>
    <t xml:space="preserve">PINK SPOTS WRAP</t>
  </si>
  <si>
    <t xml:space="preserve">PINK SPOTTY BOWL</t>
  </si>
  <si>
    <t xml:space="preserve">PINK SPOTTY CHILDS UMBRELLA</t>
  </si>
  <si>
    <t xml:space="preserve">20681</t>
  </si>
  <si>
    <t xml:space="preserve">PINK SPOTTY CUP</t>
  </si>
  <si>
    <t xml:space="preserve">PINK SPOTTY PLATE</t>
  </si>
  <si>
    <t xml:space="preserve">PINK SQUARE COMPACT MIRROR</t>
  </si>
  <si>
    <t xml:space="preserve">84875A</t>
  </si>
  <si>
    <t xml:space="preserve">PINK SQUARE TABLE CLOCK</t>
  </si>
  <si>
    <t xml:space="preserve">84661C</t>
  </si>
  <si>
    <t xml:space="preserve">PINK STAR CHRISTMAS DECORATION</t>
  </si>
  <si>
    <t xml:space="preserve">35931</t>
  </si>
  <si>
    <t xml:space="preserve">PINK STITCHED WALL CLOCK</t>
  </si>
  <si>
    <t xml:space="preserve">84660C</t>
  </si>
  <si>
    <t xml:space="preserve">PINK STOCKING CHRISTMAS DECORATION</t>
  </si>
  <si>
    <t xml:space="preserve">35933</t>
  </si>
  <si>
    <t xml:space="preserve">PINK STRAWBERRY HANDBAG</t>
  </si>
  <si>
    <t xml:space="preserve">16207A</t>
  </si>
  <si>
    <t xml:space="preserve">PINK STRING CURTAIN WITH POLE</t>
  </si>
  <si>
    <t xml:space="preserve">35637C</t>
  </si>
  <si>
    <t xml:space="preserve">PINK STRIPE HOT WATER BOTTLE</t>
  </si>
  <si>
    <t xml:space="preserve">21480</t>
  </si>
  <si>
    <t xml:space="preserve">PINK STRIPES SHOULDER BAG</t>
  </si>
  <si>
    <t xml:space="preserve">62097A</t>
  </si>
  <si>
    <t xml:space="preserve">PINK SWEETHEART BRACELET</t>
  </si>
  <si>
    <t xml:space="preserve">90200D</t>
  </si>
  <si>
    <t xml:space="preserve">PINK SWEETIE NECKLACE</t>
  </si>
  <si>
    <t xml:space="preserve">90140</t>
  </si>
  <si>
    <t xml:space="preserve">PINK TALL PORCELAIN T-LIGHT HOLDER</t>
  </si>
  <si>
    <t xml:space="preserve">18097A</t>
  </si>
  <si>
    <t xml:space="preserve">PINK TEATIME PRINT BOWL</t>
  </si>
  <si>
    <t xml:space="preserve">20672</t>
  </si>
  <si>
    <t xml:space="preserve">PINK TV TRAY TABLE</t>
  </si>
  <si>
    <t xml:space="preserve">84313A</t>
  </si>
  <si>
    <t xml:space="preserve">PINK UNION JACK LUGGAGE TAG</t>
  </si>
  <si>
    <t xml:space="preserve">21867</t>
  </si>
  <si>
    <t xml:space="preserve">PINK UNION JACK PASSPORT COVER</t>
  </si>
  <si>
    <t xml:space="preserve">21865</t>
  </si>
  <si>
    <t xml:space="preserve">PINK VINTAGE PAISLEY PICNIC BAG</t>
  </si>
  <si>
    <t xml:space="preserve">21933</t>
  </si>
  <si>
    <t xml:space="preserve">PINK VINTAGE VICTORIAN CHOKER</t>
  </si>
  <si>
    <t xml:space="preserve">90066A</t>
  </si>
  <si>
    <t xml:space="preserve">PINK VINTAGE VICTORIAN EARRINGS</t>
  </si>
  <si>
    <t xml:space="preserve">90067A</t>
  </si>
  <si>
    <t xml:space="preserve">PINK WHITE SPOTS GARDEN PARASOL</t>
  </si>
  <si>
    <t xml:space="preserve">15058B</t>
  </si>
  <si>
    <t xml:space="preserve">PINK YELLOW PATCH CUSHION COVER</t>
  </si>
  <si>
    <t xml:space="preserve">84907</t>
  </si>
  <si>
    <t xml:space="preserve">PINK/AMETHYST/GOLD NECKLACE</t>
  </si>
  <si>
    <t xml:space="preserve">90131</t>
  </si>
  <si>
    <t xml:space="preserve">PINK/BLUE DISC/MIRROR STRING</t>
  </si>
  <si>
    <t xml:space="preserve">84422</t>
  </si>
  <si>
    <t xml:space="preserve">PINK/BLUE STRING CURTAIN</t>
  </si>
  <si>
    <t xml:space="preserve">35638B</t>
  </si>
  <si>
    <t xml:space="preserve">PINK/BROWN DOTS RUFFLED UMBRELLA</t>
  </si>
  <si>
    <t xml:space="preserve">85014D</t>
  </si>
  <si>
    <t xml:space="preserve">PINK/FLOWER RABBIT EGG WARMER</t>
  </si>
  <si>
    <t xml:space="preserve">35911B</t>
  </si>
  <si>
    <t xml:space="preserve">PINK/GREEN FLOWER DESIGN BIG MUG</t>
  </si>
  <si>
    <t xml:space="preserve">37489D</t>
  </si>
  <si>
    <t xml:space="preserve">PINK/PURPLE CIRCLE CURTAIN</t>
  </si>
  <si>
    <t xml:space="preserve">44236</t>
  </si>
  <si>
    <t xml:space="preserve">PINK/PURPLE RETRO RADIO</t>
  </si>
  <si>
    <t xml:space="preserve">84086C</t>
  </si>
  <si>
    <t xml:space="preserve">PINK/WHITE "KEEP CLEAN" BULLET BIN</t>
  </si>
  <si>
    <t xml:space="preserve">71403</t>
  </si>
  <si>
    <t xml:space="preserve">PINK/WHITE CHRISTMAS TREE 30CM</t>
  </si>
  <si>
    <t xml:space="preserve">35597D</t>
  </si>
  <si>
    <t xml:space="preserve">PINK/WHITE CHRISTMAS TREE 60CM</t>
  </si>
  <si>
    <t xml:space="preserve">35598D</t>
  </si>
  <si>
    <t xml:space="preserve">PINK/WHITE GLASS DEMI CHOKER</t>
  </si>
  <si>
    <t xml:space="preserve">90078</t>
  </si>
  <si>
    <t xml:space="preserve">PINK/WHITE RIBBED MELAMINE JUG</t>
  </si>
  <si>
    <t xml:space="preserve">84562A</t>
  </si>
  <si>
    <t xml:space="preserve">PINK/YELLOW FLOWERS HANDBAG</t>
  </si>
  <si>
    <t xml:space="preserve">62096A</t>
  </si>
  <si>
    <t xml:space="preserve">PINK/YELLOW RABBIT SAT EASTER</t>
  </si>
  <si>
    <t xml:space="preserve">84450B</t>
  </si>
  <si>
    <t xml:space="preserve">PIZZA PLATE IN BOX</t>
  </si>
  <si>
    <t xml:space="preserve">PIZZA SLICE DISH</t>
  </si>
  <si>
    <t xml:space="preserve">22347</t>
  </si>
  <si>
    <t xml:space="preserve">PLACE SETTING WHITE HEART</t>
  </si>
  <si>
    <t xml:space="preserve">PLACE SETTING WHITE STAR</t>
  </si>
  <si>
    <t xml:space="preserve">22152</t>
  </si>
  <si>
    <t xml:space="preserve">PLANTPOT SINGLE HOOK PISTACHIO</t>
  </si>
  <si>
    <t xml:space="preserve">85128</t>
  </si>
  <si>
    <t xml:space="preserve">PLASMATRONIC LAMP</t>
  </si>
  <si>
    <t xml:space="preserve">22486</t>
  </si>
  <si>
    <t xml:space="preserve">PLASTERS IN TIN CIRCUS PARADE</t>
  </si>
  <si>
    <t xml:space="preserve">PLASTERS IN TIN SKULLS</t>
  </si>
  <si>
    <t xml:space="preserve">PLASTERS IN TIN SPACEBOY</t>
  </si>
  <si>
    <t xml:space="preserve">PLASTERS IN TIN STRONGMAN</t>
  </si>
  <si>
    <t xml:space="preserve">PLASTERS IN TIN VINTAGE PAISLEY</t>
  </si>
  <si>
    <t xml:space="preserve">PLASTERS IN TIN WOODLAND ANIMALS</t>
  </si>
  <si>
    <t xml:space="preserve">PLEASE ONE PERSON METAL SIGN</t>
  </si>
  <si>
    <t xml:space="preserve">POCKET BAG BLUE PAISLEY RED SPOT</t>
  </si>
  <si>
    <t xml:space="preserve">22279</t>
  </si>
  <si>
    <t xml:space="preserve">POCKET BAG PINK PAISELY BROWN SPOT</t>
  </si>
  <si>
    <t xml:space="preserve">22280</t>
  </si>
  <si>
    <t xml:space="preserve">POCKET MIRROR "GLAMOROUS"</t>
  </si>
  <si>
    <t xml:space="preserve">21228</t>
  </si>
  <si>
    <t xml:space="preserve">POCKET MIRROR BUTTERFLY</t>
  </si>
  <si>
    <t xml:space="preserve">21225</t>
  </si>
  <si>
    <t xml:space="preserve">POCKET MIRROR WOODLAND</t>
  </si>
  <si>
    <t xml:space="preserve">21226</t>
  </si>
  <si>
    <t xml:space="preserve">POLKA DOT PISTACHIO PAIL</t>
  </si>
  <si>
    <t xml:space="preserve">85113</t>
  </si>
  <si>
    <t xml:space="preserve">POLKA DOT RAFFIA FOOD COVER</t>
  </si>
  <si>
    <t xml:space="preserve">POLKADOT CUTLERY 24 PCS IN TRAY</t>
  </si>
  <si>
    <t xml:space="preserve">47502</t>
  </si>
  <si>
    <t xml:space="preserve">POLKADOT PEN</t>
  </si>
  <si>
    <t xml:space="preserve">22740</t>
  </si>
  <si>
    <t xml:space="preserve">POLYESTER FILLER PAD 30CMx30CM</t>
  </si>
  <si>
    <t xml:space="preserve">46000U</t>
  </si>
  <si>
    <t xml:space="preserve">POLYESTER FILLER PAD 40x40cm</t>
  </si>
  <si>
    <t xml:space="preserve">46000S</t>
  </si>
  <si>
    <t xml:space="preserve">POLYESTER FILLER PAD 45x30cm</t>
  </si>
  <si>
    <t xml:space="preserve">46000R</t>
  </si>
  <si>
    <t xml:space="preserve">POLYESTER FILLER PAD 45x45cm</t>
  </si>
  <si>
    <t xml:space="preserve">46000M</t>
  </si>
  <si>
    <t xml:space="preserve">POLYESTER FILLER PAD 60x40cm</t>
  </si>
  <si>
    <t xml:space="preserve">20964</t>
  </si>
  <si>
    <t xml:space="preserve">POLYESTER FILLER PAD 65CMx65CM</t>
  </si>
  <si>
    <t xml:space="preserve">46000P</t>
  </si>
  <si>
    <t xml:space="preserve">POMPOM CURTAIN</t>
  </si>
  <si>
    <t xml:space="preserve">84356</t>
  </si>
  <si>
    <t xml:space="preserve">POP ART PEN CASE &amp; PENS</t>
  </si>
  <si>
    <t xml:space="preserve">16047</t>
  </si>
  <si>
    <t xml:space="preserve">POP ART PUSH DOWN RUBBER</t>
  </si>
  <si>
    <t xml:space="preserve">16043</t>
  </si>
  <si>
    <t xml:space="preserve">POP'S GREASY SPOON METAL SIGN</t>
  </si>
  <si>
    <t xml:space="preserve">82553</t>
  </si>
  <si>
    <t xml:space="preserve">POP-ART FLUORESCENT PENS</t>
  </si>
  <si>
    <t xml:space="preserve">16044</t>
  </si>
  <si>
    <t xml:space="preserve">POPART COL BALLPOINT PEN ASST</t>
  </si>
  <si>
    <t xml:space="preserve">16053</t>
  </si>
  <si>
    <t xml:space="preserve">POPART RECT PENCIL SHARPENER ASST</t>
  </si>
  <si>
    <t xml:space="preserve">16054</t>
  </si>
  <si>
    <t xml:space="preserve">POPART WOODEN PENCILS ASST</t>
  </si>
  <si>
    <t xml:space="preserve">16045</t>
  </si>
  <si>
    <t xml:space="preserve">POPPY'S PLAYHOUSE BATHROOM</t>
  </si>
  <si>
    <t xml:space="preserve">22747</t>
  </si>
  <si>
    <t xml:space="preserve">POPPY'S PLAYHOUSE BEDROOM</t>
  </si>
  <si>
    <t xml:space="preserve">22745</t>
  </si>
  <si>
    <t xml:space="preserve">POPPY'S PLAYHOUSE KITCHEN</t>
  </si>
  <si>
    <t xml:space="preserve">22748</t>
  </si>
  <si>
    <t xml:space="preserve">POPPY'S PLAYHOUSE LIVINGROOM</t>
  </si>
  <si>
    <t xml:space="preserve">22746</t>
  </si>
  <si>
    <t xml:space="preserve">PORCELAIN BUDAH INCENSE HOLDER</t>
  </si>
  <si>
    <t xml:space="preserve">17038</t>
  </si>
  <si>
    <t xml:space="preserve">PORCELAIN BUTTERFLY OIL BURNER</t>
  </si>
  <si>
    <t xml:space="preserve">18098C</t>
  </si>
  <si>
    <t xml:space="preserve">PORCELAIN CHERUB BELL LARGE</t>
  </si>
  <si>
    <t xml:space="preserve">20953</t>
  </si>
  <si>
    <t xml:space="preserve">PORCELAIN CHERUB BELL SMALL</t>
  </si>
  <si>
    <t xml:space="preserve">20952</t>
  </si>
  <si>
    <t xml:space="preserve">PORCELAIN HANGING BELL LARGE</t>
  </si>
  <si>
    <t xml:space="preserve">20958</t>
  </si>
  <si>
    <t xml:space="preserve">PORCELAIN HANGING BELL SMALL</t>
  </si>
  <si>
    <t xml:space="preserve">20957</t>
  </si>
  <si>
    <t xml:space="preserve">PORCELAIN ROSE LARGE</t>
  </si>
  <si>
    <t xml:space="preserve">21421</t>
  </si>
  <si>
    <t xml:space="preserve">PORCELAIN ROSE SMALL</t>
  </si>
  <si>
    <t xml:space="preserve">21422</t>
  </si>
  <si>
    <t xml:space="preserve">PORCELAIN T-LIGHT HOLDERS ASSORTED</t>
  </si>
  <si>
    <t xml:space="preserve">20956</t>
  </si>
  <si>
    <t xml:space="preserve">POSTAGE</t>
  </si>
  <si>
    <t xml:space="preserve">POSY CANDY BAG</t>
  </si>
  <si>
    <t xml:space="preserve">20731</t>
  </si>
  <si>
    <t xml:space="preserve">POSY SHOPPER BAG</t>
  </si>
  <si>
    <t xml:space="preserve">20714</t>
  </si>
  <si>
    <t xml:space="preserve">POTTERING IN THE SHED METAL SIGN</t>
  </si>
  <si>
    <t xml:space="preserve">21174</t>
  </si>
  <si>
    <t xml:space="preserve">POTTERING MUG</t>
  </si>
  <si>
    <t xml:space="preserve">21876</t>
  </si>
  <si>
    <t xml:space="preserve">POTTING SHED CANDLE CITRONELLA</t>
  </si>
  <si>
    <t xml:space="preserve">21897</t>
  </si>
  <si>
    <t xml:space="preserve">POTTING SHED COFFEE MUG</t>
  </si>
  <si>
    <t xml:space="preserve">21869</t>
  </si>
  <si>
    <t xml:space="preserve">POTTING SHED ROSE CANDLE</t>
  </si>
  <si>
    <t xml:space="preserve">21898</t>
  </si>
  <si>
    <t xml:space="preserve">POTTING SHED SEED ENVELOPES</t>
  </si>
  <si>
    <t xml:space="preserve">21894</t>
  </si>
  <si>
    <t xml:space="preserve">POTTING SHED SEED TIN</t>
  </si>
  <si>
    <t xml:space="preserve">21893</t>
  </si>
  <si>
    <t xml:space="preserve">POTTING SHED SOW 'N' GROW SET</t>
  </si>
  <si>
    <t xml:space="preserve">21895</t>
  </si>
  <si>
    <t xml:space="preserve">POTTING SHED TEA MUG</t>
  </si>
  <si>
    <t xml:space="preserve">21868</t>
  </si>
  <si>
    <t xml:space="preserve">POTTING SHED TWINE</t>
  </si>
  <si>
    <t xml:space="preserve">21896</t>
  </si>
  <si>
    <t xml:space="preserve">PREMIUM CHURCH CANDLE</t>
  </si>
  <si>
    <t xml:space="preserve">72267</t>
  </si>
  <si>
    <t xml:space="preserve">PRICE'S CANDLE PEACH</t>
  </si>
  <si>
    <t xml:space="preserve">72038P</t>
  </si>
  <si>
    <t xml:space="preserve">PSYCHEDELIC METAL SIGN CALENDAR</t>
  </si>
  <si>
    <t xml:space="preserve">84924F</t>
  </si>
  <si>
    <t xml:space="preserve">PSYCHEDELIC TILE COASTER</t>
  </si>
  <si>
    <t xml:space="preserve">84926F</t>
  </si>
  <si>
    <t xml:space="preserve">PSYCHEDELIC TILE HOOK</t>
  </si>
  <si>
    <t xml:space="preserve">84927F</t>
  </si>
  <si>
    <t xml:space="preserve">PSYCHEDELIC WALL THERMOMETER</t>
  </si>
  <si>
    <t xml:space="preserve">84925F</t>
  </si>
  <si>
    <t xml:space="preserve">PURPLE ACRYLIC FACETED BANGLE</t>
  </si>
  <si>
    <t xml:space="preserve">90210D</t>
  </si>
  <si>
    <t xml:space="preserve">PURPLE AMETHYST NECKLACE W TASSEL</t>
  </si>
  <si>
    <t xml:space="preserve">90180B</t>
  </si>
  <si>
    <t xml:space="preserve">PURPLE ANEMONE ARTIFICIAL FLOWER</t>
  </si>
  <si>
    <t xml:space="preserve">84802B</t>
  </si>
  <si>
    <t xml:space="preserve">PURPLE BERTIE GLASS BEAD BAG CHARM</t>
  </si>
  <si>
    <t xml:space="preserve">90125D</t>
  </si>
  <si>
    <t xml:space="preserve">PURPLE BOUDICCA LARGE BRACELET</t>
  </si>
  <si>
    <t xml:space="preserve">90160A</t>
  </si>
  <si>
    <t xml:space="preserve">PURPLE CHUNKY GLASS+BEAD NECKLACE</t>
  </si>
  <si>
    <t xml:space="preserve">90178B</t>
  </si>
  <si>
    <t xml:space="preserve">PURPLE CRYSTAL DROP EARRINGS</t>
  </si>
  <si>
    <t xml:space="preserve">90011D</t>
  </si>
  <si>
    <t xml:space="preserve">PURPLE CURRENT CANDLE RING</t>
  </si>
  <si>
    <t xml:space="preserve">35751C</t>
  </si>
  <si>
    <t xml:space="preserve">PURPLE DRAWERKNOB ACRYLIC EDWARDIAN</t>
  </si>
  <si>
    <t xml:space="preserve">22775</t>
  </si>
  <si>
    <t xml:space="preserve">PURPLE DRESS JEWELLERY STAND</t>
  </si>
  <si>
    <t xml:space="preserve">84402B</t>
  </si>
  <si>
    <t xml:space="preserve">PURPLE ENAMEL FLOWER HAIR TIE</t>
  </si>
  <si>
    <t xml:space="preserve">90202A</t>
  </si>
  <si>
    <t xml:space="preserve">PURPLE ENAMEL FLOWER RING</t>
  </si>
  <si>
    <t xml:space="preserve">90201A</t>
  </si>
  <si>
    <t xml:space="preserve">PURPLE ENAMEL+GLASS HAIR COMB</t>
  </si>
  <si>
    <t xml:space="preserve">90209A</t>
  </si>
  <si>
    <t xml:space="preserve">PURPLE FINE BEAD NECKLACE W TASSEL</t>
  </si>
  <si>
    <t xml:space="preserve">90179B</t>
  </si>
  <si>
    <t xml:space="preserve">PURPLE FOXGLOVE ARTIIFCIAL FLOWER</t>
  </si>
  <si>
    <t xml:space="preserve">84798B</t>
  </si>
  <si>
    <t xml:space="preserve">PURPLE FRANGIPANI HAIRCLIP</t>
  </si>
  <si>
    <t xml:space="preserve">90104</t>
  </si>
  <si>
    <t xml:space="preserve">PURPLE FRANGIPANI NECKLACE</t>
  </si>
  <si>
    <t xml:space="preserve">90103</t>
  </si>
  <si>
    <t xml:space="preserve">PURPLE GEMSTONE BRACELET</t>
  </si>
  <si>
    <t xml:space="preserve">90195A</t>
  </si>
  <si>
    <t xml:space="preserve">PURPLE GEMSTONE NECKLACE 45CM</t>
  </si>
  <si>
    <t xml:space="preserve">90196A</t>
  </si>
  <si>
    <t xml:space="preserve">PURPLE GLASS TASSLE BAG CHARM</t>
  </si>
  <si>
    <t xml:space="preserve">90129E</t>
  </si>
  <si>
    <t xml:space="preserve">PURPLE GREEN FLOWER PIGGY BANK</t>
  </si>
  <si>
    <t xml:space="preserve">37492D</t>
  </si>
  <si>
    <t xml:space="preserve">PURPLE LAS VEGAS BRACELET ROUND</t>
  </si>
  <si>
    <t xml:space="preserve">90212C</t>
  </si>
  <si>
    <t xml:space="preserve">PURPLE LEAVES AND BEADS PHONE CHAR</t>
  </si>
  <si>
    <t xml:space="preserve">90128D</t>
  </si>
  <si>
    <t xml:space="preserve">PURPLE PAPER PARASOL</t>
  </si>
  <si>
    <t xml:space="preserve">15044C</t>
  </si>
  <si>
    <t xml:space="preserve">PURPLE PILLAR CANDLE BLACK FLOCK</t>
  </si>
  <si>
    <t xml:space="preserve">72799B</t>
  </si>
  <si>
    <t xml:space="preserve">PURPLE SWEETHEART BRACELET</t>
  </si>
  <si>
    <t xml:space="preserve">90200A</t>
  </si>
  <si>
    <t xml:space="preserve">PURPLE TINT ACRYLIC FLOWER VASE</t>
  </si>
  <si>
    <t xml:space="preserve">79172D</t>
  </si>
  <si>
    <t xml:space="preserve">PURPLE VINTAGE EARRINGS</t>
  </si>
  <si>
    <t xml:space="preserve">90013D</t>
  </si>
  <si>
    <t xml:space="preserve">PURPLE/BLUE CERAMIC CANDLE HOLDER</t>
  </si>
  <si>
    <t xml:space="preserve">37491D</t>
  </si>
  <si>
    <t xml:space="preserve">PURPLE/COPPER HANGING LAMPSHADE</t>
  </si>
  <si>
    <t xml:space="preserve">44092C</t>
  </si>
  <si>
    <t xml:space="preserve">PURPLE/TURQ FLOWERS HANDBAG</t>
  </si>
  <si>
    <t xml:space="preserve">62096B</t>
  </si>
  <si>
    <t xml:space="preserve">QUEEN OF SKIES LUGGAGE TAG</t>
  </si>
  <si>
    <t xml:space="preserve">20655</t>
  </si>
  <si>
    <t xml:space="preserve">QUEEN OF THE SKIES HOLIDAY PURSE</t>
  </si>
  <si>
    <t xml:space="preserve">20663</t>
  </si>
  <si>
    <t xml:space="preserve">QUEEN OF THE SKIES PASSPORT COVER</t>
  </si>
  <si>
    <t xml:space="preserve">20618</t>
  </si>
  <si>
    <t xml:space="preserve">RABBIT DESIGN COTTON TOTE BAG</t>
  </si>
  <si>
    <t xml:space="preserve">21580</t>
  </si>
  <si>
    <t xml:space="preserve">RABBIT EASTER DECORATION</t>
  </si>
  <si>
    <t xml:space="preserve">35909A</t>
  </si>
  <si>
    <t xml:space="preserve">RAIN GIRL CHILDS UMBRELLA</t>
  </si>
  <si>
    <t xml:space="preserve">20683</t>
  </si>
  <si>
    <t xml:space="preserve">RAIN HAT WITH RED SPOTS</t>
  </si>
  <si>
    <t xml:space="preserve">21786</t>
  </si>
  <si>
    <t xml:space="preserve">RAIN PONCHO</t>
  </si>
  <si>
    <t xml:space="preserve">21785</t>
  </si>
  <si>
    <t xml:space="preserve">RAIN PONCHO WITH RED SPOTS</t>
  </si>
  <si>
    <t xml:space="preserve">21787</t>
  </si>
  <si>
    <t xml:space="preserve">RAINBOW PEGS PHOTO CLIP STRING</t>
  </si>
  <si>
    <t xml:space="preserve">47471</t>
  </si>
  <si>
    <t xml:space="preserve">RAINY LADIES BIRTHDAY CARD</t>
  </si>
  <si>
    <t xml:space="preserve">RASPBERRY ANT COPPER FLOWER NECKLAC</t>
  </si>
  <si>
    <t xml:space="preserve">90000A</t>
  </si>
  <si>
    <t xml:space="preserve">RASTA IN BATH W SPLIFF ASHTRAY</t>
  </si>
  <si>
    <t xml:space="preserve">35443</t>
  </si>
  <si>
    <t xml:space="preserve">RATTLE SNAKE EGGS</t>
  </si>
  <si>
    <t xml:space="preserve">16225</t>
  </si>
  <si>
    <t xml:space="preserve">RECIPE BOX BLUE SKETCHBOOK DESIGN</t>
  </si>
  <si>
    <t xml:space="preserve">22665</t>
  </si>
  <si>
    <t xml:space="preserve">RECIPE BOX PANTRY YELLOW DESIGN</t>
  </si>
  <si>
    <t xml:space="preserve">RECIPE BOX RETROSPOT</t>
  </si>
  <si>
    <t xml:space="preserve">RECIPE BOX WITH METAL HEART</t>
  </si>
  <si>
    <t xml:space="preserve">21777</t>
  </si>
  <si>
    <t xml:space="preserve">RECORD FRAME 7" SINGLE SIZE</t>
  </si>
  <si>
    <t xml:space="preserve">22041</t>
  </si>
  <si>
    <t xml:space="preserve">RECTANGULAR SHAPED MIRROR</t>
  </si>
  <si>
    <t xml:space="preserve">84976</t>
  </si>
  <si>
    <t xml:space="preserve">RECYCLED PENCIL WITH RABBIT ERASER</t>
  </si>
  <si>
    <t xml:space="preserve">16235</t>
  </si>
  <si>
    <t xml:space="preserve">RECYCLING BAG RETROSPOT</t>
  </si>
  <si>
    <t xml:space="preserve">RED 3 PIECE MINI DOTS CUTLERY SET</t>
  </si>
  <si>
    <t xml:space="preserve">RED ACRYLIC FACETED BANGLE</t>
  </si>
  <si>
    <t xml:space="preserve">90210C</t>
  </si>
  <si>
    <t xml:space="preserve">RED AND WHITE SPOT TAPE</t>
  </si>
  <si>
    <t xml:space="preserve">RED BABY BUNTING</t>
  </si>
  <si>
    <t xml:space="preserve">22669</t>
  </si>
  <si>
    <t xml:space="preserve">RED BIRD HOUSE TREE DECORATION</t>
  </si>
  <si>
    <t xml:space="preserve">21017</t>
  </si>
  <si>
    <t xml:space="preserve">RED BOUDICCA LARGE BRACELET</t>
  </si>
  <si>
    <t xml:space="preserve">90160B</t>
  </si>
  <si>
    <t xml:space="preserve">RED CHARLIE+LOLA PERSONAL DOORSIGN</t>
  </si>
  <si>
    <t xml:space="preserve">85071B</t>
  </si>
  <si>
    <t xml:space="preserve">RED COAT RACK PARIS FASHION</t>
  </si>
  <si>
    <t xml:space="preserve">RED DAISY PAPER LAMPSHADE</t>
  </si>
  <si>
    <t xml:space="preserve">40046A</t>
  </si>
  <si>
    <t xml:space="preserve">RED DAISY POCKET BOOK</t>
  </si>
  <si>
    <t xml:space="preserve">20757</t>
  </si>
  <si>
    <t xml:space="preserve">RED DINER WALL CLOCK</t>
  </si>
  <si>
    <t xml:space="preserve">22193</t>
  </si>
  <si>
    <t xml:space="preserve">RED DRAGONFLY HELICOPTER</t>
  </si>
  <si>
    <t xml:space="preserve">85135C</t>
  </si>
  <si>
    <t xml:space="preserve">RED DRAWER KNOB ACRYLIC EDWARDIAN</t>
  </si>
  <si>
    <t xml:space="preserve">RED EGG SPOON</t>
  </si>
  <si>
    <t xml:space="preserve">21402</t>
  </si>
  <si>
    <t xml:space="preserve">RED ENAMEL FLOWER RING</t>
  </si>
  <si>
    <t xml:space="preserve">90201C</t>
  </si>
  <si>
    <t xml:space="preserve">RED ENCHANTED FOREST PLACEMAT</t>
  </si>
  <si>
    <t xml:space="preserve">RED FLOCK LOVE HEART PHOTO FRAME</t>
  </si>
  <si>
    <t xml:space="preserve">20832</t>
  </si>
  <si>
    <t xml:space="preserve">RED FLORAL FELTCRAFT SHOULDER BAG</t>
  </si>
  <si>
    <t xml:space="preserve">20969</t>
  </si>
  <si>
    <t xml:space="preserve">RED FLOWER CROCHET FOOD COVER</t>
  </si>
  <si>
    <t xml:space="preserve">21466</t>
  </si>
  <si>
    <t xml:space="preserve">RED GINGHAM ROSE JEWELLERY BOX</t>
  </si>
  <si>
    <t xml:space="preserve">21429</t>
  </si>
  <si>
    <t xml:space="preserve">RED GINGHAM TEDDY BEAR</t>
  </si>
  <si>
    <t xml:space="preserve">RED GLASS TASSLE BAG CHARM</t>
  </si>
  <si>
    <t xml:space="preserve">90129F</t>
  </si>
  <si>
    <t xml:space="preserve">RED HANGING HEART T-LIGHT HOLDER</t>
  </si>
  <si>
    <t xml:space="preserve">RED HANGING METAL STAR TLIGHT HLDR</t>
  </si>
  <si>
    <t xml:space="preserve">21732</t>
  </si>
  <si>
    <t xml:space="preserve">RED HARMONICA IN BOX</t>
  </si>
  <si>
    <t xml:space="preserve">21915</t>
  </si>
  <si>
    <t xml:space="preserve">RED HEART CANDY POP LIGHTS</t>
  </si>
  <si>
    <t xml:space="preserve">85043</t>
  </si>
  <si>
    <t xml:space="preserve">RED HEART LUGGAGE TAG</t>
  </si>
  <si>
    <t xml:space="preserve">20669</t>
  </si>
  <si>
    <t xml:space="preserve">RED HEART SHAPE LOVE BUCKET</t>
  </si>
  <si>
    <t xml:space="preserve">RED HEARTS LIGHT CHAIN</t>
  </si>
  <si>
    <t xml:space="preserve">85180A</t>
  </si>
  <si>
    <t xml:space="preserve">RED KITCHEN SCALES</t>
  </si>
  <si>
    <t xml:space="preserve">RED KUKUI COCONUT SEED NECKLACE</t>
  </si>
  <si>
    <t xml:space="preserve">90030B</t>
  </si>
  <si>
    <t xml:space="preserve">RED LOVE HEART SHAPE CUP</t>
  </si>
  <si>
    <t xml:space="preserve">22132</t>
  </si>
  <si>
    <t xml:space="preserve">RED METAL BEACH SPADE</t>
  </si>
  <si>
    <t xml:space="preserve">21718</t>
  </si>
  <si>
    <t xml:space="preserve">RED MINI TAPE MEASURE</t>
  </si>
  <si>
    <t xml:space="preserve">20737</t>
  </si>
  <si>
    <t xml:space="preserve">RED ORGANIC CANDLE IN GLASS</t>
  </si>
  <si>
    <t xml:space="preserve">72023F</t>
  </si>
  <si>
    <t xml:space="preserve">RED PAPER PARASOL</t>
  </si>
  <si>
    <t xml:space="preserve">15044D</t>
  </si>
  <si>
    <t xml:space="preserve">RED PEONY DES C/COVER</t>
  </si>
  <si>
    <t xml:space="preserve">84984B</t>
  </si>
  <si>
    <t xml:space="preserve">RED PEONY PHOTO FRAME</t>
  </si>
  <si>
    <t xml:space="preserve">84705F</t>
  </si>
  <si>
    <t xml:space="preserve">RED PEONY TABLE CLOCK</t>
  </si>
  <si>
    <t xml:space="preserve">84706F</t>
  </si>
  <si>
    <t xml:space="preserve">RED POLKA DOT TISSUE BOX</t>
  </si>
  <si>
    <t xml:space="preserve">22094</t>
  </si>
  <si>
    <t xml:space="preserve">RED POPPY ARTIFICIAL FLOWER</t>
  </si>
  <si>
    <t xml:space="preserve">84807</t>
  </si>
  <si>
    <t xml:space="preserve">RED PUDDING SPOON</t>
  </si>
  <si>
    <t xml:space="preserve">21400</t>
  </si>
  <si>
    <t xml:space="preserve">RED PURSE WITH PINK HEART</t>
  </si>
  <si>
    <t xml:space="preserve">16206B</t>
  </si>
  <si>
    <t xml:space="preserve">RED REINDEER STRING OF 20 LIGHTS</t>
  </si>
  <si>
    <t xml:space="preserve">85044</t>
  </si>
  <si>
    <t xml:space="preserve">RED RETRO BAR STOOL</t>
  </si>
  <si>
    <t xml:space="preserve">20784</t>
  </si>
  <si>
    <t xml:space="preserve">RED RETROSPOT BUTTER DISH</t>
  </si>
  <si>
    <t xml:space="preserve">21539</t>
  </si>
  <si>
    <t xml:space="preserve">RED RETROSPOT CAKE STAND</t>
  </si>
  <si>
    <t xml:space="preserve">RED RETROSPOT MUG</t>
  </si>
  <si>
    <t xml:space="preserve">21844</t>
  </si>
  <si>
    <t xml:space="preserve">RED RETROSPOT PICNIC BAG</t>
  </si>
  <si>
    <t xml:space="preserve">21936</t>
  </si>
  <si>
    <t xml:space="preserve">RED RETROSPOT PUDDING BOWL</t>
  </si>
  <si>
    <t xml:space="preserve">RED RETROSPOT SMALL MILK JUG</t>
  </si>
  <si>
    <t xml:space="preserve">21535</t>
  </si>
  <si>
    <t xml:space="preserve">RED RETROSPOT STORAGE JAR</t>
  </si>
  <si>
    <t xml:space="preserve">22073</t>
  </si>
  <si>
    <t xml:space="preserve">RED RETROSPOT SUGAR JAM BOWL</t>
  </si>
  <si>
    <t xml:space="preserve">RED RETROSPOT TEA CUP AND SAUCER</t>
  </si>
  <si>
    <t xml:space="preserve">RED RETROSPOT TRADITIONAL TEAPOT</t>
  </si>
  <si>
    <t xml:space="preserve">21527</t>
  </si>
  <si>
    <t xml:space="preserve">RED ROSE AND LACE C/COVER</t>
  </si>
  <si>
    <t xml:space="preserve">84773</t>
  </si>
  <si>
    <t xml:space="preserve">RED SHARK HELICOPTER</t>
  </si>
  <si>
    <t xml:space="preserve">85136C</t>
  </si>
  <si>
    <t xml:space="preserve">RED SPOT CERAMIC DRAWER KNOB</t>
  </si>
  <si>
    <t xml:space="preserve">RED SPOT HEART HOT WATER BOTTLE</t>
  </si>
  <si>
    <t xml:space="preserve">RED SPOTS WRAP</t>
  </si>
  <si>
    <t xml:space="preserve">RED SPOTTY APRON</t>
  </si>
  <si>
    <t xml:space="preserve">21042</t>
  </si>
  <si>
    <t xml:space="preserve">RED SPOTTY BEAKER</t>
  </si>
  <si>
    <t xml:space="preserve">21394</t>
  </si>
  <si>
    <t xml:space="preserve">RED SPOTTY BIG BOWL</t>
  </si>
  <si>
    <t xml:space="preserve">21246</t>
  </si>
  <si>
    <t xml:space="preserve">RED SPOTTY BISCUIT TIN</t>
  </si>
  <si>
    <t xml:space="preserve">RED SPOTTY BOWL</t>
  </si>
  <si>
    <t xml:space="preserve">RED SPOTTY CANDY BAG</t>
  </si>
  <si>
    <t xml:space="preserve">20729</t>
  </si>
  <si>
    <t xml:space="preserve">RED SPOTTY CHARLOTTE BAG</t>
  </si>
  <si>
    <t xml:space="preserve">RED SPOTTY CHILDS UMBRELLA</t>
  </si>
  <si>
    <t xml:space="preserve">RED SPOTTY COFFEE MUG</t>
  </si>
  <si>
    <t xml:space="preserve">21398</t>
  </si>
  <si>
    <t xml:space="preserve">RED SPOTTY CUP</t>
  </si>
  <si>
    <t xml:space="preserve">RED SPOTTY EGG CUP</t>
  </si>
  <si>
    <t xml:space="preserve">21396</t>
  </si>
  <si>
    <t xml:space="preserve">RED SPOTTY LUGGAGE TAG</t>
  </si>
  <si>
    <t xml:space="preserve">20658</t>
  </si>
  <si>
    <t xml:space="preserve">RED SPOTTY OVEN GLOVE</t>
  </si>
  <si>
    <t xml:space="preserve">RED SPOTTY OVEN GLOVE DOUBLE</t>
  </si>
  <si>
    <t xml:space="preserve">21041</t>
  </si>
  <si>
    <t xml:space="preserve">RED SPOTTY PASSPORT COVER</t>
  </si>
  <si>
    <t xml:space="preserve">20620</t>
  </si>
  <si>
    <t xml:space="preserve">RED SPOTTY PEG BAG</t>
  </si>
  <si>
    <t xml:space="preserve">RED SPOTTY PLATE</t>
  </si>
  <si>
    <t xml:space="preserve">RED SPOTTY PUDDING BOWL</t>
  </si>
  <si>
    <t xml:space="preserve">21392</t>
  </si>
  <si>
    <t xml:space="preserve">RED SPOTTY PURSE</t>
  </si>
  <si>
    <t xml:space="preserve">20665</t>
  </si>
  <si>
    <t xml:space="preserve">RED SPOTTY ROUND CAKE TINS</t>
  </si>
  <si>
    <t xml:space="preserve">21217</t>
  </si>
  <si>
    <t xml:space="preserve">RED SPOTTY SHOPPER BAG</t>
  </si>
  <si>
    <t xml:space="preserve">RED SPOTTY SHOPPING BAG</t>
  </si>
  <si>
    <t xml:space="preserve">21039</t>
  </si>
  <si>
    <t xml:space="preserve">RED SPOTTY TABLECLOTH</t>
  </si>
  <si>
    <t xml:space="preserve">21153</t>
  </si>
  <si>
    <t xml:space="preserve">RED SPOTTY WASHBAG</t>
  </si>
  <si>
    <t xml:space="preserve">21157</t>
  </si>
  <si>
    <t xml:space="preserve">RED STAR CARD HOLDER</t>
  </si>
  <si>
    <t xml:space="preserve">22186</t>
  </si>
  <si>
    <t xml:space="preserve">RED STONE/CRYSTAL EARRINGS</t>
  </si>
  <si>
    <t xml:space="preserve">90130D</t>
  </si>
  <si>
    <t xml:space="preserve">RED STRIPE CERAMIC DRAWER KNOB</t>
  </si>
  <si>
    <t xml:space="preserve">21668</t>
  </si>
  <si>
    <t xml:space="preserve">RED TEA TOWEL CLASSIC DESIGN</t>
  </si>
  <si>
    <t xml:space="preserve">22480</t>
  </si>
  <si>
    <t xml:space="preserve">RED TOADSTOOL LED NIGHT LIGHT</t>
  </si>
  <si>
    <t xml:space="preserve">RED TOP SCANDINAVIAN HEART</t>
  </si>
  <si>
    <t xml:space="preserve">35980B</t>
  </si>
  <si>
    <t xml:space="preserve">RED VICTORIAN FABRIC HEART BOX</t>
  </si>
  <si>
    <t xml:space="preserve">35096B</t>
  </si>
  <si>
    <t xml:space="preserve">RED VICTORIAN FABRIC OVAL BOX</t>
  </si>
  <si>
    <t xml:space="preserve">35095B</t>
  </si>
  <si>
    <t xml:space="preserve">RED WHITE SCARF HOT WATER BOTTLE</t>
  </si>
  <si>
    <t xml:space="preserve">21488</t>
  </si>
  <si>
    <t xml:space="preserve">RED WOOLLY HOTTIE WHITE HEART.</t>
  </si>
  <si>
    <t xml:space="preserve">84029E</t>
  </si>
  <si>
    <t xml:space="preserve">RED/CREAM STRIPE CUSHION COVER</t>
  </si>
  <si>
    <t xml:space="preserve">21926</t>
  </si>
  <si>
    <t xml:space="preserve">RED/CREAM STRIPE FRINGE HAMMOCK</t>
  </si>
  <si>
    <t xml:space="preserve">21923</t>
  </si>
  <si>
    <t xml:space="preserve">RED/WHITE DOT MINI CASES</t>
  </si>
  <si>
    <t xml:space="preserve">RED/WHITE DOTS RUFFLED UMBRELLA</t>
  </si>
  <si>
    <t xml:space="preserve">REDWHITE STRIPE SCANDINAVIAN HEART</t>
  </si>
  <si>
    <t xml:space="preserve">35980C</t>
  </si>
  <si>
    <t xml:space="preserve">REGENCY CAKESTAND 3 TIER</t>
  </si>
  <si>
    <t xml:space="preserve">REGENCY MIRROR WITH SHUTTERS</t>
  </si>
  <si>
    <t xml:space="preserve">22828</t>
  </si>
  <si>
    <t xml:space="preserve">RELAX LARGE WOOD LETTERS</t>
  </si>
  <si>
    <t xml:space="preserve">21359</t>
  </si>
  <si>
    <t xml:space="preserve">RESIN BRACELET W PASTEL BEADS</t>
  </si>
  <si>
    <t xml:space="preserve">90156</t>
  </si>
  <si>
    <t xml:space="preserve">RESIN NECKLACE W PASTEL BEADS</t>
  </si>
  <si>
    <t xml:space="preserve">90155</t>
  </si>
  <si>
    <t xml:space="preserve">RETRO "TEA FOR ONE"</t>
  </si>
  <si>
    <t xml:space="preserve">37333</t>
  </si>
  <si>
    <t xml:space="preserve">RETRO BLUE SPOTTY WASHING UP GLOVES</t>
  </si>
  <si>
    <t xml:space="preserve">20752</t>
  </si>
  <si>
    <t xml:space="preserve">RETRO BROWN BALL ASHTRAY</t>
  </si>
  <si>
    <t xml:space="preserve">84597B</t>
  </si>
  <si>
    <t xml:space="preserve">RETRO COFFEE MUGS ASSORTED</t>
  </si>
  <si>
    <t xml:space="preserve">37370</t>
  </si>
  <si>
    <t xml:space="preserve">RETRO LAUNDRY TUB PINK</t>
  </si>
  <si>
    <t xml:space="preserve">85121B</t>
  </si>
  <si>
    <t xml:space="preserve">RETRO LAUNDRY TUB PISTACHIO</t>
  </si>
  <si>
    <t xml:space="preserve">85121C</t>
  </si>
  <si>
    <t xml:space="preserve">RETRO LONGBOARD IRONING BOARD COVER</t>
  </si>
  <si>
    <t xml:space="preserve">47563A</t>
  </si>
  <si>
    <t xml:space="preserve">RETRO MOD TRAY</t>
  </si>
  <si>
    <t xml:space="preserve">79066K</t>
  </si>
  <si>
    <t xml:space="preserve">RETRO PINK BALL ASHTRAY</t>
  </si>
  <si>
    <t xml:space="preserve">84597C</t>
  </si>
  <si>
    <t xml:space="preserve">RETRO PINK SPOT WASHING UP GLOVES</t>
  </si>
  <si>
    <t xml:space="preserve">20753</t>
  </si>
  <si>
    <t xml:space="preserve">RETRO PLASTIC 70'S TRAY</t>
  </si>
  <si>
    <t xml:space="preserve">79192A</t>
  </si>
  <si>
    <t xml:space="preserve">RETRO PLASTIC DAISY TRAY</t>
  </si>
  <si>
    <t xml:space="preserve">79190D</t>
  </si>
  <si>
    <t xml:space="preserve">79191D</t>
  </si>
  <si>
    <t xml:space="preserve">RETRO PLASTIC ELEPHANT TRAY</t>
  </si>
  <si>
    <t xml:space="preserve">RETRO PLASTIC POLKA TRAY</t>
  </si>
  <si>
    <t xml:space="preserve">RETRO RED SPOTTY WASHING UP GLOVES</t>
  </si>
  <si>
    <t xml:space="preserve">20754</t>
  </si>
  <si>
    <t xml:space="preserve">RETRO SISTERS EXPRESSO CUPS</t>
  </si>
  <si>
    <t xml:space="preserve">20689</t>
  </si>
  <si>
    <t xml:space="preserve">RETRO SPORT PARTY BAG + STICKER SET</t>
  </si>
  <si>
    <t xml:space="preserve">22333</t>
  </si>
  <si>
    <t xml:space="preserve">RETRO SPOT CANDLE LARGE</t>
  </si>
  <si>
    <t xml:space="preserve">RETRO SPOT CANDLE MEDIUM</t>
  </si>
  <si>
    <t xml:space="preserve">RETRO SPOT CANDLE SMALL</t>
  </si>
  <si>
    <t xml:space="preserve">RETRO SPOT CERAMIC TOASTRACK</t>
  </si>
  <si>
    <t xml:space="preserve">21529</t>
  </si>
  <si>
    <t xml:space="preserve">RETRO SPOT CIGAR BOX MATCHES</t>
  </si>
  <si>
    <t xml:space="preserve">21592</t>
  </si>
  <si>
    <t xml:space="preserve">RETRO SPOT GIANT TUBE MATCHES</t>
  </si>
  <si>
    <t xml:space="preserve">21588</t>
  </si>
  <si>
    <t xml:space="preserve">RETRO SPOT LAMP</t>
  </si>
  <si>
    <t xml:space="preserve">22180</t>
  </si>
  <si>
    <t xml:space="preserve">RETRO SPOT LARGE MILK JUG</t>
  </si>
  <si>
    <t xml:space="preserve">RETRO SPOT SMALL TUBE MATCHES</t>
  </si>
  <si>
    <t xml:space="preserve">21584</t>
  </si>
  <si>
    <t xml:space="preserve">RETRO SPOT TEA SET CERAMIC 11 PC</t>
  </si>
  <si>
    <t xml:space="preserve">RETROSPOT CHILDRENS APRON</t>
  </si>
  <si>
    <t xml:space="preserve">RETROSPOT PADDED SEAT CUSHION</t>
  </si>
  <si>
    <t xml:space="preserve">22354</t>
  </si>
  <si>
    <t xml:space="preserve">REX CASH+CARRY JUMBO SHOPPER</t>
  </si>
  <si>
    <t xml:space="preserve">21034</t>
  </si>
  <si>
    <t xml:space="preserve">RHOMBUS CRYSTAL PERFUME BOTTLE</t>
  </si>
  <si>
    <t xml:space="preserve">84814B</t>
  </si>
  <si>
    <t xml:space="preserve">RIBBON REEL CHRISTMAS PRESENT</t>
  </si>
  <si>
    <t xml:space="preserve">RIBBON REEL CHRISTMAS SOCK BAUBLE</t>
  </si>
  <si>
    <t xml:space="preserve">RIBBON REEL FLORA + FAUNA</t>
  </si>
  <si>
    <t xml:space="preserve">RIBBON REEL HEARTS DESIGN</t>
  </si>
  <si>
    <t xml:space="preserve">22079</t>
  </si>
  <si>
    <t xml:space="preserve">RIBBON REEL LACE DESIGN</t>
  </si>
  <si>
    <t xml:space="preserve">RIBBON REEL MAKING SNOWMEN</t>
  </si>
  <si>
    <t xml:space="preserve">RIBBON REEL SNOWY VILLAGE</t>
  </si>
  <si>
    <t xml:space="preserve">RIBBON REEL SOCKS AND MITTENS</t>
  </si>
  <si>
    <t xml:space="preserve">22735</t>
  </si>
  <si>
    <t xml:space="preserve">RIBBON REEL SPOTS DESIGN</t>
  </si>
  <si>
    <t xml:space="preserve">RIBBON REEL STRIPES DESIGN</t>
  </si>
  <si>
    <t xml:space="preserve">22082</t>
  </si>
  <si>
    <t xml:space="preserve">RIBBONS PURSE</t>
  </si>
  <si>
    <t xml:space="preserve">21051</t>
  </si>
  <si>
    <t xml:space="preserve">RIDGED GLASS FINGER BOWL</t>
  </si>
  <si>
    <t xml:space="preserve">21654</t>
  </si>
  <si>
    <t xml:space="preserve">RIDGED GLASS PENDANT LAMPSHADE</t>
  </si>
  <si>
    <t xml:space="preserve">21674</t>
  </si>
  <si>
    <t xml:space="preserve">RIDGED GLASS POSY VASE</t>
  </si>
  <si>
    <t xml:space="preserve">21656</t>
  </si>
  <si>
    <t xml:space="preserve">RIDGED GLASS STORAGE JAR CREAM LID</t>
  </si>
  <si>
    <t xml:space="preserve">21664</t>
  </si>
  <si>
    <t xml:space="preserve">RIDGED GLASS T-LIGHT HOLDER</t>
  </si>
  <si>
    <t xml:space="preserve">21666</t>
  </si>
  <si>
    <t xml:space="preserve">RING OF ROSES BIRTHDAY CARD</t>
  </si>
  <si>
    <t xml:space="preserve">22025</t>
  </si>
  <si>
    <t xml:space="preserve">RIO PINK STRIPE HAMMOCK</t>
  </si>
  <si>
    <t xml:space="preserve">84795E</t>
  </si>
  <si>
    <t xml:space="preserve">RIVIERA NECKLACE</t>
  </si>
  <si>
    <t xml:space="preserve">90157</t>
  </si>
  <si>
    <t xml:space="preserve">ROAD-RAGE CAR FRESHENER</t>
  </si>
  <si>
    <t xml:space="preserve">DCGS0062</t>
  </si>
  <si>
    <t xml:space="preserve">ROBIN CHRISTMAS CARD</t>
  </si>
  <si>
    <t xml:space="preserve">22034</t>
  </si>
  <si>
    <t xml:space="preserve">ROBOT BIRTHDAY CARD</t>
  </si>
  <si>
    <t xml:space="preserve">ROBOT MUG IN DISPLAY BOX</t>
  </si>
  <si>
    <t xml:space="preserve">37464</t>
  </si>
  <si>
    <t xml:space="preserve">ROBOT PENCIL SHARPNER</t>
  </si>
  <si>
    <t xml:space="preserve">10002R</t>
  </si>
  <si>
    <t xml:space="preserve">ROCKING HORSE GREEN CHRISTMAS</t>
  </si>
  <si>
    <t xml:space="preserve">22572</t>
  </si>
  <si>
    <t xml:space="preserve">ROCKING HORSE RED CHRISTMAS</t>
  </si>
  <si>
    <t xml:space="preserve">ROMANTIC IMAGES GIFT WRAP SET</t>
  </si>
  <si>
    <t xml:space="preserve">85032A</t>
  </si>
  <si>
    <t xml:space="preserve">ROMANTIC IMAGES NOTEBOOK SET</t>
  </si>
  <si>
    <t xml:space="preserve">85019A</t>
  </si>
  <si>
    <t xml:space="preserve">ROMANTIC IMAGES SCRAP BOOK SET</t>
  </si>
  <si>
    <t xml:space="preserve">85031A</t>
  </si>
  <si>
    <t xml:space="preserve">ROMANTIC PINKS RIBBONS</t>
  </si>
  <si>
    <t xml:space="preserve">85049C</t>
  </si>
  <si>
    <t xml:space="preserve">ROSE 1 WICK MORRIS BOXED CANDLE</t>
  </si>
  <si>
    <t xml:space="preserve">85036C</t>
  </si>
  <si>
    <t xml:space="preserve">ROSE 3 WICK MORRIS BOX CANDLE</t>
  </si>
  <si>
    <t xml:space="preserve">85035C</t>
  </si>
  <si>
    <t xml:space="preserve">ROSE CARAVAN DOORSTOP</t>
  </si>
  <si>
    <t xml:space="preserve">ROSE COLOUR PAIR HEART HAIR SLIDES</t>
  </si>
  <si>
    <t xml:space="preserve">90003B</t>
  </si>
  <si>
    <t xml:space="preserve">ROSE COTTAGE KEEPSAKE BOX</t>
  </si>
  <si>
    <t xml:space="preserve">22968</t>
  </si>
  <si>
    <t xml:space="preserve">ROSE DES PADDED FLOOR CUSHION</t>
  </si>
  <si>
    <t xml:space="preserve">84469</t>
  </si>
  <si>
    <t xml:space="preserve">ROSE DU SUD CHILDS APRON</t>
  </si>
  <si>
    <t xml:space="preserve">21004</t>
  </si>
  <si>
    <t xml:space="preserve">ROSE DU SUD COSMETICS BAG</t>
  </si>
  <si>
    <t xml:space="preserve">21000</t>
  </si>
  <si>
    <t xml:space="preserve">ROSE DU SUD CUSHION COVER</t>
  </si>
  <si>
    <t xml:space="preserve">20997</t>
  </si>
  <si>
    <t xml:space="preserve">21003</t>
  </si>
  <si>
    <t xml:space="preserve">ROSE DU SUD DRAWSTRING BAG</t>
  </si>
  <si>
    <t xml:space="preserve">21002</t>
  </si>
  <si>
    <t xml:space="preserve">ROSE DU SUD OVEN GLOVE</t>
  </si>
  <si>
    <t xml:space="preserve">20998</t>
  </si>
  <si>
    <t xml:space="preserve">ROSE DU SUD WASHBAG</t>
  </si>
  <si>
    <t xml:space="preserve">21001</t>
  </si>
  <si>
    <t xml:space="preserve">ROSE FLOWER CANDLE+INCENSE 16X16CM</t>
  </si>
  <si>
    <t xml:space="preserve">17191A</t>
  </si>
  <si>
    <t xml:space="preserve">ROSE FOLKART HEART DECORATIONS</t>
  </si>
  <si>
    <t xml:space="preserve">35971</t>
  </si>
  <si>
    <t xml:space="preserve">ROSE PENDANT TRIPLE SHELL NECKLACE</t>
  </si>
  <si>
    <t xml:space="preserve">90141D</t>
  </si>
  <si>
    <t xml:space="preserve">ROSE PINK METAL FOLDING CHAIR</t>
  </si>
  <si>
    <t xml:space="preserve">84292</t>
  </si>
  <si>
    <t xml:space="preserve">ROSE PINK PENDANT SHELL NECKLACE</t>
  </si>
  <si>
    <t xml:space="preserve">90142C</t>
  </si>
  <si>
    <t xml:space="preserve">ROSE SCENT CANDLE IN JEWELLED BOX</t>
  </si>
  <si>
    <t xml:space="preserve">72802A</t>
  </si>
  <si>
    <t xml:space="preserve">ROSE SCENT CANDLE JEWELLED DRAWER</t>
  </si>
  <si>
    <t xml:space="preserve">72803A</t>
  </si>
  <si>
    <t xml:space="preserve">ROSE SCENT CANDLES IN GLASS</t>
  </si>
  <si>
    <t xml:space="preserve">72728</t>
  </si>
  <si>
    <t xml:space="preserve">ROSE SCENTED VOTIVE CANDLE</t>
  </si>
  <si>
    <t xml:space="preserve">85230C</t>
  </si>
  <si>
    <t xml:space="preserve">ROSES BLUE BASE CUSHION COVER</t>
  </si>
  <si>
    <t xml:space="preserve">46307</t>
  </si>
  <si>
    <t xml:space="preserve">ROSES IN WHITE HEART CANDLE</t>
  </si>
  <si>
    <t xml:space="preserve">72484</t>
  </si>
  <si>
    <t xml:space="preserve">ROSES ON BLUE TEACUP CANDLE</t>
  </si>
  <si>
    <t xml:space="preserve">72045D</t>
  </si>
  <si>
    <t xml:space="preserve">ROSES REGENCY TEACUP AND SAUCER</t>
  </si>
  <si>
    <t xml:space="preserve">ROSES WHITE ROUND CANDLE</t>
  </si>
  <si>
    <t xml:space="preserve">72487</t>
  </si>
  <si>
    <t xml:space="preserve">ROTATING LEAVES T-LIGHT HOLDER</t>
  </si>
  <si>
    <t xml:space="preserve">ROTATING SILVER ANGELS T-LIGHT HLDR</t>
  </si>
  <si>
    <t xml:space="preserve">ROUND ARTICULATED BLUE CLOCK W/SUCK</t>
  </si>
  <si>
    <t xml:space="preserve">81953B</t>
  </si>
  <si>
    <t xml:space="preserve">ROUND ARTICULATED PINK CLOCK W/SUCK</t>
  </si>
  <si>
    <t xml:space="preserve">81953P</t>
  </si>
  <si>
    <t xml:space="preserve">ROUND BLUE CLOCK W/SUCKER</t>
  </si>
  <si>
    <t xml:space="preserve">81952B</t>
  </si>
  <si>
    <t xml:space="preserve">ROUND CACTUS CANDLE</t>
  </si>
  <si>
    <t xml:space="preserve">20935</t>
  </si>
  <si>
    <t xml:space="preserve">ROUND CAKE TIN VINTAGE GREEN</t>
  </si>
  <si>
    <t xml:space="preserve">22841</t>
  </si>
  <si>
    <t xml:space="preserve">ROUND CAKE TIN VINTAGE RED</t>
  </si>
  <si>
    <t xml:space="preserve">22840</t>
  </si>
  <si>
    <t xml:space="preserve">ROUND CONTAINER SET OF 5 RETROSPOT</t>
  </si>
  <si>
    <t xml:space="preserve">22329</t>
  </si>
  <si>
    <t xml:space="preserve">ROUND GEORGIAN SILVER MIRROR</t>
  </si>
  <si>
    <t xml:space="preserve">84770</t>
  </si>
  <si>
    <t xml:space="preserve">ROUND PINK HEART MIRROR</t>
  </si>
  <si>
    <t xml:space="preserve">85020</t>
  </si>
  <si>
    <t xml:space="preserve">ROUND PURPLE CLOCK W/SUCKER</t>
  </si>
  <si>
    <t xml:space="preserve">81952V</t>
  </si>
  <si>
    <t xml:space="preserve">ROUND SNACK BOXES SET OF 4 FRUITS</t>
  </si>
  <si>
    <t xml:space="preserve">ROUND SNACK BOXES SET OF 4 SKULLS</t>
  </si>
  <si>
    <t xml:space="preserve">ROUND SNACK BOXES SET OF4 WOODLAND</t>
  </si>
  <si>
    <t xml:space="preserve">ROUND WHITE CONFETTI IN TUBE</t>
  </si>
  <si>
    <t xml:space="preserve">RUBY DROP CHANDELIER EARRINGS</t>
  </si>
  <si>
    <t xml:space="preserve">90072</t>
  </si>
  <si>
    <t xml:space="preserve">RUBY GLASS CLUSTER BRACELET</t>
  </si>
  <si>
    <t xml:space="preserve">90070</t>
  </si>
  <si>
    <t xml:space="preserve">RUBY GLASS CLUSTER EARRINGS</t>
  </si>
  <si>
    <t xml:space="preserve">90071</t>
  </si>
  <si>
    <t xml:space="preserve">RUBY GLASS CLUSTER NECKLACE</t>
  </si>
  <si>
    <t xml:space="preserve">90069</t>
  </si>
  <si>
    <t xml:space="preserve">RUBY GLASS NECKLACE 42"</t>
  </si>
  <si>
    <t xml:space="preserve">90068</t>
  </si>
  <si>
    <t xml:space="preserve">RUSSIAN FOLKART STACKING TINS</t>
  </si>
  <si>
    <t xml:space="preserve">85232C</t>
  </si>
  <si>
    <t xml:space="preserve">RUSTIC WOODEN CABINET, GLASS DOORS</t>
  </si>
  <si>
    <t xml:space="preserve">22764</t>
  </si>
  <si>
    <t xml:space="preserve">S/12 MINI RABBIT EASTER</t>
  </si>
  <si>
    <t xml:space="preserve">85187</t>
  </si>
  <si>
    <t xml:space="preserve">S/12 VANILLA BOTANICAL T-LIGHTS</t>
  </si>
  <si>
    <t xml:space="preserve">21613</t>
  </si>
  <si>
    <t xml:space="preserve">S/15 SILVER GLASS BAUBLES IN BAG</t>
  </si>
  <si>
    <t xml:space="preserve">84754</t>
  </si>
  <si>
    <t xml:space="preserve">S/16 BLACK SHINY/MAT BAUBLES</t>
  </si>
  <si>
    <t xml:space="preserve">35603B</t>
  </si>
  <si>
    <t xml:space="preserve">S/16 VINTAGE BLACK CUTLERY</t>
  </si>
  <si>
    <t xml:space="preserve">84968E</t>
  </si>
  <si>
    <t xml:space="preserve">S/16 VINTAGE IVORY CUTLERY</t>
  </si>
  <si>
    <t xml:space="preserve">84968B</t>
  </si>
  <si>
    <t xml:space="preserve">S/16 VINTAGE PISTACHIO CUTLERY</t>
  </si>
  <si>
    <t xml:space="preserve">84968C</t>
  </si>
  <si>
    <t xml:space="preserve">S/16 VINTAGE RED CUTLERY</t>
  </si>
  <si>
    <t xml:space="preserve">84968D</t>
  </si>
  <si>
    <t xml:space="preserve">S/16 VINTAGE ROSE CUTLERY</t>
  </si>
  <si>
    <t xml:space="preserve">84968A</t>
  </si>
  <si>
    <t xml:space="preserve">S/16 VINTAGE SKY BLUE CUTLERY</t>
  </si>
  <si>
    <t xml:space="preserve">84968F</t>
  </si>
  <si>
    <t xml:space="preserve">S/2 BEACH HUT STOOLS</t>
  </si>
  <si>
    <t xml:space="preserve">84690</t>
  </si>
  <si>
    <t xml:space="preserve">S/2 BEACH HUT TREASURE CHESTS</t>
  </si>
  <si>
    <t xml:space="preserve">84689</t>
  </si>
  <si>
    <t xml:space="preserve">S/2 HYACINTH BULB CANDLES</t>
  </si>
  <si>
    <t xml:space="preserve">85171</t>
  </si>
  <si>
    <t xml:space="preserve">S/2 ZINC HEART DESIGN PLANTERS</t>
  </si>
  <si>
    <t xml:space="preserve">84974</t>
  </si>
  <si>
    <t xml:space="preserve">S/3 COLOURS FLOCK TEA TOWELS</t>
  </si>
  <si>
    <t xml:space="preserve">47554</t>
  </si>
  <si>
    <t xml:space="preserve">S/3 ENGLISH LAVENDER SQU CANDLE</t>
  </si>
  <si>
    <t xml:space="preserve">72796A</t>
  </si>
  <si>
    <t xml:space="preserve">S/3 FLWR FAIRY LAVENDER CANDLES</t>
  </si>
  <si>
    <t xml:space="preserve">72753B</t>
  </si>
  <si>
    <t xml:space="preserve">S/3 FLWR FAIRY LILLY CANDLES</t>
  </si>
  <si>
    <t xml:space="preserve">72753A</t>
  </si>
  <si>
    <t xml:space="preserve">S/3 FLWR FAIRY ROSE CANDLES</t>
  </si>
  <si>
    <t xml:space="preserve">72753C</t>
  </si>
  <si>
    <t xml:space="preserve">S/3 FLWR FAIRY SUMMER CANDLES</t>
  </si>
  <si>
    <t xml:space="preserve">72753D</t>
  </si>
  <si>
    <t xml:space="preserve">S/3 FRENCH VANILLA SQU CANDLE</t>
  </si>
  <si>
    <t xml:space="preserve">72796B</t>
  </si>
  <si>
    <t xml:space="preserve">S/3 PINK COL METAL BASKET W HANDLE</t>
  </si>
  <si>
    <t xml:space="preserve">84405A</t>
  </si>
  <si>
    <t xml:space="preserve">S/3 PINK SQUARE PLANTERS ROSES</t>
  </si>
  <si>
    <t xml:space="preserve">84306</t>
  </si>
  <si>
    <t xml:space="preserve">S/3 POT POURI CUSHIONS BLUE COLOURS</t>
  </si>
  <si>
    <t xml:space="preserve">17007B</t>
  </si>
  <si>
    <t xml:space="preserve">S/3 PUPPIES CHRISTMAS DECORATIONS</t>
  </si>
  <si>
    <t xml:space="preserve">35793</t>
  </si>
  <si>
    <t xml:space="preserve">S/3 RABBIT FLOWER/EGG/CARROT ROPE</t>
  </si>
  <si>
    <t xml:space="preserve">84458</t>
  </si>
  <si>
    <t xml:space="preserve">S/3 ROSE GARDEN SCENT SQU CANDLE</t>
  </si>
  <si>
    <t xml:space="preserve">72796C</t>
  </si>
  <si>
    <t xml:space="preserve">S/3 TEAR DROP CUT GLASS DECORATION</t>
  </si>
  <si>
    <t xml:space="preserve">85112</t>
  </si>
  <si>
    <t xml:space="preserve">S/4 BLACK DINNER CANDLE SILVER FLOC</t>
  </si>
  <si>
    <t xml:space="preserve">72800A</t>
  </si>
  <si>
    <t xml:space="preserve">S/4 BLACK DISCO PARTITION PANEL</t>
  </si>
  <si>
    <t xml:space="preserve">85115B</t>
  </si>
  <si>
    <t xml:space="preserve">S/4 BLACK LOVEBIRD COASTERS</t>
  </si>
  <si>
    <t xml:space="preserve">84951B</t>
  </si>
  <si>
    <t xml:space="preserve">S/4 BLACK MINI ROSE CANDLE IN BOWL</t>
  </si>
  <si>
    <t xml:space="preserve">85039C</t>
  </si>
  <si>
    <t xml:space="preserve">S/4 BLUE DINNER CANDLE SILVER FLOCK</t>
  </si>
  <si>
    <t xml:space="preserve">72800D</t>
  </si>
  <si>
    <t xml:space="preserve">S/4 BLUE ROUND DECOUPAGE BOXES</t>
  </si>
  <si>
    <t xml:space="preserve">85184D</t>
  </si>
  <si>
    <t xml:space="preserve">S/4 CACTI CANDLES</t>
  </si>
  <si>
    <t xml:space="preserve">85174</t>
  </si>
  <si>
    <t xml:space="preserve">S/4 CONTEMPORY PINK ROSEBUD CANDLES</t>
  </si>
  <si>
    <t xml:space="preserve">72785A</t>
  </si>
  <si>
    <t xml:space="preserve">S/4 CONTEMPORY RED ROSEBUD CANDLES</t>
  </si>
  <si>
    <t xml:space="preserve">72785B</t>
  </si>
  <si>
    <t xml:space="preserve">S/4 FESTIVE GREEN DINNER CANDLES</t>
  </si>
  <si>
    <t xml:space="preserve">72801E</t>
  </si>
  <si>
    <t xml:space="preserve">S/4 FESTIVE RED DINNER CANDLES</t>
  </si>
  <si>
    <t xml:space="preserve">72801F</t>
  </si>
  <si>
    <t xml:space="preserve">S/4 GROOVY CAT MAGNETS</t>
  </si>
  <si>
    <t xml:space="preserve">85211</t>
  </si>
  <si>
    <t xml:space="preserve">S/4 ICON COASTER,ELVIS LIVES</t>
  </si>
  <si>
    <t xml:space="preserve">79026B</t>
  </si>
  <si>
    <t xml:space="preserve">S/4 IVORY MINI ROSE CANDLE IN BOWL</t>
  </si>
  <si>
    <t xml:space="preserve">85039B</t>
  </si>
  <si>
    <t xml:space="preserve">S/4 PINK DINNER CANDLE SILVER FLOCK</t>
  </si>
  <si>
    <t xml:space="preserve">72800C</t>
  </si>
  <si>
    <t xml:space="preserve">S/4 PINK FLOWER CANDLES IN BOWL</t>
  </si>
  <si>
    <t xml:space="preserve">85040A</t>
  </si>
  <si>
    <t xml:space="preserve">S/4 PISTACHIO LOVEBIRD COASTERS</t>
  </si>
  <si>
    <t xml:space="preserve">84951A</t>
  </si>
  <si>
    <t xml:space="preserve">S/4 PURPLE DINNER CANDLE BLK FLOCK</t>
  </si>
  <si>
    <t xml:space="preserve">72800B</t>
  </si>
  <si>
    <t xml:space="preserve">S/4 ROSE BOTANICAL CANDLE</t>
  </si>
  <si>
    <t xml:space="preserve">21620</t>
  </si>
  <si>
    <t xml:space="preserve">S/4 ROSE PINK DINNER CANDLES</t>
  </si>
  <si>
    <t xml:space="preserve">72801C</t>
  </si>
  <si>
    <t xml:space="preserve">S/4 SKY BLUE DINNER CANDLES</t>
  </si>
  <si>
    <t xml:space="preserve">72801D</t>
  </si>
  <si>
    <t xml:space="preserve">S/4 VALENTINE DECOUPAGE HEART BOX</t>
  </si>
  <si>
    <t xml:space="preserve">85184C</t>
  </si>
  <si>
    <t xml:space="preserve">S/5 MINI ICE CREAM FRIDGE MAGNETS</t>
  </si>
  <si>
    <t xml:space="preserve">85218</t>
  </si>
  <si>
    <t xml:space="preserve">S/6 CHRISTMAS TREE PLACE SETTING</t>
  </si>
  <si>
    <t xml:space="preserve">35974</t>
  </si>
  <si>
    <t xml:space="preserve">S/6 HALLOWEEN GHOST T LIGHTS, 5CM H</t>
  </si>
  <si>
    <t xml:space="preserve">72586</t>
  </si>
  <si>
    <t xml:space="preserve">S/6 MULTICOLOUR ORNAMENETAL CANDLE</t>
  </si>
  <si>
    <t xml:space="preserve">35838A</t>
  </si>
  <si>
    <t xml:space="preserve">S/6 PAPER BOXES BLOSSOM IMAGES</t>
  </si>
  <si>
    <t xml:space="preserve">85018B</t>
  </si>
  <si>
    <t xml:space="preserve">S/6 PAPER BOXES CURIOUS IMAGES</t>
  </si>
  <si>
    <t xml:space="preserve">85018C</t>
  </si>
  <si>
    <t xml:space="preserve">S/6 PAPER BOXES ROMANTIC IMAGES</t>
  </si>
  <si>
    <t xml:space="preserve">85018A</t>
  </si>
  <si>
    <t xml:space="preserve">S/6 PINK EASTER DECS IN BOX</t>
  </si>
  <si>
    <t xml:space="preserve">84437A</t>
  </si>
  <si>
    <t xml:space="preserve">S/6 SCANDINAVIAN HEART T-LIGHT</t>
  </si>
  <si>
    <t xml:space="preserve">35999</t>
  </si>
  <si>
    <t xml:space="preserve">S/6 SEW ON CROCHET FLOWERS</t>
  </si>
  <si>
    <t xml:space="preserve">84744</t>
  </si>
  <si>
    <t xml:space="preserve">S/6 SILVER ORNAMENETAL CANDLE</t>
  </si>
  <si>
    <t xml:space="preserve">35838B</t>
  </si>
  <si>
    <t xml:space="preserve">S/6 WOODEN SKITTLES IN COTTON BAG</t>
  </si>
  <si>
    <t xml:space="preserve">21890</t>
  </si>
  <si>
    <t xml:space="preserve">S/60 PINK FLUFFY CHICKS IN BOX</t>
  </si>
  <si>
    <t xml:space="preserve">84464</t>
  </si>
  <si>
    <t xml:space="preserve">SALLE DE BAIN HOOK</t>
  </si>
  <si>
    <t xml:space="preserve">21272</t>
  </si>
  <si>
    <t xml:space="preserve">SAMPLES</t>
  </si>
  <si>
    <t xml:space="preserve">S</t>
  </si>
  <si>
    <t xml:space="preserve">SANDALWOOD FAN</t>
  </si>
  <si>
    <t xml:space="preserve">15039</t>
  </si>
  <si>
    <t xml:space="preserve">SANDALWOOD INCENSE IN TIN</t>
  </si>
  <si>
    <t xml:space="preserve">17091F</t>
  </si>
  <si>
    <t xml:space="preserve">SANDWICH BATH SPONGE</t>
  </si>
  <si>
    <t xml:space="preserve">20966</t>
  </si>
  <si>
    <t xml:space="preserve">SAVE THE PLANET COTTON TOTE BAG</t>
  </si>
  <si>
    <t xml:space="preserve">21577</t>
  </si>
  <si>
    <t xml:space="preserve">SAVE THE PLANET MUG</t>
  </si>
  <si>
    <t xml:space="preserve">SAVOY ART DECO CLOCK</t>
  </si>
  <si>
    <t xml:space="preserve">22461</t>
  </si>
  <si>
    <t xml:space="preserve">SCALLOP SHELL SOAP DISH</t>
  </si>
  <si>
    <t xml:space="preserve">21414</t>
  </si>
  <si>
    <t xml:space="preserve">SCANDINAVIAN 3 HEARTS NAPKIN RING</t>
  </si>
  <si>
    <t xml:space="preserve">85078</t>
  </si>
  <si>
    <t xml:space="preserve">SCANDINAVIAN PAISLEY PICNIC BAG</t>
  </si>
  <si>
    <t xml:space="preserve">21932</t>
  </si>
  <si>
    <t xml:space="preserve">SCANDINAVIAN REDS RIBBONS</t>
  </si>
  <si>
    <t xml:space="preserve">85049E</t>
  </si>
  <si>
    <t xml:space="preserve">SCENTED CANDLE IN DIGITALIS TIN</t>
  </si>
  <si>
    <t xml:space="preserve">84846A</t>
  </si>
  <si>
    <t xml:space="preserve">SCENTED VELVET LOUNGE CANDLE</t>
  </si>
  <si>
    <t xml:space="preserve">21287</t>
  </si>
  <si>
    <t xml:space="preserve">SCHOOL DESK AND CHAIR</t>
  </si>
  <si>
    <t xml:space="preserve">22929</t>
  </si>
  <si>
    <t xml:space="preserve">SCOTTIE DOG HOT WATER BOTTLE</t>
  </si>
  <si>
    <t xml:space="preserve">SCOTTIE DOGS BABY BIB</t>
  </si>
  <si>
    <t xml:space="preserve">SCOTTIES CHILDRENS APRON</t>
  </si>
  <si>
    <t xml:space="preserve">47591B</t>
  </si>
  <si>
    <t xml:space="preserve">SCOTTIES DESIGN CHILD'S OVERALL</t>
  </si>
  <si>
    <t xml:space="preserve">47592B</t>
  </si>
  <si>
    <t xml:space="preserve">SCOTTIES DESIGN WASHBAG</t>
  </si>
  <si>
    <t xml:space="preserve">47594B</t>
  </si>
  <si>
    <t xml:space="preserve">SCOTTS ROSES TILE COASTER</t>
  </si>
  <si>
    <t xml:space="preserve">84926B</t>
  </si>
  <si>
    <t xml:space="preserve">SCULPTED ROUND IVORY CANDLE</t>
  </si>
  <si>
    <t xml:space="preserve">72708</t>
  </si>
  <si>
    <t xml:space="preserve">SEAGRASS S/2 CORNER LAUNDRY</t>
  </si>
  <si>
    <t xml:space="preserve">78027</t>
  </si>
  <si>
    <t xml:space="preserve">SEAGRASS S/3 SQU LAUNDRY BOX</t>
  </si>
  <si>
    <t xml:space="preserve">78026</t>
  </si>
  <si>
    <t xml:space="preserve">SEASIDE FLYING DISC</t>
  </si>
  <si>
    <t xml:space="preserve">22559</t>
  </si>
  <si>
    <t xml:space="preserve">SEASIDE STRIPE HAMMOCK</t>
  </si>
  <si>
    <t xml:space="preserve">84795D</t>
  </si>
  <si>
    <t xml:space="preserve">SET 10 LIGHTS NIGHT OWL</t>
  </si>
  <si>
    <t xml:space="preserve">22179</t>
  </si>
  <si>
    <t xml:space="preserve">SET 12 KIDS COLOUR CHALK STICKS</t>
  </si>
  <si>
    <t xml:space="preserve">SET 12 KIDS WHITE CHALK STICKS</t>
  </si>
  <si>
    <t xml:space="preserve">21917</t>
  </si>
  <si>
    <t xml:space="preserve">SET 12 LAVENDER BOTANICAL T-LIGHTS</t>
  </si>
  <si>
    <t xml:space="preserve">21609</t>
  </si>
  <si>
    <t xml:space="preserve">SET 12 PEAR BOTANICAL T-LIGHTS</t>
  </si>
  <si>
    <t xml:space="preserve">21610</t>
  </si>
  <si>
    <t xml:space="preserve">SET 12 RETRO WHITE CHALK STICKS</t>
  </si>
  <si>
    <t xml:space="preserve">21916</t>
  </si>
  <si>
    <t xml:space="preserve">SET 12 WILDFLOWER BOTANICAL T-LIGHT</t>
  </si>
  <si>
    <t xml:space="preserve">21612</t>
  </si>
  <si>
    <t xml:space="preserve">SET 2 TEA TOWELS I LOVE LONDON</t>
  </si>
  <si>
    <t xml:space="preserve">22900</t>
  </si>
  <si>
    <t xml:space="preserve">SET 20 NAPKINS FAIRY CAKES DESIGN</t>
  </si>
  <si>
    <t xml:space="preserve">SET 3 JARDIN DE FEMME SCENT CANDLES</t>
  </si>
  <si>
    <t xml:space="preserve">20888</t>
  </si>
  <si>
    <t xml:space="preserve">SET 3 RED SPOT TIN TEA,COFFEE,SUGAR</t>
  </si>
  <si>
    <t xml:space="preserve">SET 3 WICKER LOG BASKETS</t>
  </si>
  <si>
    <t xml:space="preserve">21737</t>
  </si>
  <si>
    <t xml:space="preserve">SET 3 WICKER OVAL BASKETS W LIDS</t>
  </si>
  <si>
    <t xml:space="preserve">22783</t>
  </si>
  <si>
    <t xml:space="preserve">SET 3 WICKER STORAGE BASKETS</t>
  </si>
  <si>
    <t xml:space="preserve">SET 4 EASTER DECOUPAGE OVAL BOXES</t>
  </si>
  <si>
    <t xml:space="preserve">85184B</t>
  </si>
  <si>
    <t xml:space="preserve">SET 4 NURSERY DES ROUND BOXES</t>
  </si>
  <si>
    <t xml:space="preserve">85006</t>
  </si>
  <si>
    <t xml:space="preserve">SET 5 MINI CHOCOLATE FRIDGE MAGNETS</t>
  </si>
  <si>
    <t xml:space="preserve">21699</t>
  </si>
  <si>
    <t xml:space="preserve">SET 5 MINI DOUGHNUT FRIDGE MAGNET</t>
  </si>
  <si>
    <t xml:space="preserve">21697</t>
  </si>
  <si>
    <t xml:space="preserve">SET 5 MINI GATEAUX FRIDGE MAGNETS</t>
  </si>
  <si>
    <t xml:space="preserve">21702</t>
  </si>
  <si>
    <t xml:space="preserve">SET 6 FOOTBALL CELEBRATION CANDLES</t>
  </si>
  <si>
    <t xml:space="preserve">21125</t>
  </si>
  <si>
    <t xml:space="preserve">SET 7 BABUSHKA NESTING BOXES</t>
  </si>
  <si>
    <t xml:space="preserve">SET OF 12 LILY BOTANICAL T-LIGHTS</t>
  </si>
  <si>
    <t xml:space="preserve">21611</t>
  </si>
  <si>
    <t xml:space="preserve">SET OF 12 MINI BUNNIES IN A BUCKET</t>
  </si>
  <si>
    <t xml:space="preserve">85197</t>
  </si>
  <si>
    <t xml:space="preserve">SET OF 12 ROSE BOTANICAL T-LIGHTS</t>
  </si>
  <si>
    <t xml:space="preserve">21614</t>
  </si>
  <si>
    <t xml:space="preserve">SET OF 12 VINTAGE POSTCARD SET</t>
  </si>
  <si>
    <t xml:space="preserve">85015</t>
  </si>
  <si>
    <t xml:space="preserve">SET OF 2 CHESTS CHOCOLAT AU LAIT</t>
  </si>
  <si>
    <t xml:space="preserve">85157</t>
  </si>
  <si>
    <t xml:space="preserve">SET OF 2 CHRISTMAS DECOUPAGE CANDLE</t>
  </si>
  <si>
    <t xml:space="preserve">72817</t>
  </si>
  <si>
    <t xml:space="preserve">SET OF 2 FANCY FONT TEA TOWELS</t>
  </si>
  <si>
    <t xml:space="preserve">22122</t>
  </si>
  <si>
    <t xml:space="preserve">SET OF 2 ROUND TINS CAMEMBERT</t>
  </si>
  <si>
    <t xml:space="preserve">22495</t>
  </si>
  <si>
    <t xml:space="preserve">SET OF 2 ROUND TINS DUTCH CHEESE</t>
  </si>
  <si>
    <t xml:space="preserve">SET OF 2 TEA TOWELS APPLE AND PEARS</t>
  </si>
  <si>
    <t xml:space="preserve">SET OF 2 TEA TOWELS PING MICROWAVE</t>
  </si>
  <si>
    <t xml:space="preserve">SET OF 2 TINS JARDIN DE PROVENCE</t>
  </si>
  <si>
    <t xml:space="preserve">22500</t>
  </si>
  <si>
    <t xml:space="preserve">SET OF 2 TINS VINTAGE BATHROOM</t>
  </si>
  <si>
    <t xml:space="preserve">22497</t>
  </si>
  <si>
    <t xml:space="preserve">SET OF 2 WOODEN MARKET CRATES</t>
  </si>
  <si>
    <t xml:space="preserve">22485</t>
  </si>
  <si>
    <t xml:space="preserve">SET OF 20 KIDS COOKIE CUTTERS</t>
  </si>
  <si>
    <t xml:space="preserve">SET OF 20 VINTAGE CHRISTMAS NAPKINS</t>
  </si>
  <si>
    <t xml:space="preserve">SET OF 3 BIRD L.BLUE FEATHER</t>
  </si>
  <si>
    <t xml:space="preserve">35471A</t>
  </si>
  <si>
    <t xml:space="preserve">SET OF 3 BIRD LIGHT PINK FEATHER</t>
  </si>
  <si>
    <t xml:space="preserve">SET OF 3 BLACK FLYING DUCKS</t>
  </si>
  <si>
    <t xml:space="preserve">35004B</t>
  </si>
  <si>
    <t xml:space="preserve">SET OF 3 BLUE STRIPE BASKET</t>
  </si>
  <si>
    <t xml:space="preserve">21795</t>
  </si>
  <si>
    <t xml:space="preserve">SET OF 3 BUTTERFLY COOKIE CUTTERS</t>
  </si>
  <si>
    <t xml:space="preserve">84380</t>
  </si>
  <si>
    <t xml:space="preserve">SET OF 3 CASES WOODLAND DESIGN</t>
  </si>
  <si>
    <t xml:space="preserve">21432</t>
  </si>
  <si>
    <t xml:space="preserve">SET OF 3 CHRISTMAS BRIAR CANDLES</t>
  </si>
  <si>
    <t xml:space="preserve">72814</t>
  </si>
  <si>
    <t xml:space="preserve">SET OF 3 COLOURED FLYING DUCKS</t>
  </si>
  <si>
    <t xml:space="preserve">35004C</t>
  </si>
  <si>
    <t xml:space="preserve">SET OF 3 CONEY ISLAND OVAL BOXES</t>
  </si>
  <si>
    <t xml:space="preserve">85008</t>
  </si>
  <si>
    <t xml:space="preserve">SET OF 3 DANISH ROSE PLANTERS</t>
  </si>
  <si>
    <t xml:space="preserve">84815</t>
  </si>
  <si>
    <t xml:space="preserve">SET OF 3 GOLD FLYING DUCKS</t>
  </si>
  <si>
    <t xml:space="preserve">35004G</t>
  </si>
  <si>
    <t xml:space="preserve">SET OF 3 HEART COOKIE CUTTERS</t>
  </si>
  <si>
    <t xml:space="preserve">SET OF 3 NOTEBOOKS IN PARCEL</t>
  </si>
  <si>
    <t xml:space="preserve">22759</t>
  </si>
  <si>
    <t xml:space="preserve">SET OF 3 PINK FLYING DUCKS</t>
  </si>
  <si>
    <t xml:space="preserve">35004P</t>
  </si>
  <si>
    <t xml:space="preserve">SET OF 3 RABBIT CARROTS EASTER</t>
  </si>
  <si>
    <t xml:space="preserve">84455</t>
  </si>
  <si>
    <t xml:space="preserve">SET OF 3 RABBIT EGG EASTER</t>
  </si>
  <si>
    <t xml:space="preserve">84456</t>
  </si>
  <si>
    <t xml:space="preserve">SET OF 3 RED STRIPE BASKETS</t>
  </si>
  <si>
    <t xml:space="preserve">21796</t>
  </si>
  <si>
    <t xml:space="preserve">SET OF 3 SILVER FLYING DUCKS</t>
  </si>
  <si>
    <t xml:space="preserve">35004S</t>
  </si>
  <si>
    <t xml:space="preserve">SET OF 3 VINTAGE TEA TIME BOXES</t>
  </si>
  <si>
    <t xml:space="preserve">85007</t>
  </si>
  <si>
    <t xml:space="preserve">SET OF 3 WICKER BASKET ROSE</t>
  </si>
  <si>
    <t xml:space="preserve">47583A</t>
  </si>
  <si>
    <t xml:space="preserve">SET OF 3 WICKER BASKET TEA AND CAKE</t>
  </si>
  <si>
    <t xml:space="preserve">47583B</t>
  </si>
  <si>
    <t xml:space="preserve">SET OF 36 DINOSAUR PAPER DOILIES</t>
  </si>
  <si>
    <t xml:space="preserve">21972</t>
  </si>
  <si>
    <t xml:space="preserve">SET OF 36 MUSHROOM PAPER DOILIES</t>
  </si>
  <si>
    <t xml:space="preserve">21973</t>
  </si>
  <si>
    <t xml:space="preserve">SET OF 36 PAISLEY FLOWER DOILIES</t>
  </si>
  <si>
    <t xml:space="preserve">SET OF 36 SILVER PAPER DOILIES</t>
  </si>
  <si>
    <t xml:space="preserve">84986B</t>
  </si>
  <si>
    <t xml:space="preserve">SET OF 36 TEATIME PAPER DOILIES</t>
  </si>
  <si>
    <t xml:space="preserve">84987</t>
  </si>
  <si>
    <t xml:space="preserve">SET OF 4 CAROUSEL PLACEMATS</t>
  </si>
  <si>
    <t xml:space="preserve">84509E</t>
  </si>
  <si>
    <t xml:space="preserve">SET OF 4 DIAMOND NAPKIN RINGS</t>
  </si>
  <si>
    <t xml:space="preserve">84813</t>
  </si>
  <si>
    <t xml:space="preserve">SET OF 4 DOTTY PLACEMATS</t>
  </si>
  <si>
    <t xml:space="preserve">84509C</t>
  </si>
  <si>
    <t xml:space="preserve">SET OF 4 ENGLISH ROSE COASTERS</t>
  </si>
  <si>
    <t xml:space="preserve">SET OF 4 ENGLISH ROSE PLACEMATS</t>
  </si>
  <si>
    <t xml:space="preserve">84509A</t>
  </si>
  <si>
    <t xml:space="preserve">SET OF 4 FAIRY CAKE PLACEMATS</t>
  </si>
  <si>
    <t xml:space="preserve">SET OF 4 FAIRY CAKES COASTERS</t>
  </si>
  <si>
    <t xml:space="preserve">84510B</t>
  </si>
  <si>
    <t xml:space="preserve">SET OF 4 GREEN CAROUSEL COASTERS</t>
  </si>
  <si>
    <t xml:space="preserve">84510E</t>
  </si>
  <si>
    <t xml:space="preserve">SET OF 4 NAPKIN CHARMS 3 KEYS</t>
  </si>
  <si>
    <t xml:space="preserve">22640</t>
  </si>
  <si>
    <t xml:space="preserve">SET OF 4 NAPKIN CHARMS CROWNS</t>
  </si>
  <si>
    <t xml:space="preserve">22638</t>
  </si>
  <si>
    <t xml:space="preserve">SET OF 4 NAPKIN CHARMS CUTLERY</t>
  </si>
  <si>
    <t xml:space="preserve">22604</t>
  </si>
  <si>
    <t xml:space="preserve">SET OF 4 NAPKIN CHARMS HEARTS</t>
  </si>
  <si>
    <t xml:space="preserve">22639</t>
  </si>
  <si>
    <t xml:space="preserve">SET OF 4 NAPKIN CHARMS INSTRUMENT</t>
  </si>
  <si>
    <t xml:space="preserve">22641</t>
  </si>
  <si>
    <t xml:space="preserve">SET OF 4 NAPKIN CHARMS LEAVES</t>
  </si>
  <si>
    <t xml:space="preserve">22643</t>
  </si>
  <si>
    <t xml:space="preserve">SET OF 4 NAPKIN CHARMS STARS</t>
  </si>
  <si>
    <t xml:space="preserve">22642</t>
  </si>
  <si>
    <t xml:space="preserve">SET OF 4 NEW ENGLAND COASTERS</t>
  </si>
  <si>
    <t xml:space="preserve">84510F</t>
  </si>
  <si>
    <t xml:space="preserve">SET OF 4 NEW ENGLAND PLACEMATS</t>
  </si>
  <si>
    <t xml:space="preserve">84509F</t>
  </si>
  <si>
    <t xml:space="preserve">SET OF 4 PASTEL STACKING MUGS</t>
  </si>
  <si>
    <t xml:space="preserve">37348</t>
  </si>
  <si>
    <t xml:space="preserve">SET OF 4 POLKADOTS COASTERS</t>
  </si>
  <si>
    <t xml:space="preserve">84510C</t>
  </si>
  <si>
    <t xml:space="preserve">SET OF 6 3D KIT CARDS FOR KIDS</t>
  </si>
  <si>
    <t xml:space="preserve">SET OF 6 CAKE CHOPSTICKS</t>
  </si>
  <si>
    <t xml:space="preserve">21948</t>
  </si>
  <si>
    <t xml:space="preserve">SET OF 6 DOTS CHOPSTICKS</t>
  </si>
  <si>
    <t xml:space="preserve">21950</t>
  </si>
  <si>
    <t xml:space="preserve">SET OF 6 FUNKY BEAKERS</t>
  </si>
  <si>
    <t xml:space="preserve">21557</t>
  </si>
  <si>
    <t xml:space="preserve">SET OF 6 GIRLS CELEBRATION CANDLES</t>
  </si>
  <si>
    <t xml:space="preserve">SET OF 6 HEART CHOPSTICKS</t>
  </si>
  <si>
    <t xml:space="preserve">21947</t>
  </si>
  <si>
    <t xml:space="preserve">SET OF 6 ICE CREAM SKITTLES</t>
  </si>
  <si>
    <t xml:space="preserve">84715</t>
  </si>
  <si>
    <t xml:space="preserve">SET OF 6 KASHMIR FOLKART BAUBLES</t>
  </si>
  <si>
    <t xml:space="preserve">84944</t>
  </si>
  <si>
    <t xml:space="preserve">SET OF 6 RIBBONS VINTAGE CHRISTMAS</t>
  </si>
  <si>
    <t xml:space="preserve">SET OF 6 SOLDIER SKITTLES</t>
  </si>
  <si>
    <t xml:space="preserve">SET OF 6 SPICE TINS PANTRY DESIGN</t>
  </si>
  <si>
    <t xml:space="preserve">SET OF 6 STRAWBERRY CHOPSTICKS</t>
  </si>
  <si>
    <t xml:space="preserve">21949</t>
  </si>
  <si>
    <t xml:space="preserve">SET OF 6 T-LIGHTS CACTI</t>
  </si>
  <si>
    <t xml:space="preserve">22811</t>
  </si>
  <si>
    <t xml:space="preserve">SET OF 6 T-LIGHTS EASTER CHICKS</t>
  </si>
  <si>
    <t xml:space="preserve">22808</t>
  </si>
  <si>
    <t xml:space="preserve">SET OF 6 T-LIGHTS SANTA</t>
  </si>
  <si>
    <t xml:space="preserve">22809</t>
  </si>
  <si>
    <t xml:space="preserve">SET OF 6 T-LIGHTS SNOWMEN</t>
  </si>
  <si>
    <t xml:space="preserve">22810</t>
  </si>
  <si>
    <t xml:space="preserve">SET OF 6 T-LIGHTS TOADSTOOLS</t>
  </si>
  <si>
    <t xml:space="preserve">SET OF 6 T-LIGHTS WEDDING CAKE</t>
  </si>
  <si>
    <t xml:space="preserve">22806</t>
  </si>
  <si>
    <t xml:space="preserve">SET OF 6 VINTAGE NOTELETS KIT</t>
  </si>
  <si>
    <t xml:space="preserve">85016</t>
  </si>
  <si>
    <t xml:space="preserve">SET OF 72 BLACK PAPER DOILIES</t>
  </si>
  <si>
    <t xml:space="preserve">84985B</t>
  </si>
  <si>
    <t xml:space="preserve">SET OF 72 GREEN PAPER DOILIES</t>
  </si>
  <si>
    <t xml:space="preserve">84985A</t>
  </si>
  <si>
    <t xml:space="preserve">SET OF 72 IVORY PAPER DOILIES</t>
  </si>
  <si>
    <t xml:space="preserve">21214</t>
  </si>
  <si>
    <t xml:space="preserve">SET OF 72 PINK HEART PAPER DOILIES</t>
  </si>
  <si>
    <t xml:space="preserve">84988</t>
  </si>
  <si>
    <t xml:space="preserve">SET OF 72 RETRO SPOT PAPER DOILIES</t>
  </si>
  <si>
    <t xml:space="preserve">SET OF 72 SKULL PAPER DOILIES</t>
  </si>
  <si>
    <t xml:space="preserve">21211</t>
  </si>
  <si>
    <t xml:space="preserve">SET OF 9 BLACK SKULL BALLOONS</t>
  </si>
  <si>
    <t xml:space="preserve">SET OF 9 HEART SHAPED BALLOONS</t>
  </si>
  <si>
    <t xml:space="preserve">SET OF MEADOW FLOWER STICKERS</t>
  </si>
  <si>
    <t xml:space="preserve">21252</t>
  </si>
  <si>
    <t xml:space="preserve">SET OF PICTURE FRAME STICKERS</t>
  </si>
  <si>
    <t xml:space="preserve">21253</t>
  </si>
  <si>
    <t xml:space="preserve">SET OF RED SALAD SERVERS</t>
  </si>
  <si>
    <t xml:space="preserve">21247</t>
  </si>
  <si>
    <t xml:space="preserve">SET OF SALT AND PEPPER TOADSTOOLS</t>
  </si>
  <si>
    <t xml:space="preserve">22892</t>
  </si>
  <si>
    <t xml:space="preserve">SET OF SIX SILVER+RED FLOCK BAUBLES</t>
  </si>
  <si>
    <t xml:space="preserve">35837</t>
  </si>
  <si>
    <t xml:space="preserve">SET OF SKULL WALL STICKERS</t>
  </si>
  <si>
    <t xml:space="preserve">21250</t>
  </si>
  <si>
    <t xml:space="preserve">SET OF THREE 50'S GIFT WRAPS</t>
  </si>
  <si>
    <t xml:space="preserve">21490</t>
  </si>
  <si>
    <t xml:space="preserve">SET OF THREE VINTAGE GIFT WRAPS</t>
  </si>
  <si>
    <t xml:space="preserve">21491</t>
  </si>
  <si>
    <t xml:space="preserve">SET/10 BLUE SPOTTY PARTY CANDLES</t>
  </si>
  <si>
    <t xml:space="preserve">SET/10 IVORY SPOTTY PARTY CANDLES</t>
  </si>
  <si>
    <t xml:space="preserve">21123</t>
  </si>
  <si>
    <t xml:space="preserve">SET/10 PINK SPOTTY PARTY CANDLES</t>
  </si>
  <si>
    <t xml:space="preserve">SET/10 RED SPOTTY PARTY CANDLES</t>
  </si>
  <si>
    <t xml:space="preserve">SET/12 FUNKY FELT FLOWER PEG IN BAG</t>
  </si>
  <si>
    <t xml:space="preserve">85208</t>
  </si>
  <si>
    <t xml:space="preserve">SET/12 TAPER CANDLES</t>
  </si>
  <si>
    <t xml:space="preserve">72598</t>
  </si>
  <si>
    <t xml:space="preserve">SET/16 WHITE SHINY &amp; MATT BAUBLES</t>
  </si>
  <si>
    <t xml:space="preserve">35603C</t>
  </si>
  <si>
    <t xml:space="preserve">SET/2 BLUE NOODLE BASKETS</t>
  </si>
  <si>
    <t xml:space="preserve">84288B</t>
  </si>
  <si>
    <t xml:space="preserve">SET/2 RED SPOTTY TEA TOWELS</t>
  </si>
  <si>
    <t xml:space="preserve">SET/2 SPOTTY + ROSE TEA TOWELS</t>
  </si>
  <si>
    <t xml:space="preserve">47556</t>
  </si>
  <si>
    <t xml:space="preserve">SET/2 TEA TOWELS MODERN VINTAGE</t>
  </si>
  <si>
    <t xml:space="preserve">21036</t>
  </si>
  <si>
    <t xml:space="preserve">SET/20 COLLAGE PAPER NAPKIN</t>
  </si>
  <si>
    <t xml:space="preserve">21076</t>
  </si>
  <si>
    <t xml:space="preserve">SET/20 FRUIT SALAD PAPER NAPKINS</t>
  </si>
  <si>
    <t xml:space="preserve">21082</t>
  </si>
  <si>
    <t xml:space="preserve">SET/20 POSIES PAPER NAPKINS</t>
  </si>
  <si>
    <t xml:space="preserve">21081</t>
  </si>
  <si>
    <t xml:space="preserve">SET/20 RED SPOTTY PAPER NAPKINS</t>
  </si>
  <si>
    <t xml:space="preserve">SET/20 STRAWBERRY PAPER NAPKINS</t>
  </si>
  <si>
    <t xml:space="preserve">21078</t>
  </si>
  <si>
    <t xml:space="preserve">SET/20 WOODLAND PAPER NAPKINS</t>
  </si>
  <si>
    <t xml:space="preserve">21077</t>
  </si>
  <si>
    <t xml:space="preserve">SET/3 CHRISTMAS DECOUPAGE CANDLES</t>
  </si>
  <si>
    <t xml:space="preserve">72816</t>
  </si>
  <si>
    <t xml:space="preserve">SET/3 COLOUR PAINTED KASHMIRI STOOL</t>
  </si>
  <si>
    <t xml:space="preserve">84962</t>
  </si>
  <si>
    <t xml:space="preserve">SET/3 DECOUPAGE STACKING TINS</t>
  </si>
  <si>
    <t xml:space="preserve">SET/3 FLORAL GARDEN TOOLS IN BAG</t>
  </si>
  <si>
    <t xml:space="preserve">47503J</t>
  </si>
  <si>
    <t xml:space="preserve">SET/3 OCEAN SCENT CANDLE JEWEL BOX</t>
  </si>
  <si>
    <t xml:space="preserve">72807B</t>
  </si>
  <si>
    <t xml:space="preserve">SET/3 POLKA DOT STACKING TINS</t>
  </si>
  <si>
    <t xml:space="preserve">85232A</t>
  </si>
  <si>
    <t xml:space="preserve">SET/3 POT PLANT CANDLES</t>
  </si>
  <si>
    <t xml:space="preserve">20934</t>
  </si>
  <si>
    <t xml:space="preserve">SET/3 RABBITS FLOWER SKIPPPING ROPE</t>
  </si>
  <si>
    <t xml:space="preserve">84457</t>
  </si>
  <si>
    <t xml:space="preserve">SET/3 RED GINGHAM ROSE STORAGE BOX</t>
  </si>
  <si>
    <t xml:space="preserve">SET/3 ROSE CANDLE IN JEWELLED BOX</t>
  </si>
  <si>
    <t xml:space="preserve">72807A</t>
  </si>
  <si>
    <t xml:space="preserve">SET/3 RUSSIAN DOLL STACKING TINS</t>
  </si>
  <si>
    <t xml:space="preserve">85232B</t>
  </si>
  <si>
    <t xml:space="preserve">SET/3 TALL GLASS CANDLE HOLDER PINK</t>
  </si>
  <si>
    <t xml:space="preserve">20892</t>
  </si>
  <si>
    <t xml:space="preserve">SET/3 VANILLA SCENTED CANDLE IN BOX</t>
  </si>
  <si>
    <t xml:space="preserve">72807C</t>
  </si>
  <si>
    <t xml:space="preserve">SET/4 2 TONE EGG SHAPE MIXING BOWLS</t>
  </si>
  <si>
    <t xml:space="preserve">37474</t>
  </si>
  <si>
    <t xml:space="preserve">SET/4 BADGES BALLOON GIRL</t>
  </si>
  <si>
    <t xml:space="preserve">21219</t>
  </si>
  <si>
    <t xml:space="preserve">SET/4 BADGES BEETLES</t>
  </si>
  <si>
    <t xml:space="preserve">21222</t>
  </si>
  <si>
    <t xml:space="preserve">SET/4 BADGES CUTE CREATURES</t>
  </si>
  <si>
    <t xml:space="preserve">21221</t>
  </si>
  <si>
    <t xml:space="preserve">SET/4 BADGES DOGS</t>
  </si>
  <si>
    <t xml:space="preserve">21220</t>
  </si>
  <si>
    <t xml:space="preserve">SET/4 BADGES WOODLAND ANIMAL</t>
  </si>
  <si>
    <t xml:space="preserve">21223</t>
  </si>
  <si>
    <t xml:space="preserve">SET/4 BIRD MIRROR MAGNETS</t>
  </si>
  <si>
    <t xml:space="preserve">21311</t>
  </si>
  <si>
    <t xml:space="preserve">SET/4 BLACK BAROQUE FLOCK COASTER</t>
  </si>
  <si>
    <t xml:space="preserve">84612B</t>
  </si>
  <si>
    <t xml:space="preserve">SET/4 BLUE FLOWER CANDLES IN BOWL</t>
  </si>
  <si>
    <t xml:space="preserve">85040B</t>
  </si>
  <si>
    <t xml:space="preserve">SET/4 BUTTERFLY MIRROR MAGNETS</t>
  </si>
  <si>
    <t xml:space="preserve">21307</t>
  </si>
  <si>
    <t xml:space="preserve">SET/4 COLOURFUL MIXING BOWLS</t>
  </si>
  <si>
    <t xml:space="preserve">37475</t>
  </si>
  <si>
    <t xml:space="preserve">SET/4 DAISY MIRROR MAGNETS</t>
  </si>
  <si>
    <t xml:space="preserve">21306</t>
  </si>
  <si>
    <t xml:space="preserve">SET/4 GARDEN ROSE DINNER CANDLE</t>
  </si>
  <si>
    <t xml:space="preserve">72798C</t>
  </si>
  <si>
    <t xml:space="preserve">SET/4 MODERN VINTAGE COTTON NAPKINS</t>
  </si>
  <si>
    <t xml:space="preserve">21038</t>
  </si>
  <si>
    <t xml:space="preserve">SET/4 PINK ORCHID CANDLES IN BOWL</t>
  </si>
  <si>
    <t xml:space="preserve">85041</t>
  </si>
  <si>
    <t xml:space="preserve">SET/4 RED MINI ROSE CANDLE IN BOWL</t>
  </si>
  <si>
    <t xml:space="preserve">85039A</t>
  </si>
  <si>
    <t xml:space="preserve">SET/4 SCENTED CANDLES IN RAMEKINS</t>
  </si>
  <si>
    <t xml:space="preserve">72772</t>
  </si>
  <si>
    <t xml:space="preserve">SET/4 SKULL BADGES</t>
  </si>
  <si>
    <t xml:space="preserve">21224</t>
  </si>
  <si>
    <t xml:space="preserve">SET/4 SPRING FLOWER DECORATION</t>
  </si>
  <si>
    <t xml:space="preserve">21382</t>
  </si>
  <si>
    <t xml:space="preserve">SET/4 WHITE RETRO STORAGE CUBES</t>
  </si>
  <si>
    <t xml:space="preserve">84078A</t>
  </si>
  <si>
    <t xml:space="preserve">SET/5 BLUE SPOTTY LID GLASS BOWLS</t>
  </si>
  <si>
    <t xml:space="preserve">20913</t>
  </si>
  <si>
    <t xml:space="preserve">SET/5 RED SPOTTY LID GLASS BOWLS</t>
  </si>
  <si>
    <t xml:space="preserve">SET/6 ANGEL T-LIGHTS WHITE/GOLD</t>
  </si>
  <si>
    <t xml:space="preserve">20950</t>
  </si>
  <si>
    <t xml:space="preserve">SET/6 BEAD COASTERS GAUZE BAG GOLD</t>
  </si>
  <si>
    <t xml:space="preserve">47021G</t>
  </si>
  <si>
    <t xml:space="preserve">SET/6 BLACK BIRD T-LIGHT CANDLES</t>
  </si>
  <si>
    <t xml:space="preserve">85170B</t>
  </si>
  <si>
    <t xml:space="preserve">SET/6 BLACK GLITTER REINDEER CANDLE</t>
  </si>
  <si>
    <t xml:space="preserve">35995</t>
  </si>
  <si>
    <t xml:space="preserve">SET/6 BLACK ROSE T-LIGHT CANDLES</t>
  </si>
  <si>
    <t xml:space="preserve">72779</t>
  </si>
  <si>
    <t xml:space="preserve">SET/6 BLACK SNOWFLAKE T-LIGHTS</t>
  </si>
  <si>
    <t xml:space="preserve">35991</t>
  </si>
  <si>
    <t xml:space="preserve">SET/6 CHRISTMAS ICICLE T-LIGHTS</t>
  </si>
  <si>
    <t xml:space="preserve">72724</t>
  </si>
  <si>
    <t xml:space="preserve">SET/6 COLLAGE PAPER CUPS</t>
  </si>
  <si>
    <t xml:space="preserve">21084</t>
  </si>
  <si>
    <t xml:space="preserve">SET/6 COLLAGE PAPER PLATES</t>
  </si>
  <si>
    <t xml:space="preserve">21090</t>
  </si>
  <si>
    <t xml:space="preserve">SET/6 EAU DE NIL BIRD T-LIGHTS</t>
  </si>
  <si>
    <t xml:space="preserve">85170C</t>
  </si>
  <si>
    <t xml:space="preserve">SET/6 FROG PRINCE T-LIGHT CANDLES</t>
  </si>
  <si>
    <t xml:space="preserve">85173</t>
  </si>
  <si>
    <t xml:space="preserve">SET/6 FRUIT SALAD PAPER CUPS</t>
  </si>
  <si>
    <t xml:space="preserve">21088</t>
  </si>
  <si>
    <t xml:space="preserve">SET/6 FRUIT SALAD PAPER PLATES</t>
  </si>
  <si>
    <t xml:space="preserve">21096</t>
  </si>
  <si>
    <t xml:space="preserve">SET/6 GARDEN GNOME T-LIGHT CANDLES</t>
  </si>
  <si>
    <t xml:space="preserve">20940</t>
  </si>
  <si>
    <t xml:space="preserve">SET/6 GINGERBREAD STAR T-LIGHTS</t>
  </si>
  <si>
    <t xml:space="preserve">20943</t>
  </si>
  <si>
    <t xml:space="preserve">SET/6 GINGERBREAD TREE T-LIGHTS</t>
  </si>
  <si>
    <t xml:space="preserve">20942</t>
  </si>
  <si>
    <t xml:space="preserve">SET/6 GOLD REINDEER T-LIGHT CANDLES</t>
  </si>
  <si>
    <t xml:space="preserve">85033G</t>
  </si>
  <si>
    <t xml:space="preserve">SET/6 GREEN SPRING PAPER CUPS</t>
  </si>
  <si>
    <t xml:space="preserve">21089</t>
  </si>
  <si>
    <t xml:space="preserve">SET/6 GREEN SPRING PAPER PLATE</t>
  </si>
  <si>
    <t xml:space="preserve">21097</t>
  </si>
  <si>
    <t xml:space="preserve">SET/6 IVORY BIRD T-LIGHT CANDLES</t>
  </si>
  <si>
    <t xml:space="preserve">85170A</t>
  </si>
  <si>
    <t xml:space="preserve">SET/6 PINK BIRD T-LIGHT CANDLES</t>
  </si>
  <si>
    <t xml:space="preserve">85170D</t>
  </si>
  <si>
    <t xml:space="preserve">SET/6 PINK BUTTERFLY T-LIGHTS</t>
  </si>
  <si>
    <t xml:space="preserve">72351B</t>
  </si>
  <si>
    <t xml:space="preserve">SET/6 POSIES PAPER CUPS</t>
  </si>
  <si>
    <t xml:space="preserve">21087</t>
  </si>
  <si>
    <t xml:space="preserve">SET/6 POSIES PAPER PLATES</t>
  </si>
  <si>
    <t xml:space="preserve">21095</t>
  </si>
  <si>
    <t xml:space="preserve">SET/6 PURPLE BUTTERFLY T-LIGHTS</t>
  </si>
  <si>
    <t xml:space="preserve">SET/6 RED SPOTTY PAPER CUPS</t>
  </si>
  <si>
    <t xml:space="preserve">SET/6 RED SPOTTY PAPER PLATES</t>
  </si>
  <si>
    <t xml:space="preserve">SET/6 SILVER REINDEER T-LIGHTS</t>
  </si>
  <si>
    <t xml:space="preserve">85033S</t>
  </si>
  <si>
    <t xml:space="preserve">SET/6 STRAWBERRY PAPER CUPS</t>
  </si>
  <si>
    <t xml:space="preserve">21099</t>
  </si>
  <si>
    <t xml:space="preserve">SET/6 STRAWBERRY PAPER PLATES</t>
  </si>
  <si>
    <t xml:space="preserve">21092</t>
  </si>
  <si>
    <t xml:space="preserve">SET/6 TURQUOISE BUTTERFLY T-LIGHTS</t>
  </si>
  <si>
    <t xml:space="preserve">72351A</t>
  </si>
  <si>
    <t xml:space="preserve">SET/6 WOODLAND PAPER CUPS</t>
  </si>
  <si>
    <t xml:space="preserve">21085</t>
  </si>
  <si>
    <t xml:space="preserve">SET/6 WOODLAND PAPER PLATES</t>
  </si>
  <si>
    <t xml:space="preserve">21091</t>
  </si>
  <si>
    <t xml:space="preserve">SET/9 CHRISTMAS T-LIGHTS SCENTED</t>
  </si>
  <si>
    <t xml:space="preserve">20878</t>
  </si>
  <si>
    <t xml:space="preserve">SET3 BOOK BOX GREEN GINGHAM FLOWER</t>
  </si>
  <si>
    <t xml:space="preserve">21428</t>
  </si>
  <si>
    <t xml:space="preserve">SEWING BOX RETROSPOT DESIGN</t>
  </si>
  <si>
    <t xml:space="preserve">SEWING SUSAN 21 NEEDLE SET</t>
  </si>
  <si>
    <t xml:space="preserve">85176</t>
  </si>
  <si>
    <t xml:space="preserve">SHAKER THROW QUILTED</t>
  </si>
  <si>
    <t xml:space="preserve">20833</t>
  </si>
  <si>
    <t xml:space="preserve">SHOE SHINE BOX</t>
  </si>
  <si>
    <t xml:space="preserve">21784</t>
  </si>
  <si>
    <t xml:space="preserve">SHOPPING BAG DOORSTOP</t>
  </si>
  <si>
    <t xml:space="preserve">21118</t>
  </si>
  <si>
    <t xml:space="preserve">SILICON CUBE 25W, BLUE</t>
  </si>
  <si>
    <t xml:space="preserve">79151B</t>
  </si>
  <si>
    <t xml:space="preserve">SILICON STAR BULB BLUE</t>
  </si>
  <si>
    <t xml:space="preserve">79149B</t>
  </si>
  <si>
    <t xml:space="preserve">SILK PURSE BABUSHKA RED</t>
  </si>
  <si>
    <t xml:space="preserve">22451</t>
  </si>
  <si>
    <t xml:space="preserve">SILK PURSE RUSSIAN DOLL BLUE</t>
  </si>
  <si>
    <t xml:space="preserve">22450</t>
  </si>
  <si>
    <t xml:space="preserve">SILK PURSE RUSSIAN DOLL PINK</t>
  </si>
  <si>
    <t xml:space="preserve">22449</t>
  </si>
  <si>
    <t xml:space="preserve">SILVER 2 STRAND NECKLACE-LEAF CHARM</t>
  </si>
  <si>
    <t xml:space="preserve">90189A</t>
  </si>
  <si>
    <t xml:space="preserve">SILVER APERITIF GLASS</t>
  </si>
  <si>
    <t xml:space="preserve">20826</t>
  </si>
  <si>
    <t xml:space="preserve">SILVER BLACK ORBIT BRACELET</t>
  </si>
  <si>
    <t xml:space="preserve">90019C</t>
  </si>
  <si>
    <t xml:space="preserve">SILVER BLACK ORBIT DROP EARRINGS</t>
  </si>
  <si>
    <t xml:space="preserve">90018C</t>
  </si>
  <si>
    <t xml:space="preserve">SILVER BLUE EGG T-LIGHT HOLDER</t>
  </si>
  <si>
    <t xml:space="preserve">71028B</t>
  </si>
  <si>
    <t xml:space="preserve">SILVER BOOK MARK WITH BEADS</t>
  </si>
  <si>
    <t xml:space="preserve">71143</t>
  </si>
  <si>
    <t xml:space="preserve">SILVER BRACELET W PASTEL FLOWER</t>
  </si>
  <si>
    <t xml:space="preserve">90143</t>
  </si>
  <si>
    <t xml:space="preserve">SILVER CANDLEPOT JARDIN</t>
  </si>
  <si>
    <t xml:space="preserve">21690</t>
  </si>
  <si>
    <t xml:space="preserve">SILVER CHARM NECKLACE 70CM</t>
  </si>
  <si>
    <t xml:space="preserve">90203</t>
  </si>
  <si>
    <t xml:space="preserve">SILVER CHERRY LIGHTS</t>
  </si>
  <si>
    <t xml:space="preserve">79323S</t>
  </si>
  <si>
    <t xml:space="preserve">SILVER CHRISTMAS TREE BAUBLE STAND</t>
  </si>
  <si>
    <t xml:space="preserve">84352</t>
  </si>
  <si>
    <t xml:space="preserve">SILVER DIAMANTE PEN IN GIFT BOX</t>
  </si>
  <si>
    <t xml:space="preserve">21849</t>
  </si>
  <si>
    <t xml:space="preserve">SILVER DISCO HANDBAG</t>
  </si>
  <si>
    <t xml:space="preserve">84859A</t>
  </si>
  <si>
    <t xml:space="preserve">SILVER DROP EARRINGS WITH FLOWER</t>
  </si>
  <si>
    <t xml:space="preserve">90144</t>
  </si>
  <si>
    <t xml:space="preserve">SILVER FABRIC MIRROR</t>
  </si>
  <si>
    <t xml:space="preserve">20868</t>
  </si>
  <si>
    <t xml:space="preserve">SILVER FINCH DECORATION</t>
  </si>
  <si>
    <t xml:space="preserve">20814</t>
  </si>
  <si>
    <t xml:space="preserve">SILVER FISHING GNOME</t>
  </si>
  <si>
    <t xml:space="preserve">21129</t>
  </si>
  <si>
    <t xml:space="preserve">SILVER FLOWR PINK SHELL NECKLACE</t>
  </si>
  <si>
    <t xml:space="preserve">90149</t>
  </si>
  <si>
    <t xml:space="preserve">SILVER GLASS T-LIGHT SET</t>
  </si>
  <si>
    <t xml:space="preserve">85104</t>
  </si>
  <si>
    <t xml:space="preserve">SILVER GLITTER FLOWER VOTIVE HOLDER</t>
  </si>
  <si>
    <t xml:space="preserve">85111</t>
  </si>
  <si>
    <t xml:space="preserve">SILVER HANGING T-LIGHT HOLDER</t>
  </si>
  <si>
    <t xml:space="preserve">84949</t>
  </si>
  <si>
    <t xml:space="preserve">SILVER HANGING T-LIGHT HOLDER DOME</t>
  </si>
  <si>
    <t xml:space="preserve">84948</t>
  </si>
  <si>
    <t xml:space="preserve">SILVER HEART COMPACT MIRROR</t>
  </si>
  <si>
    <t xml:space="preserve">84876C</t>
  </si>
  <si>
    <t xml:space="preserve">SILVER HOOP EARRINGS WITH FLOWER</t>
  </si>
  <si>
    <t xml:space="preserve">90145</t>
  </si>
  <si>
    <t xml:space="preserve">SILVER JEWELLED MIRROR TRINKET TRAY</t>
  </si>
  <si>
    <t xml:space="preserve">84707A</t>
  </si>
  <si>
    <t xml:space="preserve">SILVER LARIAT 40CM</t>
  </si>
  <si>
    <t xml:space="preserve">90191</t>
  </si>
  <si>
    <t xml:space="preserve">SILVER LARIAT BLACK STONE EARRINGS</t>
  </si>
  <si>
    <t xml:space="preserve">90194</t>
  </si>
  <si>
    <t xml:space="preserve">SILVER LATTICE VANILLA CANDLE POT</t>
  </si>
  <si>
    <t xml:space="preserve">21692</t>
  </si>
  <si>
    <t xml:space="preserve">SILVER LOOKING MIRROR</t>
  </si>
  <si>
    <t xml:space="preserve">20820</t>
  </si>
  <si>
    <t xml:space="preserve">SILVER M.O.P ORBIT BRACELET</t>
  </si>
  <si>
    <t xml:space="preserve">90019A</t>
  </si>
  <si>
    <t xml:space="preserve">SILVER M.O.P ORBIT DROP EARRINGS</t>
  </si>
  <si>
    <t xml:space="preserve">90018A</t>
  </si>
  <si>
    <t xml:space="preserve">SILVER MINI TAPE MEASURE</t>
  </si>
  <si>
    <t xml:space="preserve">20734</t>
  </si>
  <si>
    <t xml:space="preserve">SILVER MONTE CARLO HANDBAG</t>
  </si>
  <si>
    <t xml:space="preserve">84857A</t>
  </si>
  <si>
    <t xml:space="preserve">SILVER MUG BONE CHINA TREE OF LIFE</t>
  </si>
  <si>
    <t xml:space="preserve">SILVER OVAL JEWELLED MIRROR</t>
  </si>
  <si>
    <t xml:space="preserve">84709A</t>
  </si>
  <si>
    <t xml:space="preserve">SILVER OVAL SHAPE TRINKET BOX</t>
  </si>
  <si>
    <t xml:space="preserve">84711A</t>
  </si>
  <si>
    <t xml:space="preserve">SILVER PHOTO FRAME</t>
  </si>
  <si>
    <t xml:space="preserve">20830</t>
  </si>
  <si>
    <t xml:space="preserve">SILVER PLATE CANDLE BOWL LARGE</t>
  </si>
  <si>
    <t xml:space="preserve">21687</t>
  </si>
  <si>
    <t xml:space="preserve">SILVER PLATE CANDLE BOWL SMALL</t>
  </si>
  <si>
    <t xml:space="preserve">21688</t>
  </si>
  <si>
    <t xml:space="preserve">SILVER PURSE GOLD PINK BUTTERFLY</t>
  </si>
  <si>
    <t xml:space="preserve">20858</t>
  </si>
  <si>
    <t xml:space="preserve">SILVER RETRODISC LAMPSHADE</t>
  </si>
  <si>
    <t xml:space="preserve">85162A</t>
  </si>
  <si>
    <t xml:space="preserve">SILVER ROCCOCO CHANDELIER</t>
  </si>
  <si>
    <t xml:space="preserve">84616</t>
  </si>
  <si>
    <t xml:space="preserve">SILVER ROCOCO CANDELABRA</t>
  </si>
  <si>
    <t xml:space="preserve">84765</t>
  </si>
  <si>
    <t xml:space="preserve">SILVER ROCOCO CANDLE STICK</t>
  </si>
  <si>
    <t xml:space="preserve">84766</t>
  </si>
  <si>
    <t xml:space="preserve">SILVER SKULL HOT WATER BOTTLE</t>
  </si>
  <si>
    <t xml:space="preserve">21478</t>
  </si>
  <si>
    <t xml:space="preserve">SILVER SLEIGHBELL WREATH</t>
  </si>
  <si>
    <t xml:space="preserve">21353</t>
  </si>
  <si>
    <t xml:space="preserve">SILVER STANDING GNOME</t>
  </si>
  <si>
    <t xml:space="preserve">21132</t>
  </si>
  <si>
    <t xml:space="preserve">SILVER T-LIGHT SETTING</t>
  </si>
  <si>
    <t xml:space="preserve">85103</t>
  </si>
  <si>
    <t xml:space="preserve">SILVER TEDDY BEAR</t>
  </si>
  <si>
    <t xml:space="preserve">20819</t>
  </si>
  <si>
    <t xml:space="preserve">SILVER VANILLA FLOWER CANDLE POT</t>
  </si>
  <si>
    <t xml:space="preserve">21689</t>
  </si>
  <si>
    <t xml:space="preserve">21691</t>
  </si>
  <si>
    <t xml:space="preserve">SILVER WASHBAG</t>
  </si>
  <si>
    <t xml:space="preserve">21337</t>
  </si>
  <si>
    <t xml:space="preserve">SILVER WINE GOBLET</t>
  </si>
  <si>
    <t xml:space="preserve">20822</t>
  </si>
  <si>
    <t xml:space="preserve">SILVER/AMETHYST DROP EARRINGS LEAF</t>
  </si>
  <si>
    <t xml:space="preserve">90190C</t>
  </si>
  <si>
    <t xml:space="preserve">SILVER/BLACK ORBIT NECKLACE</t>
  </si>
  <si>
    <t xml:space="preserve">90014C</t>
  </si>
  <si>
    <t xml:space="preserve">SILVER/BLACK PENDANT ORBIT NECKLACE</t>
  </si>
  <si>
    <t xml:space="preserve">90016C</t>
  </si>
  <si>
    <t xml:space="preserve">SILVER/CRYSTAL DROP EARRINGS W LEAF</t>
  </si>
  <si>
    <t xml:space="preserve">90190A</t>
  </si>
  <si>
    <t xml:space="preserve">SILVER/M.O.P PENDANT ORBIT NECKLACE</t>
  </si>
  <si>
    <t xml:space="preserve">90016A</t>
  </si>
  <si>
    <t xml:space="preserve">SILVER/MOP ORBIT NECKLACE</t>
  </si>
  <si>
    <t xml:space="preserve">90014A</t>
  </si>
  <si>
    <t xml:space="preserve">SILVER/NAT SHELL NECKLACE W PENDANT</t>
  </si>
  <si>
    <t xml:space="preserve">90152A</t>
  </si>
  <si>
    <t xml:space="preserve">SILVER/NATURAL SHELL NECKLACE</t>
  </si>
  <si>
    <t xml:space="preserve">90151</t>
  </si>
  <si>
    <t xml:space="preserve">SINGLE HEART ZINC T-LIGHT HOLDER</t>
  </si>
  <si>
    <t xml:space="preserve">SIX STRING SCANDINAVIAN HEART DECS</t>
  </si>
  <si>
    <t xml:space="preserve">35979</t>
  </si>
  <si>
    <t xml:space="preserve">SKULL AND CROSSBONES GARLAND</t>
  </si>
  <si>
    <t xml:space="preserve">SKULL DESIGN TV DINNER TRAY</t>
  </si>
  <si>
    <t xml:space="preserve">SKULL LUNCH BOX WITH CUTLERY</t>
  </si>
  <si>
    <t xml:space="preserve">SKULL SHOULDER BAG</t>
  </si>
  <si>
    <t xml:space="preserve">21934</t>
  </si>
  <si>
    <t xml:space="preserve">SKULLS DESIGN COTTON TOTE BAG</t>
  </si>
  <si>
    <t xml:space="preserve">21581</t>
  </si>
  <si>
    <t xml:space="preserve">SKULLS DESIGN FLANNEL</t>
  </si>
  <si>
    <t xml:space="preserve">21942</t>
  </si>
  <si>
    <t xml:space="preserve">SKULLS GREETING CARD</t>
  </si>
  <si>
    <t xml:space="preserve">21504</t>
  </si>
  <si>
    <t xml:space="preserve">SKULLS PARTY BAG + STICKER SET</t>
  </si>
  <si>
    <t xml:space="preserve">22332</t>
  </si>
  <si>
    <t xml:space="preserve">SKULLS SQUARE TISSUE BOX</t>
  </si>
  <si>
    <t xml:space="preserve">22100</t>
  </si>
  <si>
    <t xml:space="preserve">SKULLS STICKERS</t>
  </si>
  <si>
    <t xml:space="preserve">21679</t>
  </si>
  <si>
    <t xml:space="preserve">SKULLS STORAGE BOX LARGE</t>
  </si>
  <si>
    <t xml:space="preserve">SKULLS STORAGE BOX SMALL</t>
  </si>
  <si>
    <t xml:space="preserve">SKULLS TAPE</t>
  </si>
  <si>
    <t xml:space="preserve">21882</t>
  </si>
  <si>
    <t xml:space="preserve">SKULLS WATER TRANSFER TATTOOS</t>
  </si>
  <si>
    <t xml:space="preserve">SKULLS WRAP</t>
  </si>
  <si>
    <t xml:space="preserve">SKULLS WRITING SET</t>
  </si>
  <si>
    <t xml:space="preserve">21327</t>
  </si>
  <si>
    <t xml:space="preserve">SKY BLUE COLOUR GLASS GEMS IN BAG</t>
  </si>
  <si>
    <t xml:space="preserve">17129C</t>
  </si>
  <si>
    <t xml:space="preserve">SLATE TILE NATURAL HANGING</t>
  </si>
  <si>
    <t xml:space="preserve">22185</t>
  </si>
  <si>
    <t xml:space="preserve">SLEEPING CAT ERASERS</t>
  </si>
  <si>
    <t xml:space="preserve">SMALL BLUE PROVENCAL CERAMIC BALL</t>
  </si>
  <si>
    <t xml:space="preserve">20796</t>
  </si>
  <si>
    <t xml:space="preserve">SMALL CAMPHOR WOOD FIELD MUSHROOM</t>
  </si>
  <si>
    <t xml:space="preserve">21377</t>
  </si>
  <si>
    <t xml:space="preserve">SMALL CHINESE STYLE SCISSOR</t>
  </si>
  <si>
    <t xml:space="preserve">SMALL CHOCOLATES PINK BOWL</t>
  </si>
  <si>
    <t xml:space="preserve">84596G</t>
  </si>
  <si>
    <t xml:space="preserve">SMALL CHUNKY GLASS ROMAN BOWL</t>
  </si>
  <si>
    <t xml:space="preserve">21316</t>
  </si>
  <si>
    <t xml:space="preserve">SMALL DOLLY MIX DESIGN ORANGE BOWL</t>
  </si>
  <si>
    <t xml:space="preserve">SMALL FAIRY CAKE FRIDGE MAGNETS</t>
  </si>
  <si>
    <t xml:space="preserve">85220</t>
  </si>
  <si>
    <t xml:space="preserve">SMALL FOLDING SCISSOR(POINTED EDGE)</t>
  </si>
  <si>
    <t xml:space="preserve">SMALL FOLKART CHRISTMAS TREE DEC</t>
  </si>
  <si>
    <t xml:space="preserve">35955</t>
  </si>
  <si>
    <t xml:space="preserve">SMALL FOLKART STAR CHRISTMAS DEC</t>
  </si>
  <si>
    <t xml:space="preserve">35954</t>
  </si>
  <si>
    <t xml:space="preserve">SMALL GLASS HEART TRINKET POT</t>
  </si>
  <si>
    <t xml:space="preserve">21314</t>
  </si>
  <si>
    <t xml:space="preserve">SMALL GLASS ROSE SCENTED CANDLE</t>
  </si>
  <si>
    <t xml:space="preserve">20890</t>
  </si>
  <si>
    <t xml:space="preserve">SMALL GLASS SUNDAE DISH CLEAR</t>
  </si>
  <si>
    <t xml:space="preserve">20802</t>
  </si>
  <si>
    <t xml:space="preserve">SMALL GREEN PEONY FOLDING STOOL</t>
  </si>
  <si>
    <t xml:space="preserve">84932A</t>
  </si>
  <si>
    <t xml:space="preserve">SMALL HAMMERED SILVER CANDLEPOT</t>
  </si>
  <si>
    <t xml:space="preserve">21693</t>
  </si>
  <si>
    <t xml:space="preserve">SMALL HANGING GLASS+ZINC LANTERN</t>
  </si>
  <si>
    <t xml:space="preserve">84760S</t>
  </si>
  <si>
    <t xml:space="preserve">SMALL HANGING IVORY/RED WOOD BIRD</t>
  </si>
  <si>
    <t xml:space="preserve">85199S</t>
  </si>
  <si>
    <t xml:space="preserve">SMALL HEART FLOWERS HOOK</t>
  </si>
  <si>
    <t xml:space="preserve">84971S</t>
  </si>
  <si>
    <t xml:space="preserve">SMALL HEART MEASURING SPOONS</t>
  </si>
  <si>
    <t xml:space="preserve">22196</t>
  </si>
  <si>
    <t xml:space="preserve">SMALL KITCHEN FLOWER POTS PLAQUE</t>
  </si>
  <si>
    <t xml:space="preserve">84638</t>
  </si>
  <si>
    <t xml:space="preserve">SMALL LICORICE DES PINK BOWL</t>
  </si>
  <si>
    <t xml:space="preserve">84596E</t>
  </si>
  <si>
    <t xml:space="preserve">SMALL MARAKESH LANTERN ON STICK</t>
  </si>
  <si>
    <t xml:space="preserve">21734</t>
  </si>
  <si>
    <t xml:space="preserve">SMALL MARAKESH METAL LANTERN</t>
  </si>
  <si>
    <t xml:space="preserve">21729</t>
  </si>
  <si>
    <t xml:space="preserve">SMALL MARSHMALLOWS PINK BOWL</t>
  </si>
  <si>
    <t xml:space="preserve">SMALL MEDINA STAMPED METAL BOWL</t>
  </si>
  <si>
    <t xml:space="preserve">21684</t>
  </si>
  <si>
    <t xml:space="preserve">SMALL ORIENTAL BLUE FOLDING STOOL</t>
  </si>
  <si>
    <t xml:space="preserve">84932C</t>
  </si>
  <si>
    <t xml:space="preserve">SMALL ORIENTAL RED FOLDING STOOL</t>
  </si>
  <si>
    <t xml:space="preserve">84932D</t>
  </si>
  <si>
    <t xml:space="preserve">SMALL PINK GLASS SUNDAE DISH</t>
  </si>
  <si>
    <t xml:space="preserve">20803</t>
  </si>
  <si>
    <t xml:space="preserve">SMALL PINK MAGIC CHRISTMAS TREE</t>
  </si>
  <si>
    <t xml:space="preserve">84341B</t>
  </si>
  <si>
    <t xml:space="preserve">SMALL PINK PEONY FOLDING STOOL</t>
  </si>
  <si>
    <t xml:space="preserve">84932B</t>
  </si>
  <si>
    <t xml:space="preserve">SMALL POP BOX,FUNKY MONKEY</t>
  </si>
  <si>
    <t xml:space="preserve">47310M</t>
  </si>
  <si>
    <t xml:space="preserve">SMALL POPCORN HOLDER</t>
  </si>
  <si>
    <t xml:space="preserve">SMALL PURPLE BABUSHKA NOTEBOOK</t>
  </si>
  <si>
    <t xml:space="preserve">SMALL RED BABUSHKA NOTEBOOK</t>
  </si>
  <si>
    <t xml:space="preserve">SMALL RED RETROSPOT MUG IN BOX</t>
  </si>
  <si>
    <t xml:space="preserve">22070</t>
  </si>
  <si>
    <t xml:space="preserve">SMALL RED RETROSPOT WINDMILL</t>
  </si>
  <si>
    <t xml:space="preserve">21746</t>
  </si>
  <si>
    <t xml:space="preserve">SMALL REGAL SILVER CANDLEPOT</t>
  </si>
  <si>
    <t xml:space="preserve">21694</t>
  </si>
  <si>
    <t xml:space="preserve">SMALL ROUND CUT GLASS CANDLESTICK</t>
  </si>
  <si>
    <t xml:space="preserve">85125</t>
  </si>
  <si>
    <t xml:space="preserve">SMALL SILVER FLOWER CANDLE POT</t>
  </si>
  <si>
    <t xml:space="preserve">21695</t>
  </si>
  <si>
    <t xml:space="preserve">SMALL SILVER TRELLIS CANDLEPOT</t>
  </si>
  <si>
    <t xml:space="preserve">21696</t>
  </si>
  <si>
    <t xml:space="preserve">SMALL SINGLE FLAME CANDLE HOLDER</t>
  </si>
  <si>
    <t xml:space="preserve">71050</t>
  </si>
  <si>
    <t xml:space="preserve">SMALL SKULL WINDMILL</t>
  </si>
  <si>
    <t xml:space="preserve">21747</t>
  </si>
  <si>
    <t xml:space="preserve">SMALL SPOTTY CHOCOLATE GIFT BAG</t>
  </si>
  <si>
    <t xml:space="preserve">21291</t>
  </si>
  <si>
    <t xml:space="preserve">SMALL SQUARE CUT GLASS CANDLESTICK</t>
  </si>
  <si>
    <t xml:space="preserve">85127</t>
  </si>
  <si>
    <t xml:space="preserve">SMALL STRIPES CHOCOLATE GIFT BAG</t>
  </si>
  <si>
    <t xml:space="preserve">21292</t>
  </si>
  <si>
    <t xml:space="preserve">SMALL TAHITI BEACH BAG</t>
  </si>
  <si>
    <t xml:space="preserve">84856S</t>
  </si>
  <si>
    <t xml:space="preserve">SMALL TALL CAMPHOR WOOD TOADSTOOL</t>
  </si>
  <si>
    <t xml:space="preserve">21378</t>
  </si>
  <si>
    <t xml:space="preserve">SMALL WHITE RETROSPOT MUG IN BOX</t>
  </si>
  <si>
    <t xml:space="preserve">22071</t>
  </si>
  <si>
    <t xml:space="preserve">SMALL WHITE/PINK ROSE ART FLOWER</t>
  </si>
  <si>
    <t xml:space="preserve">84800S</t>
  </si>
  <si>
    <t xml:space="preserve">SMALL YELLOW BABUSHKA NOTEBOOK</t>
  </si>
  <si>
    <t xml:space="preserve">SMALL ZINC/GLASS CANDLEHOLDER</t>
  </si>
  <si>
    <t xml:space="preserve">72811</t>
  </si>
  <si>
    <t xml:space="preserve">SMALLFOLKART BAUBLE CHRISTMAS DEC</t>
  </si>
  <si>
    <t xml:space="preserve">35957</t>
  </si>
  <si>
    <t xml:space="preserve">SMOKEY GREY COLOUR D.O.F. GLASS</t>
  </si>
  <si>
    <t xml:space="preserve">79051A</t>
  </si>
  <si>
    <t xml:space="preserve">SNOWFLAKE PORTABLE TABLE LIGHT</t>
  </si>
  <si>
    <t xml:space="preserve">21744</t>
  </si>
  <si>
    <t xml:space="preserve">SNOWSTORM PHOTO FRAME FRIDGE MAGNET</t>
  </si>
  <si>
    <t xml:space="preserve">22181</t>
  </si>
  <si>
    <t xml:space="preserve">SOAP DISH BROCANTE</t>
  </si>
  <si>
    <t xml:space="preserve">22863</t>
  </si>
  <si>
    <t xml:space="preserve">SOFT PINK ROSE TOWEL</t>
  </si>
  <si>
    <t xml:space="preserve">84913A</t>
  </si>
  <si>
    <t xml:space="preserve">SOLDIERS EGG CUP</t>
  </si>
  <si>
    <t xml:space="preserve">22988</t>
  </si>
  <si>
    <t xml:space="preserve">SOMBRERO</t>
  </si>
  <si>
    <t xml:space="preserve">62018</t>
  </si>
  <si>
    <t xml:space="preserve">SPACE CADET BLACK</t>
  </si>
  <si>
    <t xml:space="preserve">21031</t>
  </si>
  <si>
    <t xml:space="preserve">SPACE CADET RED</t>
  </si>
  <si>
    <t xml:space="preserve">21030</t>
  </si>
  <si>
    <t xml:space="preserve">SPACE CADET WHITE</t>
  </si>
  <si>
    <t xml:space="preserve">21032</t>
  </si>
  <si>
    <t xml:space="preserve">SPACE FROG</t>
  </si>
  <si>
    <t xml:space="preserve">21025</t>
  </si>
  <si>
    <t xml:space="preserve">SPACE OWL</t>
  </si>
  <si>
    <t xml:space="preserve">21026</t>
  </si>
  <si>
    <t xml:space="preserve">SPACEBOY BIRTHDAY CARD</t>
  </si>
  <si>
    <t xml:space="preserve">SPACEBOY CHILDRENS EGG CUP</t>
  </si>
  <si>
    <t xml:space="preserve">22975</t>
  </si>
  <si>
    <t xml:space="preserve">SPACEBOY GIFT WRAP</t>
  </si>
  <si>
    <t xml:space="preserve">SPACEBOY LUNCH BOX</t>
  </si>
  <si>
    <t xml:space="preserve">SPACEBOY TV DINNER TRAY</t>
  </si>
  <si>
    <t xml:space="preserve">SPHERICAL IVORY CANDLE</t>
  </si>
  <si>
    <t xml:space="preserve">72715</t>
  </si>
  <si>
    <t xml:space="preserve">SPOTS DESIGN MUG W PINK INSIDE</t>
  </si>
  <si>
    <t xml:space="preserve">37343</t>
  </si>
  <si>
    <t xml:space="preserve">SPOTS MUG</t>
  </si>
  <si>
    <t xml:space="preserve">37330</t>
  </si>
  <si>
    <t xml:space="preserve">SPOTS ON RED BOOKCOVER TAPE</t>
  </si>
  <si>
    <t xml:space="preserve">10124A</t>
  </si>
  <si>
    <t xml:space="preserve">SPOTTED WHITE NATURAL SEED NECKLACE</t>
  </si>
  <si>
    <t xml:space="preserve">90030A</t>
  </si>
  <si>
    <t xml:space="preserve">SPOTTY CAT DOORSTOP</t>
  </si>
  <si>
    <t xml:space="preserve">21406</t>
  </si>
  <si>
    <t xml:space="preserve">SPOTTY COCKEREL DOORSTOP</t>
  </si>
  <si>
    <t xml:space="preserve">21409</t>
  </si>
  <si>
    <t xml:space="preserve">SPOTTY COFFEE CUP &amp; SAUCER</t>
  </si>
  <si>
    <t xml:space="preserve">37342</t>
  </si>
  <si>
    <t xml:space="preserve">SPOTTY PINK DUCK DOORSTOP</t>
  </si>
  <si>
    <t xml:space="preserve">SPRIG LAVENDER ARTIFICIAL FLOWER</t>
  </si>
  <si>
    <t xml:space="preserve">84799</t>
  </si>
  <si>
    <t xml:space="preserve">SPRING DEC , HANGING CHICK CREAM</t>
  </si>
  <si>
    <t xml:space="preserve">22291</t>
  </si>
  <si>
    <t xml:space="preserve">SPRING DEC , HANGING CHICK GREEN</t>
  </si>
  <si>
    <t xml:space="preserve">22293</t>
  </si>
  <si>
    <t xml:space="preserve">SPRING DEC , HANGING CHICK YELLOW</t>
  </si>
  <si>
    <t xml:space="preserve">22292</t>
  </si>
  <si>
    <t xml:space="preserve">SPRING FLOWER CHOPSTICKS SET/5</t>
  </si>
  <si>
    <t xml:space="preserve">20990</t>
  </si>
  <si>
    <t xml:space="preserve">SQUARE CHERRY BLOSSOM CABINET</t>
  </si>
  <si>
    <t xml:space="preserve">84665</t>
  </si>
  <si>
    <t xml:space="preserve">84666</t>
  </si>
  <si>
    <t xml:space="preserve">SQUARE FLOOR CUSHION VINTAGE RED</t>
  </si>
  <si>
    <t xml:space="preserve">21629</t>
  </si>
  <si>
    <t xml:space="preserve">SQUARE METAL CANDLEHOLDER BASE</t>
  </si>
  <si>
    <t xml:space="preserve">71510</t>
  </si>
  <si>
    <t xml:space="preserve">SQUARE MIRROR CURTAIN</t>
  </si>
  <si>
    <t xml:space="preserve">44230</t>
  </si>
  <si>
    <t xml:space="preserve">ST GEORGE SET OF 10 PARTY LIGHTS</t>
  </si>
  <si>
    <t xml:space="preserve">79161A</t>
  </si>
  <si>
    <t xml:space="preserve">ST TROPEZ NECKLACE</t>
  </si>
  <si>
    <t xml:space="preserve">90158</t>
  </si>
  <si>
    <t xml:space="preserve">STANDING FAIRY POLE SUPPORT</t>
  </si>
  <si>
    <t xml:space="preserve">71101E</t>
  </si>
  <si>
    <t xml:space="preserve">STANDING METAL RABBIT WITH EGG</t>
  </si>
  <si>
    <t xml:space="preserve">22290</t>
  </si>
  <si>
    <t xml:space="preserve">STAR DECORATION PAINTED ZINC</t>
  </si>
  <si>
    <t xml:space="preserve">22338</t>
  </si>
  <si>
    <t xml:space="preserve">STAR DECORATION RUSTIC</t>
  </si>
  <si>
    <t xml:space="preserve">22155</t>
  </si>
  <si>
    <t xml:space="preserve">STAR PORTABLE TABLE LIGHT</t>
  </si>
  <si>
    <t xml:space="preserve">21743</t>
  </si>
  <si>
    <t xml:space="preserve">STAR T-LIGHT HOLDER</t>
  </si>
  <si>
    <t xml:space="preserve">21815</t>
  </si>
  <si>
    <t xml:space="preserve">STAR WARS TOP TRUMPS GAME</t>
  </si>
  <si>
    <t xml:space="preserve">21857</t>
  </si>
  <si>
    <t xml:space="preserve">STAR WOODEN CHRISTMAS DECORATION</t>
  </si>
  <si>
    <t xml:space="preserve">22573</t>
  </si>
  <si>
    <t xml:space="preserve">STARFISH SOAP DISH</t>
  </si>
  <si>
    <t xml:space="preserve">21418</t>
  </si>
  <si>
    <t xml:space="preserve">STARS GIFT TAPE</t>
  </si>
  <si>
    <t xml:space="preserve">STEEL SWEETHEART ROUND TABLE CREAM</t>
  </si>
  <si>
    <t xml:space="preserve">21476</t>
  </si>
  <si>
    <t xml:space="preserve">STRAWBERRIES DESIGN FLANNEL</t>
  </si>
  <si>
    <t xml:space="preserve">21945</t>
  </si>
  <si>
    <t xml:space="preserve">STRAWBERRIES PRINT BOWL</t>
  </si>
  <si>
    <t xml:space="preserve">20673</t>
  </si>
  <si>
    <t xml:space="preserve">STRAWBERRY BATH SPONGE</t>
  </si>
  <si>
    <t xml:space="preserve">20961</t>
  </si>
  <si>
    <t xml:space="preserve">STRAWBERRY CANDY BAG</t>
  </si>
  <si>
    <t xml:space="preserve">20730</t>
  </si>
  <si>
    <t xml:space="preserve">STRAWBERRY CERAMIC TRINKET BOX</t>
  </si>
  <si>
    <t xml:space="preserve">STRAWBERRY CHARLOTTE BAG</t>
  </si>
  <si>
    <t xml:space="preserve">STRAWBERRY DREAM CHILDS UMBRELLA</t>
  </si>
  <si>
    <t xml:space="preserve">20684</t>
  </si>
  <si>
    <t xml:space="preserve">STRAWBERRY FAIRY CAKE TEAPOT</t>
  </si>
  <si>
    <t xml:space="preserve">STRAWBERRY HONEYCOMB GARLAND</t>
  </si>
  <si>
    <t xml:space="preserve">21206</t>
  </si>
  <si>
    <t xml:space="preserve">STRAWBERRY LUNCH BOX WITH CUTLERY</t>
  </si>
  <si>
    <t xml:space="preserve">STRAWBERRY PICNIC BAG</t>
  </si>
  <si>
    <t xml:space="preserve">21937</t>
  </si>
  <si>
    <t xml:space="preserve">STRAWBERRY RAFFIA FOOD COVER</t>
  </si>
  <si>
    <t xml:space="preserve">21471</t>
  </si>
  <si>
    <t xml:space="preserve">STRAWBERRY SCENTED SET/9 T-LIGHTS</t>
  </si>
  <si>
    <t xml:space="preserve">85231E</t>
  </si>
  <si>
    <t xml:space="preserve">STRAWBERRY SHOPPER BAG</t>
  </si>
  <si>
    <t xml:space="preserve">20717</t>
  </si>
  <si>
    <t xml:space="preserve">STRAWBERY SWIRL FLARE CANDLE</t>
  </si>
  <si>
    <t xml:space="preserve">72083A</t>
  </si>
  <si>
    <t xml:space="preserve">STRAWBRY SCENTED VOTIVE CANDLE</t>
  </si>
  <si>
    <t xml:space="preserve">85230E</t>
  </si>
  <si>
    <t xml:space="preserve">STRING CRYSTALS NATURAL</t>
  </si>
  <si>
    <t xml:space="preserve">75149N</t>
  </si>
  <si>
    <t xml:space="preserve">STRING OF 20 ROSE LIGHTS</t>
  </si>
  <si>
    <t xml:space="preserve">21477</t>
  </si>
  <si>
    <t xml:space="preserve">STRING OF 8 BUTTERFLIES,PINK</t>
  </si>
  <si>
    <t xml:space="preserve">75013B</t>
  </si>
  <si>
    <t xml:space="preserve">STRING OF STARS CARD HOLDER</t>
  </si>
  <si>
    <t xml:space="preserve">22164</t>
  </si>
  <si>
    <t xml:space="preserve">STRIPES DESIGN MONKEY DOLL</t>
  </si>
  <si>
    <t xml:space="preserve">84507B</t>
  </si>
  <si>
    <t xml:space="preserve">STRIPES DESIGN TEDDY</t>
  </si>
  <si>
    <t xml:space="preserve">84508B</t>
  </si>
  <si>
    <t xml:space="preserve">STRIPEY CHOCOLATE NESTING BOXES</t>
  </si>
  <si>
    <t xml:space="preserve">21288</t>
  </si>
  <si>
    <t xml:space="preserve">STRIPY DESIGN SHOWER CAP</t>
  </si>
  <si>
    <t xml:space="preserve">51020B</t>
  </si>
  <si>
    <t xml:space="preserve">SUKI SHOULDER BAG</t>
  </si>
  <si>
    <t xml:space="preserve">SUMMER BUTTERFLIES BAG CHARM</t>
  </si>
  <si>
    <t xml:space="preserve">90115</t>
  </si>
  <si>
    <t xml:space="preserve">SUMMER DAISIES BAG CHARM</t>
  </si>
  <si>
    <t xml:space="preserve">90114</t>
  </si>
  <si>
    <t xml:space="preserve">SUMMER FUN DESIGN SHOWER CAP</t>
  </si>
  <si>
    <t xml:space="preserve">51020A</t>
  </si>
  <si>
    <t xml:space="preserve">SUNFLOWER DECORATIVE PARASOL</t>
  </si>
  <si>
    <t xml:space="preserve">21633</t>
  </si>
  <si>
    <t xml:space="preserve">SUNJAR LED NIGHT NIGHT LIGHT</t>
  </si>
  <si>
    <t xml:space="preserve">DCGS0076</t>
  </si>
  <si>
    <t xml:space="preserve">SUNSET CHECK HAMMOCK</t>
  </si>
  <si>
    <t xml:space="preserve">84795B</t>
  </si>
  <si>
    <t xml:space="preserve">SUNSET COLOUR CHUNKY KNITTED THROW</t>
  </si>
  <si>
    <t xml:space="preserve">46775D</t>
  </si>
  <si>
    <t xml:space="preserve">SWALLOW CIGAR BOX MATCHES</t>
  </si>
  <si>
    <t xml:space="preserve">21593</t>
  </si>
  <si>
    <t xml:space="preserve">SWALLOW GIANT TUBE MATCHES</t>
  </si>
  <si>
    <t xml:space="preserve">21589</t>
  </si>
  <si>
    <t xml:space="preserve">SWALLOW SMALL TUBE MATCHES</t>
  </si>
  <si>
    <t xml:space="preserve">21585</t>
  </si>
  <si>
    <t xml:space="preserve">SWALLOW SQUARE TISSUE BOX</t>
  </si>
  <si>
    <t xml:space="preserve">22097</t>
  </si>
  <si>
    <t xml:space="preserve">SWALLOW WOODEN CHRISTMAS DECORATION</t>
  </si>
  <si>
    <t xml:space="preserve">SWALLOWS GREETING CARD</t>
  </si>
  <si>
    <t xml:space="preserve">22030</t>
  </si>
  <si>
    <t xml:space="preserve">SWEET PUDDING STICKER SHEET</t>
  </si>
  <si>
    <t xml:space="preserve">21722</t>
  </si>
  <si>
    <t xml:space="preserve">SWEET VALENCIA CANDLE+CUP</t>
  </si>
  <si>
    <t xml:space="preserve">82585</t>
  </si>
  <si>
    <t xml:space="preserve">SWEETHEART CAKESTAND 3 TIER</t>
  </si>
  <si>
    <t xml:space="preserve">SWEETHEART CARRY-ALL BASKET</t>
  </si>
  <si>
    <t xml:space="preserve">84840</t>
  </si>
  <si>
    <t xml:space="preserve">SWEETHEART CERAMIC TRINKET BOX</t>
  </si>
  <si>
    <t xml:space="preserve">21231</t>
  </si>
  <si>
    <t xml:space="preserve">SWEETHEART CREAM STEEL FOLDIN BENCH</t>
  </si>
  <si>
    <t xml:space="preserve">21474</t>
  </si>
  <si>
    <t xml:space="preserve">SWEETHEART CREAM STEEL FOLDIN CHAIR</t>
  </si>
  <si>
    <t xml:space="preserve">21475</t>
  </si>
  <si>
    <t xml:space="preserve">SWEETHEART CREAM STEEL TABLE RECT</t>
  </si>
  <si>
    <t xml:space="preserve">21473</t>
  </si>
  <si>
    <t xml:space="preserve">SWEETHEART KEY CABINET</t>
  </si>
  <si>
    <t xml:space="preserve">84839</t>
  </si>
  <si>
    <t xml:space="preserve">SWEETHEART RECIPE BOOK STAND</t>
  </si>
  <si>
    <t xml:space="preserve">SWEETHEART WIRE FRUIT BOWL</t>
  </si>
  <si>
    <t xml:space="preserve">SWEETHEART WIRE MAGAZINE RACK</t>
  </si>
  <si>
    <t xml:space="preserve">22794</t>
  </si>
  <si>
    <t xml:space="preserve">SWEETHEART WIRE WALL TIDY</t>
  </si>
  <si>
    <t xml:space="preserve">22829</t>
  </si>
  <si>
    <t xml:space="preserve">SWEETIES STICKERS</t>
  </si>
  <si>
    <t xml:space="preserve">21725</t>
  </si>
  <si>
    <t xml:space="preserve">SWIRLY CIRCULAR RUBBERS IN BAG</t>
  </si>
  <si>
    <t xml:space="preserve">16258A</t>
  </si>
  <si>
    <t xml:space="preserve">SWISS CHALET TREE DECORATION</t>
  </si>
  <si>
    <t xml:space="preserve">21014</t>
  </si>
  <si>
    <t xml:space="preserve">SWISS ROLL TOWEL, CHOCOLATE SPOTS</t>
  </si>
  <si>
    <t xml:space="preserve">SWISS ROLL TOWEL, PINK SPOTS</t>
  </si>
  <si>
    <t xml:space="preserve">21112</t>
  </si>
  <si>
    <t xml:space="preserve">T-LIGHT GLASS FLUTED ANTIQUE</t>
  </si>
  <si>
    <t xml:space="preserve">T-LIGHT HOLDER HANGING LACE</t>
  </si>
  <si>
    <t xml:space="preserve">22217</t>
  </si>
  <si>
    <t xml:space="preserve">T-LIGHT HOLDER SWEETHEART HANGING</t>
  </si>
  <si>
    <t xml:space="preserve">22789</t>
  </si>
  <si>
    <t xml:space="preserve">T-LIGHT HOLDER WHITE LACE</t>
  </si>
  <si>
    <t xml:space="preserve">22216</t>
  </si>
  <si>
    <t xml:space="preserve">TABLE LAMP WHITE SHADE WOOD BASE</t>
  </si>
  <si>
    <t xml:space="preserve">84360</t>
  </si>
  <si>
    <t xml:space="preserve">TABLECLOTH RED APPLES DESIGN</t>
  </si>
  <si>
    <t xml:space="preserve">22894</t>
  </si>
  <si>
    <t xml:space="preserve">TALL ROCOCO CANDLE HOLDER</t>
  </si>
  <si>
    <t xml:space="preserve">84609</t>
  </si>
  <si>
    <t xml:space="preserve">TEA BAG PLATE RED SPOTTY</t>
  </si>
  <si>
    <t xml:space="preserve">22348</t>
  </si>
  <si>
    <t xml:space="preserve">TEA COSY BLUE STRIPE</t>
  </si>
  <si>
    <t xml:space="preserve">22308</t>
  </si>
  <si>
    <t xml:space="preserve">TEA COSY RED STRIPE</t>
  </si>
  <si>
    <t xml:space="preserve">22309</t>
  </si>
  <si>
    <t xml:space="preserve">TEA COSY VINTAGE UNION JACK</t>
  </si>
  <si>
    <t xml:space="preserve">22612</t>
  </si>
  <si>
    <t xml:space="preserve">TEA FOR ONE POLKADOT</t>
  </si>
  <si>
    <t xml:space="preserve">22891</t>
  </si>
  <si>
    <t xml:space="preserve">TEA PARTY BIRTHDAY CARD</t>
  </si>
  <si>
    <t xml:space="preserve">TEA PARTY WRAPPING PAPER</t>
  </si>
  <si>
    <t xml:space="preserve">TEA TIME BREAKFAST BASKET</t>
  </si>
  <si>
    <t xml:space="preserve">47579</t>
  </si>
  <si>
    <t xml:space="preserve">TEA TIME CAKE STAND IN GIFT BOX</t>
  </si>
  <si>
    <t xml:space="preserve">37503</t>
  </si>
  <si>
    <t xml:space="preserve">TEA TIME DES TEA COSY</t>
  </si>
  <si>
    <t xml:space="preserve">47580</t>
  </si>
  <si>
    <t xml:space="preserve">TEA TIME KITCHEN APRON</t>
  </si>
  <si>
    <t xml:space="preserve">TEA TIME MUG IN GIFT BOX</t>
  </si>
  <si>
    <t xml:space="preserve">37502</t>
  </si>
  <si>
    <t xml:space="preserve">TEA TIME OVEN GLOVE</t>
  </si>
  <si>
    <t xml:space="preserve">TEA TIME PAPER LANTERNS</t>
  </si>
  <si>
    <t xml:space="preserve">40018E</t>
  </si>
  <si>
    <t xml:space="preserve">TEA TIME PARTY BUNTING</t>
  </si>
  <si>
    <t xml:space="preserve">47566B</t>
  </si>
  <si>
    <t xml:space="preserve">TEA TIME TABLE CLOTH</t>
  </si>
  <si>
    <t xml:space="preserve">47570B</t>
  </si>
  <si>
    <t xml:space="preserve">TEA TIME TEA SET IN GIFT BOX</t>
  </si>
  <si>
    <t xml:space="preserve">37501</t>
  </si>
  <si>
    <t xml:space="preserve">TEA TIME TEA TOWELS</t>
  </si>
  <si>
    <t xml:space="preserve">47556B</t>
  </si>
  <si>
    <t xml:space="preserve">TEA TIME TEAPOT IN GIFT BOX</t>
  </si>
  <si>
    <t xml:space="preserve">37500</t>
  </si>
  <si>
    <t xml:space="preserve">TEAL/FUSCHIA COL BEAD NECKLACE</t>
  </si>
  <si>
    <t xml:space="preserve">90133</t>
  </si>
  <si>
    <t xml:space="preserve">TEATIME CAKE TIN WITH HANDLE</t>
  </si>
  <si>
    <t xml:space="preserve">79072</t>
  </si>
  <si>
    <t xml:space="preserve">TEATIME FUNKY FLOWER BACKPACK FOR 2</t>
  </si>
  <si>
    <t xml:space="preserve">84872A</t>
  </si>
  <si>
    <t xml:space="preserve">TEATIME GEL PENS ASST</t>
  </si>
  <si>
    <t xml:space="preserve">16049</t>
  </si>
  <si>
    <t xml:space="preserve">TEATIME PEN CASE &amp; PENS</t>
  </si>
  <si>
    <t xml:space="preserve">16046</t>
  </si>
  <si>
    <t xml:space="preserve">TEATIME PENCIL W STAMP ASST</t>
  </si>
  <si>
    <t xml:space="preserve">16051</t>
  </si>
  <si>
    <t xml:space="preserve">TEATIME PENCIL WITH RUBBER</t>
  </si>
  <si>
    <t xml:space="preserve">16050</t>
  </si>
  <si>
    <t xml:space="preserve">TEATIME PUSH DOWN RUBBER</t>
  </si>
  <si>
    <t xml:space="preserve">16052</t>
  </si>
  <si>
    <t xml:space="preserve">TEATIME ROUND CAKE TINS</t>
  </si>
  <si>
    <t xml:space="preserve">79065A</t>
  </si>
  <si>
    <t xml:space="preserve">TEATIME ROUND PENCIL SHARPENER</t>
  </si>
  <si>
    <t xml:space="preserve">16048</t>
  </si>
  <si>
    <t xml:space="preserve">TEXRIO TOMATOES CANDLE+CUP</t>
  </si>
  <si>
    <t xml:space="preserve">82587</t>
  </si>
  <si>
    <t xml:space="preserve">THE KING GIFT BAG</t>
  </si>
  <si>
    <t xml:space="preserve">16162L</t>
  </si>
  <si>
    <t xml:space="preserve">THE KING GIFT BAG 25x24x12cm</t>
  </si>
  <si>
    <t xml:space="preserve">16162M</t>
  </si>
  <si>
    <t xml:space="preserve">THREE CANVAS LUGGAGE TAGS</t>
  </si>
  <si>
    <t xml:space="preserve">85095</t>
  </si>
  <si>
    <t xml:space="preserve">TIGRIS EYE CHUNKY CHARM BRACELET</t>
  </si>
  <si>
    <t xml:space="preserve">90175D</t>
  </si>
  <si>
    <t xml:space="preserve">TINY CRYSTAL BRACELET BLUE</t>
  </si>
  <si>
    <t xml:space="preserve">90037C</t>
  </si>
  <si>
    <t xml:space="preserve">TINY CRYSTAL BRACELET GREEN</t>
  </si>
  <si>
    <t xml:space="preserve">90037B</t>
  </si>
  <si>
    <t xml:space="preserve">TINY CRYSTAL BRACELET RED</t>
  </si>
  <si>
    <t xml:space="preserve">90037A</t>
  </si>
  <si>
    <t xml:space="preserve">TINY CRYSTALS BRACELET BLACK</t>
  </si>
  <si>
    <t xml:space="preserve">90037D</t>
  </si>
  <si>
    <t xml:space="preserve">TOADSTOOL LUNCHBOX WITH CUTLERY</t>
  </si>
  <si>
    <t xml:space="preserve">21560</t>
  </si>
  <si>
    <t xml:space="preserve">TOADSTOOL MONEY BOX</t>
  </si>
  <si>
    <t xml:space="preserve">TOAST ITS - BEST MUM</t>
  </si>
  <si>
    <t xml:space="preserve">21354</t>
  </si>
  <si>
    <t xml:space="preserve">TOAST ITS - DINOSAUR</t>
  </si>
  <si>
    <t xml:space="preserve">21357</t>
  </si>
  <si>
    <t xml:space="preserve">TOAST ITS - FAIRY FLOWER</t>
  </si>
  <si>
    <t xml:space="preserve">21356</t>
  </si>
  <si>
    <t xml:space="preserve">TOAST ITS - HAPPY BIRTHDAY</t>
  </si>
  <si>
    <t xml:space="preserve">21358</t>
  </si>
  <si>
    <t xml:space="preserve">TOAST ITS - I LOVE YOU</t>
  </si>
  <si>
    <t xml:space="preserve">21355</t>
  </si>
  <si>
    <t xml:space="preserve">TOILET METAL SIGN</t>
  </si>
  <si>
    <t xml:space="preserve">TOMATO CHARLIE+LOLA COASTER SET</t>
  </si>
  <si>
    <t xml:space="preserve">84519A</t>
  </si>
  <si>
    <t xml:space="preserve">TOOL BOX SOFT TOY</t>
  </si>
  <si>
    <t xml:space="preserve">21055</t>
  </si>
  <si>
    <t xml:space="preserve">TOOTHPASTE TUBE PEN</t>
  </si>
  <si>
    <t xml:space="preserve">22422</t>
  </si>
  <si>
    <t xml:space="preserve">TOP SECRET PEN SET</t>
  </si>
  <si>
    <t xml:space="preserve">84466</t>
  </si>
  <si>
    <t xml:space="preserve">TOTE BAG I LOVE LONDON</t>
  </si>
  <si>
    <t xml:space="preserve">22902</t>
  </si>
  <si>
    <t xml:space="preserve">TOXIC AREA DOOR HANGER</t>
  </si>
  <si>
    <t xml:space="preserve">TOY TIDY DOLLY GIRL DESIGN</t>
  </si>
  <si>
    <t xml:space="preserve">22664</t>
  </si>
  <si>
    <t xml:space="preserve">TOY TIDY PINK RETROSPOT</t>
  </si>
  <si>
    <t xml:space="preserve">TOY TIDY SPACEBOY</t>
  </si>
  <si>
    <t xml:space="preserve">22380</t>
  </si>
  <si>
    <t xml:space="preserve">TOYBOX WRAP</t>
  </si>
  <si>
    <t xml:space="preserve">21503</t>
  </si>
  <si>
    <t xml:space="preserve">TRADITIONAL CHRISTMAS RIBBONS</t>
  </si>
  <si>
    <t xml:space="preserve">85049A</t>
  </si>
  <si>
    <t xml:space="preserve">TRADITIONAL KNITTING NANCY</t>
  </si>
  <si>
    <t xml:space="preserve">TRADITIONAL MODELLING CLAY</t>
  </si>
  <si>
    <t xml:space="preserve">22560</t>
  </si>
  <si>
    <t xml:space="preserve">TRADITIONAL WOODEN CATCH CUP GAME</t>
  </si>
  <si>
    <t xml:space="preserve">TRADITIONAL WOODEN SKIPPING ROPE</t>
  </si>
  <si>
    <t xml:space="preserve">TRANQUILITY MASALA INCENSE</t>
  </si>
  <si>
    <t xml:space="preserve">17084A</t>
  </si>
  <si>
    <t xml:space="preserve">TRANSPARENT ACRYLIC TAPE DISPENSER</t>
  </si>
  <si>
    <t xml:space="preserve">16254</t>
  </si>
  <si>
    <t xml:space="preserve">TRAVEL SEWING KIT</t>
  </si>
  <si>
    <t xml:space="preserve">22652</t>
  </si>
  <si>
    <t xml:space="preserve">TRAY, BREAKFAST IN BED</t>
  </si>
  <si>
    <t xml:space="preserve">22760</t>
  </si>
  <si>
    <t xml:space="preserve">TREE OF NOAH FESTIVE SCENTED CANDLE</t>
  </si>
  <si>
    <t xml:space="preserve">20879</t>
  </si>
  <si>
    <t xml:space="preserve">TRELLIS FLOWER CHOPSTICKS SET/5</t>
  </si>
  <si>
    <t xml:space="preserve">20988</t>
  </si>
  <si>
    <t xml:space="preserve">TRIANGULAR POUFFE VINTAGE</t>
  </si>
  <si>
    <t xml:space="preserve">TRIANGULAR RIDGED GLASS POSY HOLDER</t>
  </si>
  <si>
    <t xml:space="preserve">21665</t>
  </si>
  <si>
    <t xml:space="preserve">TRIPLE PHOTO FRAME CORNICE</t>
  </si>
  <si>
    <t xml:space="preserve">TROPICAL HOLIDAY PURSE</t>
  </si>
  <si>
    <t xml:space="preserve">20664</t>
  </si>
  <si>
    <t xml:space="preserve">TROPICAL HONEYCOMB PAPER GARLAND</t>
  </si>
  <si>
    <t xml:space="preserve">21201</t>
  </si>
  <si>
    <t xml:space="preserve">TROPICAL LUGGAGE TAG</t>
  </si>
  <si>
    <t xml:space="preserve">20657</t>
  </si>
  <si>
    <t xml:space="preserve">TROPICAL PASSPORT COVER</t>
  </si>
  <si>
    <t xml:space="preserve">20619</t>
  </si>
  <si>
    <t xml:space="preserve">TUB 24 HANGING EASTER EGGS SPOTTY</t>
  </si>
  <si>
    <t xml:space="preserve">21438</t>
  </si>
  <si>
    <t xml:space="preserve">TUB 24 PINK FLOWER PEGS</t>
  </si>
  <si>
    <t xml:space="preserve">85214</t>
  </si>
  <si>
    <t xml:space="preserve">TUMBLER, BAROQUE</t>
  </si>
  <si>
    <t xml:space="preserve">79030D</t>
  </si>
  <si>
    <t xml:space="preserve">TUMBLER, ENGLISH ROSE</t>
  </si>
  <si>
    <t xml:space="preserve">79030A</t>
  </si>
  <si>
    <t xml:space="preserve">TUMBLER, NEW ENGLAND</t>
  </si>
  <si>
    <t xml:space="preserve">79030G</t>
  </si>
  <si>
    <t xml:space="preserve">TURQ ICE CREAM BUM BAG</t>
  </si>
  <si>
    <t xml:space="preserve">62094B</t>
  </si>
  <si>
    <t xml:space="preserve">TURQ PENDANT TRIPLE SHELL NECKLACE</t>
  </si>
  <si>
    <t xml:space="preserve">90141C</t>
  </si>
  <si>
    <t xml:space="preserve">TURQ STONE/CRYSTAL EARRINGS</t>
  </si>
  <si>
    <t xml:space="preserve">90130B</t>
  </si>
  <si>
    <t xml:space="preserve">TURQ+RED BOUDICCA LARGE BRACELET</t>
  </si>
  <si>
    <t xml:space="preserve">90160C</t>
  </si>
  <si>
    <t xml:space="preserve">TURQOISE ICE CREAM SUNHAT</t>
  </si>
  <si>
    <t xml:space="preserve">62095B</t>
  </si>
  <si>
    <t xml:space="preserve">TURQUOISE BERTIE GLASS BEAD CHARM</t>
  </si>
  <si>
    <t xml:space="preserve">90125C</t>
  </si>
  <si>
    <t xml:space="preserve">TURQUOISE CHRISTMAS TREE</t>
  </si>
  <si>
    <t xml:space="preserve">35591T</t>
  </si>
  <si>
    <t xml:space="preserve">TURQUOISE CRYSTAL+GLASS BRACELET</t>
  </si>
  <si>
    <t xml:space="preserve">90122C</t>
  </si>
  <si>
    <t xml:space="preserve">TURQUOISE GLASS TASSLE BAG CHARM</t>
  </si>
  <si>
    <t xml:space="preserve">90129B</t>
  </si>
  <si>
    <t xml:space="preserve">TURQUOISE HEART OF GLASS BRACELET</t>
  </si>
  <si>
    <t xml:space="preserve">90123B</t>
  </si>
  <si>
    <t xml:space="preserve">TV DINNER TRAY AIR HOSTESS</t>
  </si>
  <si>
    <t xml:space="preserve">TV DINNER TRAY DOLLY GIRL</t>
  </si>
  <si>
    <t xml:space="preserve">TV DINNER TRAY VINTAGE PAISLEY</t>
  </si>
  <si>
    <t xml:space="preserve">TWO DOOR CURIO CABINET</t>
  </si>
  <si>
    <t xml:space="preserve">21735</t>
  </si>
  <si>
    <t xml:space="preserve">TWO EMBOSSED HEART MINI DRAWERS</t>
  </si>
  <si>
    <t xml:space="preserve">21276</t>
  </si>
  <si>
    <t xml:space="preserve">This is a test product.</t>
  </si>
  <si>
    <t xml:space="preserve">TEST001</t>
  </si>
  <si>
    <t xml:space="preserve">TEST002</t>
  </si>
  <si>
    <t xml:space="preserve">UBO-LIGHT TRIOBASE BLUE</t>
  </si>
  <si>
    <t xml:space="preserve">79157B</t>
  </si>
  <si>
    <t xml:space="preserve">UNION FLAG WINDSOCK</t>
  </si>
  <si>
    <t xml:space="preserve">77101A</t>
  </si>
  <si>
    <t xml:space="preserve">UNION JACK FLAG LUGGAGE TAG</t>
  </si>
  <si>
    <t xml:space="preserve">21866</t>
  </si>
  <si>
    <t xml:space="preserve">UNION JACK FLAG PASSPORT COVER</t>
  </si>
  <si>
    <t xml:space="preserve">21864</t>
  </si>
  <si>
    <t xml:space="preserve">UNION JACK HOT WATER BOTTLE</t>
  </si>
  <si>
    <t xml:space="preserve">22125</t>
  </si>
  <si>
    <t xml:space="preserve">UNION STRIPE CUSHION COVER</t>
  </si>
  <si>
    <t xml:space="preserve">21925</t>
  </si>
  <si>
    <t xml:space="preserve">UNION STRIPE WITH FRINGE HAMMOCK</t>
  </si>
  <si>
    <t xml:space="preserve">21922</t>
  </si>
  <si>
    <t xml:space="preserve">URBAN BLACK RIBBONS</t>
  </si>
  <si>
    <t xml:space="preserve">85049H</t>
  </si>
  <si>
    <t xml:space="preserve">URBAN CHIC CHOPSTICKS SET/5</t>
  </si>
  <si>
    <t xml:space="preserve">20989</t>
  </si>
  <si>
    <t xml:space="preserve">UTILTY CABINET WITH HOOKS</t>
  </si>
  <si>
    <t xml:space="preserve">22830</t>
  </si>
  <si>
    <t xml:space="preserve">VANILLA CANDLE IN EMBOSSED ZINC POT</t>
  </si>
  <si>
    <t xml:space="preserve">72805</t>
  </si>
  <si>
    <t xml:space="preserve">VANILLA INCENSE 40 CONES IN TIN</t>
  </si>
  <si>
    <t xml:space="preserve">17090D</t>
  </si>
  <si>
    <t xml:space="preserve">VANILLA INCENSE IN TIN</t>
  </si>
  <si>
    <t xml:space="preserve">17091J</t>
  </si>
  <si>
    <t xml:space="preserve">VANILLA SCENT CAKE CANDLE</t>
  </si>
  <si>
    <t xml:space="preserve">72225D</t>
  </si>
  <si>
    <t xml:space="preserve">VANILLA SCENT CANDLE JEWELLED BOX</t>
  </si>
  <si>
    <t xml:space="preserve">72802C</t>
  </si>
  <si>
    <t xml:space="preserve">VANILLA SCENTED VOTIVE CANDLE</t>
  </si>
  <si>
    <t xml:space="preserve">85230D</t>
  </si>
  <si>
    <t xml:space="preserve">VENDETTA CANVAS PICTURE</t>
  </si>
  <si>
    <t xml:space="preserve">84366</t>
  </si>
  <si>
    <t xml:space="preserve">VICTORIAN GLASS HANGING T-LIGHT</t>
  </si>
  <si>
    <t xml:space="preserve">22178</t>
  </si>
  <si>
    <t xml:space="preserve">VICTORIAN METAL POSTCARD CHRISTMAS</t>
  </si>
  <si>
    <t xml:space="preserve">21134</t>
  </si>
  <si>
    <t xml:space="preserve">VICTORIAN METAL POSTCARD SPRING</t>
  </si>
  <si>
    <t xml:space="preserve">VICTORIAN SEWING BOX LARGE</t>
  </si>
  <si>
    <t xml:space="preserve">VICTORIAN SEWING BOX MEDIUM</t>
  </si>
  <si>
    <t xml:space="preserve">VICTORIAN SEWING BOX SMALL</t>
  </si>
  <si>
    <t xml:space="preserve">VICTORIAN SEWING KIT</t>
  </si>
  <si>
    <t xml:space="preserve">VINTAGE BEAD CHAISE LONG JEWEL BOX</t>
  </si>
  <si>
    <t xml:space="preserve">35652</t>
  </si>
  <si>
    <t xml:space="preserve">VINTAGE BEAD COSMETIC BAG</t>
  </si>
  <si>
    <t xml:space="preserve">35649</t>
  </si>
  <si>
    <t xml:space="preserve">VINTAGE BEAD FILLED PINK CUSHION</t>
  </si>
  <si>
    <t xml:space="preserve">35654</t>
  </si>
  <si>
    <t xml:space="preserve">VINTAGE BEAD NOTEBOOK</t>
  </si>
  <si>
    <t xml:space="preserve">35653</t>
  </si>
  <si>
    <t xml:space="preserve">VINTAGE BEAD PINK EVENING BAG</t>
  </si>
  <si>
    <t xml:space="preserve">35646</t>
  </si>
  <si>
    <t xml:space="preserve">VINTAGE BEAD PINK JEWEL BOX</t>
  </si>
  <si>
    <t xml:space="preserve">35645</t>
  </si>
  <si>
    <t xml:space="preserve">VINTAGE BEAD PINK JEWEL STAND</t>
  </si>
  <si>
    <t xml:space="preserve">35650</t>
  </si>
  <si>
    <t xml:space="preserve">VINTAGE BEAD PINK PURSE</t>
  </si>
  <si>
    <t xml:space="preserve">35648</t>
  </si>
  <si>
    <t xml:space="preserve">VINTAGE BEAD PINK SCARF</t>
  </si>
  <si>
    <t xml:space="preserve">35651</t>
  </si>
  <si>
    <t xml:space="preserve">VINTAGE BEAD PINK SHADE</t>
  </si>
  <si>
    <t xml:space="preserve">35647</t>
  </si>
  <si>
    <t xml:space="preserve">VINTAGE BILLBOARD DRINK ME MUG</t>
  </si>
  <si>
    <t xml:space="preserve">21071</t>
  </si>
  <si>
    <t xml:space="preserve">VINTAGE BILLBOARD LOVE/HATE MUG</t>
  </si>
  <si>
    <t xml:space="preserve">21068</t>
  </si>
  <si>
    <t xml:space="preserve">VINTAGE BILLBOARD MUG</t>
  </si>
  <si>
    <t xml:space="preserve">21070</t>
  </si>
  <si>
    <t xml:space="preserve">VINTAGE BILLBOARD TEA MUG</t>
  </si>
  <si>
    <t xml:space="preserve">21069</t>
  </si>
  <si>
    <t xml:space="preserve">VINTAGE BLUE KITCHEN CABINET</t>
  </si>
  <si>
    <t xml:space="preserve">22656</t>
  </si>
  <si>
    <t xml:space="preserve">VINTAGE BLUE TINSEL REEL</t>
  </si>
  <si>
    <t xml:space="preserve">21268</t>
  </si>
  <si>
    <t xml:space="preserve">VINTAGE CARAVAN GIFT WRAP</t>
  </si>
  <si>
    <t xml:space="preserve">22052</t>
  </si>
  <si>
    <t xml:space="preserve">VINTAGE CARAVAN GREETING CARD</t>
  </si>
  <si>
    <t xml:space="preserve">22035</t>
  </si>
  <si>
    <t xml:space="preserve">VINTAGE COLLAGE GREETING CARD</t>
  </si>
  <si>
    <t xml:space="preserve">21511</t>
  </si>
  <si>
    <t xml:space="preserve">VINTAGE CREAM 3 BASKET CAKE STAND</t>
  </si>
  <si>
    <t xml:space="preserve">VINTAGE CREAM CAT FOOD CONTAINER</t>
  </si>
  <si>
    <t xml:space="preserve">22845</t>
  </si>
  <si>
    <t xml:space="preserve">VINTAGE CREAM DOG FOOD CONTAINER</t>
  </si>
  <si>
    <t xml:space="preserve">22844</t>
  </si>
  <si>
    <t xml:space="preserve">VINTAGE DESIGN GIFT TAGS</t>
  </si>
  <si>
    <t xml:space="preserve">21493</t>
  </si>
  <si>
    <t xml:space="preserve">VINTAGE ENAMEL &amp; CRYSTAL EARRINGS</t>
  </si>
  <si>
    <t xml:space="preserve">90073</t>
  </si>
  <si>
    <t xml:space="preserve">VINTAGE ENAMEL &amp; CRYSTAL NECKLACE</t>
  </si>
  <si>
    <t xml:space="preserve">90079</t>
  </si>
  <si>
    <t xml:space="preserve">VINTAGE GLASS COFFEE CADDY</t>
  </si>
  <si>
    <t xml:space="preserve">21662</t>
  </si>
  <si>
    <t xml:space="preserve">VINTAGE GLASS SUGAR CADDY</t>
  </si>
  <si>
    <t xml:space="preserve">21663</t>
  </si>
  <si>
    <t xml:space="preserve">VINTAGE GLASS TEA CADDY</t>
  </si>
  <si>
    <t xml:space="preserve">21661</t>
  </si>
  <si>
    <t xml:space="preserve">VINTAGE GOLD TINSEL REEL</t>
  </si>
  <si>
    <t xml:space="preserve">21412</t>
  </si>
  <si>
    <t xml:space="preserve">VINTAGE HEADS AND TAILS CARD GAME</t>
  </si>
  <si>
    <t xml:space="preserve">VINTAGE KEEPSAKE BOX BEAUTY GIRL</t>
  </si>
  <si>
    <t xml:space="preserve">20905</t>
  </si>
  <si>
    <t xml:space="preserve">VINTAGE KEEPSAKE BOX PARIS DAYS</t>
  </si>
  <si>
    <t xml:space="preserve">20902</t>
  </si>
  <si>
    <t xml:space="preserve">VINTAGE KEEPSAKE BOX PINK FLOWER</t>
  </si>
  <si>
    <t xml:space="preserve">20901</t>
  </si>
  <si>
    <t xml:space="preserve">VINTAGE KEEPSAKE BOX TRAVELOGUE</t>
  </si>
  <si>
    <t xml:space="preserve">20903</t>
  </si>
  <si>
    <t xml:space="preserve">VINTAGE KID DOLLY CARD</t>
  </si>
  <si>
    <t xml:space="preserve">VINTAGE KITCHEN PRINT FRUITS</t>
  </si>
  <si>
    <t xml:space="preserve">21279</t>
  </si>
  <si>
    <t xml:space="preserve">VINTAGE KITCHEN PRINT PUDDINGS</t>
  </si>
  <si>
    <t xml:space="preserve">21278</t>
  </si>
  <si>
    <t xml:space="preserve">VINTAGE KITCHEN PRINT SEAFOOD</t>
  </si>
  <si>
    <t xml:space="preserve">21281</t>
  </si>
  <si>
    <t xml:space="preserve">VINTAGE KITCHEN PRINT VEGETABLES</t>
  </si>
  <si>
    <t xml:space="preserve">21280</t>
  </si>
  <si>
    <t xml:space="preserve">VINTAGE METAL CAKE STAND CREAM</t>
  </si>
  <si>
    <t xml:space="preserve">21772</t>
  </si>
  <si>
    <t xml:space="preserve">VINTAGE NOTEBOOK BEAUTY GIRL</t>
  </si>
  <si>
    <t xml:space="preserve">20906</t>
  </si>
  <si>
    <t xml:space="preserve">VINTAGE NOTEBOOK FRENCH LETTER</t>
  </si>
  <si>
    <t xml:space="preserve">20895</t>
  </si>
  <si>
    <t xml:space="preserve">VINTAGE NOTEBOOK PARIS DAYS</t>
  </si>
  <si>
    <t xml:space="preserve">20897</t>
  </si>
  <si>
    <t xml:space="preserve">VINTAGE NOTEBOOK PINK FLOWER</t>
  </si>
  <si>
    <t xml:space="preserve">20896</t>
  </si>
  <si>
    <t xml:space="preserve">VINTAGE NOTEBOOK RED ROSE</t>
  </si>
  <si>
    <t xml:space="preserve">20899</t>
  </si>
  <si>
    <t xml:space="preserve">VINTAGE NOTEBOOK TRAVELOGUE</t>
  </si>
  <si>
    <t xml:space="preserve">20898</t>
  </si>
  <si>
    <t xml:space="preserve">VINTAGE PAISLEY STATIONERY SET</t>
  </si>
  <si>
    <t xml:space="preserve">21992</t>
  </si>
  <si>
    <t xml:space="preserve">VINTAGE PHOTO ALBUM PARIS DAYS</t>
  </si>
  <si>
    <t xml:space="preserve">20910</t>
  </si>
  <si>
    <t xml:space="preserve">VINTAGE PINK DECORATIVE PARASOL</t>
  </si>
  <si>
    <t xml:space="preserve">21632</t>
  </si>
  <si>
    <t xml:space="preserve">VINTAGE PINK TINSEL REEL</t>
  </si>
  <si>
    <t xml:space="preserve">21267</t>
  </si>
  <si>
    <t xml:space="preserve">VINTAGE POST OFFICE CABINET</t>
  </si>
  <si>
    <t xml:space="preserve">21769</t>
  </si>
  <si>
    <t xml:space="preserve">VINTAGE RED KITCHEN CABINET</t>
  </si>
  <si>
    <t xml:space="preserve">22655</t>
  </si>
  <si>
    <t xml:space="preserve">VINTAGE RED MUG</t>
  </si>
  <si>
    <t xml:space="preserve">21066</t>
  </si>
  <si>
    <t xml:space="preserve">VINTAGE RED TEATIME MUG</t>
  </si>
  <si>
    <t xml:space="preserve">21067</t>
  </si>
  <si>
    <t xml:space="preserve">VINTAGE ROSE BEAD BRACELET BLACK</t>
  </si>
  <si>
    <t xml:space="preserve">90198B</t>
  </si>
  <si>
    <t xml:space="preserve">VINTAGE ROSE BEAD BRACELET BLUE</t>
  </si>
  <si>
    <t xml:space="preserve">90121B</t>
  </si>
  <si>
    <t xml:space="preserve">VINTAGE ROSE BEAD BRACELET RASPBERR</t>
  </si>
  <si>
    <t xml:space="preserve">90198A</t>
  </si>
  <si>
    <t xml:space="preserve">VINTAGE SEASIDE JIGSAW PUZZLES</t>
  </si>
  <si>
    <t xml:space="preserve">21913</t>
  </si>
  <si>
    <t xml:space="preserve">VINTAGE SHELLS PRINT</t>
  </si>
  <si>
    <t xml:space="preserve">21758</t>
  </si>
  <si>
    <t xml:space="preserve">VINTAGE SILVER TINSEL REEL</t>
  </si>
  <si>
    <t xml:space="preserve">21266</t>
  </si>
  <si>
    <t xml:space="preserve">VINTAGE SNAKES &amp; LADDERS</t>
  </si>
  <si>
    <t xml:space="preserve">VINTAGE SNAP CARDS</t>
  </si>
  <si>
    <t xml:space="preserve">VINTAGE UNION JACK APRON</t>
  </si>
  <si>
    <t xml:space="preserve">21625</t>
  </si>
  <si>
    <t xml:space="preserve">VINTAGE UNION JACK BUNTING</t>
  </si>
  <si>
    <t xml:space="preserve">VINTAGE UNION JACK CUSHION COVER</t>
  </si>
  <si>
    <t xml:space="preserve">21622</t>
  </si>
  <si>
    <t xml:space="preserve">VINTAGE UNION JACK DOORSTOP</t>
  </si>
  <si>
    <t xml:space="preserve">21624</t>
  </si>
  <si>
    <t xml:space="preserve">VINTAGE UNION JACK MEMOBOARD</t>
  </si>
  <si>
    <t xml:space="preserve">VINTAGE UNION JACK PENNANT</t>
  </si>
  <si>
    <t xml:space="preserve">21626</t>
  </si>
  <si>
    <t xml:space="preserve">VINTAGE UNION JACK SHOPPING BAG</t>
  </si>
  <si>
    <t xml:space="preserve">22611</t>
  </si>
  <si>
    <t xml:space="preserve">VINTAGE WOODEN BAR STOOL</t>
  </si>
  <si>
    <t xml:space="preserve">21763</t>
  </si>
  <si>
    <t xml:space="preserve">VINTAGE WOODEN PLATE RACK</t>
  </si>
  <si>
    <t xml:space="preserve">21764</t>
  </si>
  <si>
    <t xml:space="preserve">VINYL RECORD FRAME SILVER</t>
  </si>
  <si>
    <t xml:space="preserve">82001S</t>
  </si>
  <si>
    <t xml:space="preserve">VIP HOLIDAY PURSE</t>
  </si>
  <si>
    <t xml:space="preserve">20670</t>
  </si>
  <si>
    <t xml:space="preserve">VIP LUGGAGE TAG</t>
  </si>
  <si>
    <t xml:space="preserve">20660</t>
  </si>
  <si>
    <t xml:space="preserve">VIPPASSPORT COVER</t>
  </si>
  <si>
    <t xml:space="preserve">20622</t>
  </si>
  <si>
    <t xml:space="preserve">WAKE UP COCKEREL CALENDAR SIGN</t>
  </si>
  <si>
    <t xml:space="preserve">84924A</t>
  </si>
  <si>
    <t xml:space="preserve">WAKE UP COCKEREL TILE COASTER</t>
  </si>
  <si>
    <t xml:space="preserve">84926A</t>
  </si>
  <si>
    <t xml:space="preserve">WAKE UP COCKEREL TILE HOOK</t>
  </si>
  <si>
    <t xml:space="preserve">84927A</t>
  </si>
  <si>
    <t xml:space="preserve">WAKE UP COCKEREL WALL THERMOMETER</t>
  </si>
  <si>
    <t xml:space="preserve">84925A</t>
  </si>
  <si>
    <t xml:space="preserve">WALL MIRROR , DIAMANTE OVAL SHAPE</t>
  </si>
  <si>
    <t xml:space="preserve">22167</t>
  </si>
  <si>
    <t xml:space="preserve">WALL MIRROR , RECT DIAMANTE, PINK/</t>
  </si>
  <si>
    <t xml:space="preserve">22166</t>
  </si>
  <si>
    <t xml:space="preserve">WALL MOUNTED VINTAGE ORGANISER</t>
  </si>
  <si>
    <t xml:space="preserve">21768</t>
  </si>
  <si>
    <t xml:space="preserve">WALL TIDY RETROSPOT</t>
  </si>
  <si>
    <t xml:space="preserve">22378</t>
  </si>
  <si>
    <t xml:space="preserve">WASH BAG VINTAGE ROSE PAISLEY</t>
  </si>
  <si>
    <t xml:space="preserve">22276</t>
  </si>
  <si>
    <t xml:space="preserve">WASHROOM METAL SIGN</t>
  </si>
  <si>
    <t xml:space="preserve">82552</t>
  </si>
  <si>
    <t xml:space="preserve">WATERING CAN BLUE ELEPHANT</t>
  </si>
  <si>
    <t xml:space="preserve">WATERING CAN GARDEN MARKER</t>
  </si>
  <si>
    <t xml:space="preserve">22477</t>
  </si>
  <si>
    <t xml:space="preserve">WATERING CAN GREEN DINOSAUR</t>
  </si>
  <si>
    <t xml:space="preserve">22433</t>
  </si>
  <si>
    <t xml:space="preserve">WATERING CAN PINK BUNNY</t>
  </si>
  <si>
    <t xml:space="preserve">WATERING CAN SINGLE HOOK PISTACHIO</t>
  </si>
  <si>
    <t xml:space="preserve">85119</t>
  </si>
  <si>
    <t xml:space="preserve">WATERMELON BATH SPONGE</t>
  </si>
  <si>
    <t xml:space="preserve">20960</t>
  </si>
  <si>
    <t xml:space="preserve">WAVELINE SURF IRONING BOARD COVER</t>
  </si>
  <si>
    <t xml:space="preserve">47563B</t>
  </si>
  <si>
    <t xml:space="preserve">WAY OUT METAL SIGN</t>
  </si>
  <si>
    <t xml:space="preserve">21910</t>
  </si>
  <si>
    <t xml:space="preserve">WEEKEND BAG VINTAGE ROSE PAISLEY</t>
  </si>
  <si>
    <t xml:space="preserve">22275</t>
  </si>
  <si>
    <t xml:space="preserve">WELCOME METAL SIGN</t>
  </si>
  <si>
    <t xml:space="preserve">85151</t>
  </si>
  <si>
    <t xml:space="preserve">WELCOME WOODEN BLOCK LETTERS</t>
  </si>
  <si>
    <t xml:space="preserve">22120</t>
  </si>
  <si>
    <t xml:space="preserve">WHEELBARROW FOR CHILDREN</t>
  </si>
  <si>
    <t xml:space="preserve">22526</t>
  </si>
  <si>
    <t xml:space="preserve">WHITE 3 FRAME BIRDS AND TREE</t>
  </si>
  <si>
    <t xml:space="preserve">84629</t>
  </si>
  <si>
    <t xml:space="preserve">WHITE ADVENT CANDLE</t>
  </si>
  <si>
    <t xml:space="preserve">72529W</t>
  </si>
  <si>
    <t xml:space="preserve">WHITE ALLIUM ARTIFICIAL FLOWER</t>
  </si>
  <si>
    <t xml:space="preserve">84803B</t>
  </si>
  <si>
    <t xml:space="preserve">WHITE AND BLUE CERAMIC OIL BURNER</t>
  </si>
  <si>
    <t xml:space="preserve">18094C</t>
  </si>
  <si>
    <t xml:space="preserve">WHITE ANEMONE ARTIFICIAL FLOWER</t>
  </si>
  <si>
    <t xml:space="preserve">84802A</t>
  </si>
  <si>
    <t xml:space="preserve">WHITE BAMBOO RIBS LAMPSHADE</t>
  </si>
  <si>
    <t xml:space="preserve">40001</t>
  </si>
  <si>
    <t xml:space="preserve">40002</t>
  </si>
  <si>
    <t xml:space="preserve">40003</t>
  </si>
  <si>
    <t xml:space="preserve">WHITE BAROQUE CARRIAGE CLOCK</t>
  </si>
  <si>
    <t xml:space="preserve">85168A</t>
  </si>
  <si>
    <t xml:space="preserve">WHITE BAROQUE WALL CLOCK</t>
  </si>
  <si>
    <t xml:space="preserve">85163A</t>
  </si>
  <si>
    <t xml:space="preserve">WHITE BEADED GARLAND STRING 20LIGHT</t>
  </si>
  <si>
    <t xml:space="preserve">85047</t>
  </si>
  <si>
    <t xml:space="preserve">WHITE BELL HONEYCOMB PAPER</t>
  </si>
  <si>
    <t xml:space="preserve">21192</t>
  </si>
  <si>
    <t xml:space="preserve">WHITE BELL HONEYCOMB PAPER GARLAND</t>
  </si>
  <si>
    <t xml:space="preserve">21187</t>
  </si>
  <si>
    <t xml:space="preserve">WHITE BIRD GARDEN DESIGN MUG</t>
  </si>
  <si>
    <t xml:space="preserve">85160A</t>
  </si>
  <si>
    <t xml:space="preserve">WHITE BITTY LIGHT CHAIN</t>
  </si>
  <si>
    <t xml:space="preserve">85179B</t>
  </si>
  <si>
    <t xml:space="preserve">WHITE BROCANTE SOAP DISH</t>
  </si>
  <si>
    <t xml:space="preserve">22831</t>
  </si>
  <si>
    <t xml:space="preserve">WHITE CANDYSTUFT ARTIFICIAL FLOWER</t>
  </si>
  <si>
    <t xml:space="preserve">84806B</t>
  </si>
  <si>
    <t xml:space="preserve">WHITE CERAMIC PARTY SET (5PCS)</t>
  </si>
  <si>
    <t xml:space="preserve">84081</t>
  </si>
  <si>
    <t xml:space="preserve">WHITE CHERRY LIGHTS</t>
  </si>
  <si>
    <t xml:space="preserve">79323W</t>
  </si>
  <si>
    <t xml:space="preserve">WHITE CHOCOLATE SCENT CANDLE</t>
  </si>
  <si>
    <t xml:space="preserve">72739B</t>
  </si>
  <si>
    <t xml:space="preserve">WHITE CHRISTMAS FLOCK DROPLET</t>
  </si>
  <si>
    <t xml:space="preserve">35610C</t>
  </si>
  <si>
    <t xml:space="preserve">WHITE CHRISTMAS GARLAND STARS TREES</t>
  </si>
  <si>
    <t xml:space="preserve">21804</t>
  </si>
  <si>
    <t xml:space="preserve">WHITE CHRISTMAS HEART DECORATION</t>
  </si>
  <si>
    <t xml:space="preserve">21806</t>
  </si>
  <si>
    <t xml:space="preserve">WHITE CHRISTMAS STAR DECORATION</t>
  </si>
  <si>
    <t xml:space="preserve">21807</t>
  </si>
  <si>
    <t xml:space="preserve">WHITE CHRISTMAS TREE 60CM</t>
  </si>
  <si>
    <t xml:space="preserve">35598C</t>
  </si>
  <si>
    <t xml:space="preserve">WHITE CHRISTMAS TREE DECORATION</t>
  </si>
  <si>
    <t xml:space="preserve">21805</t>
  </si>
  <si>
    <t xml:space="preserve">WHITE CHRYSANTHEMUMS ART FLOWER</t>
  </si>
  <si>
    <t xml:space="preserve">84809A</t>
  </si>
  <si>
    <t xml:space="preserve">WHITE DOVE HONEYCOMB PAPER GARLAND</t>
  </si>
  <si>
    <t xml:space="preserve">21186</t>
  </si>
  <si>
    <t xml:space="preserve">WHITE ENAMEL FLOWER HAIR TIE</t>
  </si>
  <si>
    <t xml:space="preserve">90202B</t>
  </si>
  <si>
    <t xml:space="preserve">WHITE FOXGLOVE ARTIIFCIAL FLOWER</t>
  </si>
  <si>
    <t xml:space="preserve">84798C</t>
  </si>
  <si>
    <t xml:space="preserve">WHITE FRANGIPANI HAIR CLIP</t>
  </si>
  <si>
    <t xml:space="preserve">90102</t>
  </si>
  <si>
    <t xml:space="preserve">WHITE FRANGIPANI NECKLACE</t>
  </si>
  <si>
    <t xml:space="preserve">90101</t>
  </si>
  <si>
    <t xml:space="preserve">WHITE GLASS CHUNKY CHARM BRACELET</t>
  </si>
  <si>
    <t xml:space="preserve">90175A</t>
  </si>
  <si>
    <t xml:space="preserve">WHITE GLASS TV TRIPLE FRAME</t>
  </si>
  <si>
    <t xml:space="preserve">84425A</t>
  </si>
  <si>
    <t xml:space="preserve">WHITE GOOSE FEATHER CHRISTMAS TREE</t>
  </si>
  <si>
    <t xml:space="preserve">21262</t>
  </si>
  <si>
    <t xml:space="preserve">WHITE GOOSE FEATHER TREE 60CM</t>
  </si>
  <si>
    <t xml:space="preserve">21264</t>
  </si>
  <si>
    <t xml:space="preserve">WHITE GRAND BAROQUE PHOTO FRAME</t>
  </si>
  <si>
    <t xml:space="preserve">85167A</t>
  </si>
  <si>
    <t xml:space="preserve">WHITE HAND TOWEL WITH BUTTERFLY</t>
  </si>
  <si>
    <t xml:space="preserve">84917</t>
  </si>
  <si>
    <t xml:space="preserve">WHITE HANGING BEADS CANDLE HOLDER</t>
  </si>
  <si>
    <t xml:space="preserve">71038</t>
  </si>
  <si>
    <t xml:space="preserve">WHITE HANGING HEART T-LIGHT HOLDER</t>
  </si>
  <si>
    <t xml:space="preserve">WHITE HEART CONFETTI IN TUBE</t>
  </si>
  <si>
    <t xml:space="preserve">WHITE HEART OF GLASS BRACELET</t>
  </si>
  <si>
    <t xml:space="preserve">90123D</t>
  </si>
  <si>
    <t xml:space="preserve">WHITE HONEYCOMB PAPER FAN</t>
  </si>
  <si>
    <t xml:space="preserve">21193</t>
  </si>
  <si>
    <t xml:space="preserve">WHITE HONEYCOMB PAPER GARLAND</t>
  </si>
  <si>
    <t xml:space="preserve">21189</t>
  </si>
  <si>
    <t xml:space="preserve">WHITE HYDRANGEA ART FLOWER</t>
  </si>
  <si>
    <t xml:space="preserve">84801B</t>
  </si>
  <si>
    <t xml:space="preserve">WHITE JEWELLED HEART DECORATION</t>
  </si>
  <si>
    <t xml:space="preserve">85061W</t>
  </si>
  <si>
    <t xml:space="preserve">WHITE LOVEBIRD LANTERN</t>
  </si>
  <si>
    <t xml:space="preserve">22224</t>
  </si>
  <si>
    <t xml:space="preserve">WHITE METAL BAROQUE PHOTO FRAME</t>
  </si>
  <si>
    <t xml:space="preserve">85166A</t>
  </si>
  <si>
    <t xml:space="preserve">WHITE METAL LANTERN</t>
  </si>
  <si>
    <t xml:space="preserve">WHITE MURANO TWIST BRACELET</t>
  </si>
  <si>
    <t xml:space="preserve">90120D</t>
  </si>
  <si>
    <t xml:space="preserve">WHITE NEWBAROQUE CANDLESTICK CANDLE</t>
  </si>
  <si>
    <t xml:space="preserve">84625D</t>
  </si>
  <si>
    <t xml:space="preserve">WHITE PEARL BEADED HEART, SMALL</t>
  </si>
  <si>
    <t xml:space="preserve">85129A</t>
  </si>
  <si>
    <t xml:space="preserve">WHITE PICNIC BARBECUE BUCKET</t>
  </si>
  <si>
    <t xml:space="preserve">84762A</t>
  </si>
  <si>
    <t xml:space="preserve">WHITE RETRODISC LAMPSHADE</t>
  </si>
  <si>
    <t xml:space="preserve">85162C</t>
  </si>
  <si>
    <t xml:space="preserve">WHITE ROHMBIC BLOCK TABLE LAMP</t>
  </si>
  <si>
    <t xml:space="preserve">79303A</t>
  </si>
  <si>
    <t xml:space="preserve">WHITE ROSE C/COVER</t>
  </si>
  <si>
    <t xml:space="preserve">84656</t>
  </si>
  <si>
    <t xml:space="preserve">WHITE ROSEBUD &amp; PEARL NECKLACE</t>
  </si>
  <si>
    <t xml:space="preserve">90163B</t>
  </si>
  <si>
    <t xml:space="preserve">WHITE ROSEBUD PEARL BRACELET</t>
  </si>
  <si>
    <t xml:space="preserve">90164B</t>
  </si>
  <si>
    <t xml:space="preserve">WHITE ROSEBUD PEARL EARRINGS</t>
  </si>
  <si>
    <t xml:space="preserve">90165B</t>
  </si>
  <si>
    <t xml:space="preserve">WHITE ROUND PORCELAIN TLIGHT HOLDER</t>
  </si>
  <si>
    <t xml:space="preserve">18096C</t>
  </si>
  <si>
    <t xml:space="preserve">WHITE SAGE INCENSE</t>
  </si>
  <si>
    <t xml:space="preserve">21167</t>
  </si>
  <si>
    <t xml:space="preserve">WHITE SATIN DRESS JEWEL STAND</t>
  </si>
  <si>
    <t xml:space="preserve">84570B</t>
  </si>
  <si>
    <t xml:space="preserve">WHITE SCANDINAVIAN HEART CHRISTMAS</t>
  </si>
  <si>
    <t xml:space="preserve">35976B</t>
  </si>
  <si>
    <t xml:space="preserve">WHITE SILVER NECKLACE SHELL GLASS</t>
  </si>
  <si>
    <t xml:space="preserve">90034</t>
  </si>
  <si>
    <t xml:space="preserve">WHITE SKULL HOT WATER BOTTLE</t>
  </si>
  <si>
    <t xml:space="preserve">WHITE SNOW SCANDINAVIAN STOCKING</t>
  </si>
  <si>
    <t xml:space="preserve">35981C</t>
  </si>
  <si>
    <t xml:space="preserve">WHITE SOAP RACK WITH 2 BOTTLES</t>
  </si>
  <si>
    <t xml:space="preserve">WHITE SPOT BLUE CERAMIC DRAWER KNOB</t>
  </si>
  <si>
    <t xml:space="preserve">21673</t>
  </si>
  <si>
    <t xml:space="preserve">WHITE SPOT RED CERAMIC DRAWER KNOB</t>
  </si>
  <si>
    <t xml:space="preserve">WHITE SQUARE TABLE CLOCK</t>
  </si>
  <si>
    <t xml:space="preserve">WHITE STITCHED CUSHION COVER</t>
  </si>
  <si>
    <t xml:space="preserve">84658</t>
  </si>
  <si>
    <t xml:space="preserve">WHITE STITCHED WALL CLOCK</t>
  </si>
  <si>
    <t xml:space="preserve">84660A</t>
  </si>
  <si>
    <t xml:space="preserve">WHITE STONE/CRYSTAL EARRINGS</t>
  </si>
  <si>
    <t xml:space="preserve">90130A</t>
  </si>
  <si>
    <t xml:space="preserve">WHITE SWEETHEARTS CABINET 4 DRAWERS</t>
  </si>
  <si>
    <t xml:space="preserve">84837</t>
  </si>
  <si>
    <t xml:space="preserve">WHITE TALL PORCELAIN T-LIGHT HOLDER</t>
  </si>
  <si>
    <t xml:space="preserve">18097C</t>
  </si>
  <si>
    <t xml:space="preserve">WHITE TEA,COFFEE,SUGAR JARS</t>
  </si>
  <si>
    <t xml:space="preserve">85159B</t>
  </si>
  <si>
    <t xml:space="preserve">WHITE TISSUE REAM</t>
  </si>
  <si>
    <t xml:space="preserve">22415</t>
  </si>
  <si>
    <t xml:space="preserve">WHITE TRAVEL ALARM CLOCK</t>
  </si>
  <si>
    <t xml:space="preserve">84659A</t>
  </si>
  <si>
    <t xml:space="preserve">WHITE VINT ART DECO CRYSTAL NECKLAC</t>
  </si>
  <si>
    <t xml:space="preserve">90063A</t>
  </si>
  <si>
    <t xml:space="preserve">WHITE VINTAGE CRYSTAL BRACELET</t>
  </si>
  <si>
    <t xml:space="preserve">90065A</t>
  </si>
  <si>
    <t xml:space="preserve">WHITE VINTAGE CRYSTAL EARRINGS</t>
  </si>
  <si>
    <t xml:space="preserve">90064A</t>
  </si>
  <si>
    <t xml:space="preserve">WHITE WIRE EGG HOLDER</t>
  </si>
  <si>
    <t xml:space="preserve">84880</t>
  </si>
  <si>
    <t xml:space="preserve">WHITE WITH BLACK CATS BOWL</t>
  </si>
  <si>
    <t xml:space="preserve">37422</t>
  </si>
  <si>
    <t xml:space="preserve">WHITE WITH BLACK CATS MUG</t>
  </si>
  <si>
    <t xml:space="preserve">37424</t>
  </si>
  <si>
    <t xml:space="preserve">WHITE WITH BLACK CATS PLATE</t>
  </si>
  <si>
    <t xml:space="preserve">37423</t>
  </si>
  <si>
    <t xml:space="preserve">WHITE WITH METAL BAG CHARM</t>
  </si>
  <si>
    <t xml:space="preserve">90046</t>
  </si>
  <si>
    <t xml:space="preserve">WHITE WOOD GARDEN PLANT LADDER</t>
  </si>
  <si>
    <t xml:space="preserve">WHITE WOOD SINGLE P/FRAME</t>
  </si>
  <si>
    <t xml:space="preserve">82072</t>
  </si>
  <si>
    <t xml:space="preserve">WHITE/BLUE PULL BACK RACING CAR</t>
  </si>
  <si>
    <t xml:space="preserve">85226A</t>
  </si>
  <si>
    <t xml:space="preserve">WHITE/PINK CHICK DECORATION</t>
  </si>
  <si>
    <t xml:space="preserve">35912B</t>
  </si>
  <si>
    <t xml:space="preserve">WHITE/PINK CHICK EASTER DECORATION</t>
  </si>
  <si>
    <t xml:space="preserve">35913B</t>
  </si>
  <si>
    <t xml:space="preserve">WHITE/PINK MINI CRYSTALS NECKLACE</t>
  </si>
  <si>
    <t xml:space="preserve">90138</t>
  </si>
  <si>
    <t xml:space="preserve">WICKER STAR</t>
  </si>
  <si>
    <t xml:space="preserve">22694</t>
  </si>
  <si>
    <t xml:space="preserve">WICKER WREATH LARGE</t>
  </si>
  <si>
    <t xml:space="preserve">22696</t>
  </si>
  <si>
    <t xml:space="preserve">WICKER WREATH SMALL</t>
  </si>
  <si>
    <t xml:space="preserve">22695</t>
  </si>
  <si>
    <t xml:space="preserve">WILLOW BRANCH LIGHTS.</t>
  </si>
  <si>
    <t xml:space="preserve">79341</t>
  </si>
  <si>
    <t xml:space="preserve">WINE BOTTLE DRESSING DARK BLUE</t>
  </si>
  <si>
    <t xml:space="preserve">47013C</t>
  </si>
  <si>
    <t xml:space="preserve">WINE BOTTLE DRESSING LT.BLUE</t>
  </si>
  <si>
    <t xml:space="preserve">47013A</t>
  </si>
  <si>
    <t xml:space="preserve">WIRE FLOWER T-LIGHT HOLDER</t>
  </si>
  <si>
    <t xml:space="preserve">84977</t>
  </si>
  <si>
    <t xml:space="preserve">WISE MAN STAR SHAPE EGG PAN</t>
  </si>
  <si>
    <t xml:space="preserve">84388</t>
  </si>
  <si>
    <t xml:space="preserve">WOBBLING METAL CHICKEN EASTER</t>
  </si>
  <si>
    <t xml:space="preserve">84454</t>
  </si>
  <si>
    <t xml:space="preserve">WOOD 2 DRAWER CABINET WHITE FINISH</t>
  </si>
  <si>
    <t xml:space="preserve">82483</t>
  </si>
  <si>
    <t xml:space="preserve">WOOD AND GLASS MEDICINE CABINET</t>
  </si>
  <si>
    <t xml:space="preserve">21761</t>
  </si>
  <si>
    <t xml:space="preserve">WOOD BLACK BOARD ANT WHITE FINISH</t>
  </si>
  <si>
    <t xml:space="preserve">82484</t>
  </si>
  <si>
    <t xml:space="preserve">WOOD FAN WITH FLOWER DESIGN</t>
  </si>
  <si>
    <t xml:space="preserve">85060</t>
  </si>
  <si>
    <t xml:space="preserve">WOOD S/3 CABINET ANT WHITE FINISH</t>
  </si>
  <si>
    <t xml:space="preserve">WOOD STAMP SET BEST WISHES</t>
  </si>
  <si>
    <t xml:space="preserve">WOOD STAMP SET FLOWERS</t>
  </si>
  <si>
    <t xml:space="preserve">22211</t>
  </si>
  <si>
    <t xml:space="preserve">WOOD STAMP SET HAPPY BIRTHDAY</t>
  </si>
  <si>
    <t xml:space="preserve">22209</t>
  </si>
  <si>
    <t xml:space="preserve">WOOD STAMP SET THANK YOU</t>
  </si>
  <si>
    <t xml:space="preserve">WOOD STOCKING CHRISTMAS SCANDISPOT</t>
  </si>
  <si>
    <t xml:space="preserve">22581</t>
  </si>
  <si>
    <t xml:space="preserve">WOOD XMAS TREE 9 FIG SHELVES</t>
  </si>
  <si>
    <t xml:space="preserve">35596</t>
  </si>
  <si>
    <t xml:space="preserve">WOODEN ADVENT CALENDAR CREAM</t>
  </si>
  <si>
    <t xml:space="preserve">22946</t>
  </si>
  <si>
    <t xml:space="preserve">WOODEN ADVENT CALENDAR RED</t>
  </si>
  <si>
    <t xml:space="preserve">22947</t>
  </si>
  <si>
    <t xml:space="preserve">WOODEN BOX ADVENT CALENDAR</t>
  </si>
  <si>
    <t xml:space="preserve">35400</t>
  </si>
  <si>
    <t xml:space="preserve">WOODEN BOX OF DOMINOES</t>
  </si>
  <si>
    <t xml:space="preserve">WOODEN CHRISTMAS TREE 3 HANGING</t>
  </si>
  <si>
    <t xml:space="preserve">35594</t>
  </si>
  <si>
    <t xml:space="preserve">WOODEN CROQUET GARDEN SET</t>
  </si>
  <si>
    <t xml:space="preserve">WOODEN FRAME ANTIQUE WHITE</t>
  </si>
  <si>
    <t xml:space="preserve">82494L</t>
  </si>
  <si>
    <t xml:space="preserve">WOODEN HAPPY BIRTHDAY GARLAND</t>
  </si>
  <si>
    <t xml:space="preserve">WOODEN HEART CHRISTMAS SCANDINAVIAN</t>
  </si>
  <si>
    <t xml:space="preserve">WOODEN OWLS LIGHT GARLAND</t>
  </si>
  <si>
    <t xml:space="preserve">22779</t>
  </si>
  <si>
    <t xml:space="preserve">WOODEN PICTURE FRAME WHITE FINISH</t>
  </si>
  <si>
    <t xml:space="preserve">82482</t>
  </si>
  <si>
    <t xml:space="preserve">WOODEN REGATTA BUNTING</t>
  </si>
  <si>
    <t xml:space="preserve">22498</t>
  </si>
  <si>
    <t xml:space="preserve">WOODEN ROUNDERS GARDEN SET</t>
  </si>
  <si>
    <t xml:space="preserve">WOODEN SCHOOL COLOURING SET</t>
  </si>
  <si>
    <t xml:space="preserve">WOODEN SKITTLES GARDEN SET</t>
  </si>
  <si>
    <t xml:space="preserve">22606</t>
  </si>
  <si>
    <t xml:space="preserve">WOODEN STAR CHRISTMAS SCANDINAVIAN</t>
  </si>
  <si>
    <t xml:space="preserve">WOODEN TREE CHRISTMAS SCANDINAVIAN</t>
  </si>
  <si>
    <t xml:space="preserve">22579</t>
  </si>
  <si>
    <t xml:space="preserve">WOODEN UNION JACK BUNTING</t>
  </si>
  <si>
    <t xml:space="preserve">22499</t>
  </si>
  <si>
    <t xml:space="preserve">WOODLAND ANIMAL WRITING SET</t>
  </si>
  <si>
    <t xml:space="preserve">21330</t>
  </si>
  <si>
    <t xml:space="preserve">WOODLAND CHARLOTTE BAG</t>
  </si>
  <si>
    <t xml:space="preserve">WOODLAND CREATURES WRAP</t>
  </si>
  <si>
    <t xml:space="preserve">21496</t>
  </si>
  <si>
    <t xml:space="preserve">WOODLAND DESIGN COTTON TOTE BAG</t>
  </si>
  <si>
    <t xml:space="preserve">21578</t>
  </si>
  <si>
    <t xml:space="preserve">WOODLAND HEIGHT CHART STICKERS</t>
  </si>
  <si>
    <t xml:space="preserve">21249</t>
  </si>
  <si>
    <t xml:space="preserve">WOODLAND PARTY BAG + STICKER SET</t>
  </si>
  <si>
    <t xml:space="preserve">WOODLAND STICKERS</t>
  </si>
  <si>
    <t xml:space="preserve">21680</t>
  </si>
  <si>
    <t xml:space="preserve">WOODLAND STORAGE BOX LARGE</t>
  </si>
  <si>
    <t xml:space="preserve">21424</t>
  </si>
  <si>
    <t xml:space="preserve">WOODLAND STORAGE BOX SMALL</t>
  </si>
  <si>
    <t xml:space="preserve">21426</t>
  </si>
  <si>
    <t xml:space="preserve">WOODLAND WATER TRANSFER TATTOOS</t>
  </si>
  <si>
    <t xml:space="preserve">21542</t>
  </si>
  <si>
    <t xml:space="preserve">WOOLLY HAT SOCK GLOVE ADVENT STRING</t>
  </si>
  <si>
    <t xml:space="preserve">35832</t>
  </si>
  <si>
    <t xml:space="preserve">WORLD WAR 2 GLIDERS ASSTD DESIGNS</t>
  </si>
  <si>
    <t xml:space="preserve">WOVEN BERRIES CUSHION COVER</t>
  </si>
  <si>
    <t xml:space="preserve">46776B</t>
  </si>
  <si>
    <t xml:space="preserve">WOVEN BUBBLE GUM CUSHION COVER</t>
  </si>
  <si>
    <t xml:space="preserve">46776A</t>
  </si>
  <si>
    <t xml:space="preserve">WOVEN CANDY CUSHION COVER</t>
  </si>
  <si>
    <t xml:space="preserve">46776E</t>
  </si>
  <si>
    <t xml:space="preserve">WOVEN FROST CUSHION COVER</t>
  </si>
  <si>
    <t xml:space="preserve">46776C</t>
  </si>
  <si>
    <t xml:space="preserve">WOVEN ROSE GARDEN CUSHION COVER</t>
  </si>
  <si>
    <t xml:space="preserve">46776F</t>
  </si>
  <si>
    <t xml:space="preserve">WOVEN SUNSET CUSHION COVER</t>
  </si>
  <si>
    <t xml:space="preserve">46776D</t>
  </si>
  <si>
    <t xml:space="preserve">WRAP , SUMMER ROSE DESIGN</t>
  </si>
  <si>
    <t xml:space="preserve">22987</t>
  </si>
  <si>
    <t xml:space="preserve">WRAP BAD HAIR DAY</t>
  </si>
  <si>
    <t xml:space="preserve">16161G</t>
  </si>
  <si>
    <t xml:space="preserve">WRAP BLIZZARD</t>
  </si>
  <si>
    <t xml:space="preserve">16169F</t>
  </si>
  <si>
    <t xml:space="preserve">WRAP BLUE REINDEER</t>
  </si>
  <si>
    <t xml:space="preserve">16169C</t>
  </si>
  <si>
    <t xml:space="preserve">WRAP BLUE RUSSIAN FOLKART</t>
  </si>
  <si>
    <t xml:space="preserve">16169N</t>
  </si>
  <si>
    <t xml:space="preserve">WRAP BOUDOIR</t>
  </si>
  <si>
    <t xml:space="preserve">16161E</t>
  </si>
  <si>
    <t xml:space="preserve">WRAP CHRISTMAS DECOUPAGE</t>
  </si>
  <si>
    <t xml:space="preserve">16169A</t>
  </si>
  <si>
    <t xml:space="preserve">WRAP CHRISTMAS SCREEN PRINT</t>
  </si>
  <si>
    <t xml:space="preserve">22049</t>
  </si>
  <si>
    <t xml:space="preserve">WRAP CHRISTMAS VILLAGE</t>
  </si>
  <si>
    <t xml:space="preserve">WRAP CIRCUS PARADE</t>
  </si>
  <si>
    <t xml:space="preserve">WRAP COWBOYS</t>
  </si>
  <si>
    <t xml:space="preserve">WRAP DAISY CARPET</t>
  </si>
  <si>
    <t xml:space="preserve">WRAP DOLLY GIRL</t>
  </si>
  <si>
    <t xml:space="preserve">WRAP ENGLISH ROSE</t>
  </si>
  <si>
    <t xml:space="preserve">WRAP FOLK ART</t>
  </si>
  <si>
    <t xml:space="preserve">16169K</t>
  </si>
  <si>
    <t xml:space="preserve">WRAP GREEN PEARS</t>
  </si>
  <si>
    <t xml:space="preserve">22705</t>
  </si>
  <si>
    <t xml:space="preserve">WRAP GREEN RUSSIAN FOLKART</t>
  </si>
  <si>
    <t xml:space="preserve">16169P</t>
  </si>
  <si>
    <t xml:space="preserve">WRAP I LOVE LONDON</t>
  </si>
  <si>
    <t xml:space="preserve">22710</t>
  </si>
  <si>
    <t xml:space="preserve">WRAP MONSTER FUN</t>
  </si>
  <si>
    <t xml:space="preserve">WRAP PINK FAIRY CAKES</t>
  </si>
  <si>
    <t xml:space="preserve">WRAP PINK FLOCK</t>
  </si>
  <si>
    <t xml:space="preserve">16161M</t>
  </si>
  <si>
    <t xml:space="preserve">WRAP RED APPLES</t>
  </si>
  <si>
    <t xml:space="preserve">WRAP ROMANTIC DECOUPAGE</t>
  </si>
  <si>
    <t xml:space="preserve">16169G</t>
  </si>
  <si>
    <t xml:space="preserve">WRAP SPEED DEMONS</t>
  </si>
  <si>
    <t xml:space="preserve">16161C</t>
  </si>
  <si>
    <t xml:space="preserve">WRAP SWEETS LIGHT PINK SMALL BOWL</t>
  </si>
  <si>
    <t xml:space="preserve">84596I</t>
  </si>
  <si>
    <t xml:space="preserve">WRAP WEDDING DAY</t>
  </si>
  <si>
    <t xml:space="preserve">WRAP WINTER FOREST</t>
  </si>
  <si>
    <t xml:space="preserve">16169D</t>
  </si>
  <si>
    <t xml:space="preserve">WRAP, BILLBOARD FONTS DESIGN</t>
  </si>
  <si>
    <t xml:space="preserve">22985</t>
  </si>
  <si>
    <t xml:space="preserve">WRAP, CAROUSEL</t>
  </si>
  <si>
    <t xml:space="preserve">WRAP, FRIENDSHIP ON GREEN</t>
  </si>
  <si>
    <t xml:space="preserve">16156N</t>
  </si>
  <si>
    <t xml:space="preserve">WRAP,SUKI AND FRIENDS</t>
  </si>
  <si>
    <t xml:space="preserve">YELLOW + BROWN BEAR FELT PURSE KIT</t>
  </si>
  <si>
    <t xml:space="preserve">84899E</t>
  </si>
  <si>
    <t xml:space="preserve">YELLOW BIRDS FELT DES FOODCOVER</t>
  </si>
  <si>
    <t xml:space="preserve">37112</t>
  </si>
  <si>
    <t xml:space="preserve">YELLOW BREAKFAST CUP AND SAUCER</t>
  </si>
  <si>
    <t xml:space="preserve">37444A</t>
  </si>
  <si>
    <t xml:space="preserve">YELLOW COAT RACK PARIS FASHION</t>
  </si>
  <si>
    <t xml:space="preserve">22912</t>
  </si>
  <si>
    <t xml:space="preserve">YELLOW DRAGONFLY HELICOPTER</t>
  </si>
  <si>
    <t xml:space="preserve">85135A</t>
  </si>
  <si>
    <t xml:space="preserve">YELLOW EASTER EGG HUNT START POST</t>
  </si>
  <si>
    <t xml:space="preserve">21459</t>
  </si>
  <si>
    <t xml:space="preserve">YELLOW FELT HANGING HEART W FLOWER</t>
  </si>
  <si>
    <t xml:space="preserve">35916A</t>
  </si>
  <si>
    <t xml:space="preserve">YELLOW FLOWERS FELT HANDBAG KIT</t>
  </si>
  <si>
    <t xml:space="preserve">84898F</t>
  </si>
  <si>
    <t xml:space="preserve">YELLOW GIANT GARDEN THERMOMETER</t>
  </si>
  <si>
    <t xml:space="preserve">22928</t>
  </si>
  <si>
    <t xml:space="preserve">YELLOW KNITTED KIDS RUCKSACK</t>
  </si>
  <si>
    <t xml:space="preserve">84529C</t>
  </si>
  <si>
    <t xml:space="preserve">YELLOW METAL CHICKEN HEART</t>
  </si>
  <si>
    <t xml:space="preserve">84459B</t>
  </si>
  <si>
    <t xml:space="preserve">YELLOW PINK FLOWER DESIGN BIG BOWL</t>
  </si>
  <si>
    <t xml:space="preserve">37488A</t>
  </si>
  <si>
    <t xml:space="preserve">YELLOW POT PLANT CANDLE</t>
  </si>
  <si>
    <t xml:space="preserve">20933</t>
  </si>
  <si>
    <t xml:space="preserve">YELLOW PURPLE DAISY FELT PURSE KIT</t>
  </si>
  <si>
    <t xml:space="preserve">84899F</t>
  </si>
  <si>
    <t xml:space="preserve">YELLOW RED FLOWER PIGGY BANK</t>
  </si>
  <si>
    <t xml:space="preserve">37492A</t>
  </si>
  <si>
    <t xml:space="preserve">YELLOW SHARK HELICOPTER</t>
  </si>
  <si>
    <t xml:space="preserve">85136A</t>
  </si>
  <si>
    <t xml:space="preserve">YELLOW VW BEETLE CERAMIC MONEY BOX</t>
  </si>
  <si>
    <t xml:space="preserve">84555A</t>
  </si>
  <si>
    <t xml:space="preserve">YELLOW/BLUE RETRO RADIO</t>
  </si>
  <si>
    <t xml:space="preserve">84086B</t>
  </si>
  <si>
    <t xml:space="preserve">YELLOW/PINK CERAMIC CANDLE HOLDER</t>
  </si>
  <si>
    <t xml:space="preserve">37491A</t>
  </si>
  <si>
    <t xml:space="preserve">YELLOW/PINK FLOWER DESIGN BIG MUG</t>
  </si>
  <si>
    <t xml:space="preserve">37489A</t>
  </si>
  <si>
    <t xml:space="preserve">YOU'RE CONFUSING ME METAL SIGN</t>
  </si>
  <si>
    <t xml:space="preserve">YULETIDE IMAGES GIFT WRAP SET</t>
  </si>
  <si>
    <t xml:space="preserve">85032D</t>
  </si>
  <si>
    <t xml:space="preserve">YULETIDE IMAGES S/6 PAPER BOXES</t>
  </si>
  <si>
    <t xml:space="preserve">85018D</t>
  </si>
  <si>
    <t xml:space="preserve">ZINC FINISH 15CM PLANTER POTS</t>
  </si>
  <si>
    <t xml:space="preserve">84763</t>
  </si>
  <si>
    <t xml:space="preserve">ZINC FOLKART SLEIGH BELLS</t>
  </si>
  <si>
    <t xml:space="preserve">ZINC HANGING HEART T-LITE HLDR</t>
  </si>
  <si>
    <t xml:space="preserve">85123B</t>
  </si>
  <si>
    <t xml:space="preserve">ZINC HEART LATTICE 2 WALL PLANTER</t>
  </si>
  <si>
    <t xml:space="preserve">20845</t>
  </si>
  <si>
    <t xml:space="preserve">ZINC HEART LATTICE CHARGER LARGE</t>
  </si>
  <si>
    <t xml:space="preserve">20847</t>
  </si>
  <si>
    <t xml:space="preserve">ZINC HEART LATTICE CHARGER SMALL</t>
  </si>
  <si>
    <t xml:space="preserve">20848</t>
  </si>
  <si>
    <t xml:space="preserve">ZINC HEART LATTICE DOUBLE PLANTER</t>
  </si>
  <si>
    <t xml:space="preserve">20849</t>
  </si>
  <si>
    <t xml:space="preserve">ZINC HEART LATTICE PLANTER BOWL</t>
  </si>
  <si>
    <t xml:space="preserve">20850</t>
  </si>
  <si>
    <t xml:space="preserve">ZINC HEART LATTICE T-LIGHT HOLDER</t>
  </si>
  <si>
    <t xml:space="preserve">20846</t>
  </si>
  <si>
    <t xml:space="preserve">ZINC HEART LATTICE TRAY OVAL</t>
  </si>
  <si>
    <t xml:space="preserve">20851</t>
  </si>
  <si>
    <t xml:space="preserve">ZINC METAL HEART DECORATION</t>
  </si>
  <si>
    <t xml:space="preserve">84836</t>
  </si>
  <si>
    <t xml:space="preserve">ZINC POLICE BOX LANTERN</t>
  </si>
  <si>
    <t xml:space="preserve">84767</t>
  </si>
  <si>
    <t xml:space="preserve">ZINC TOP 2 DOOR WOODEN SHELF</t>
  </si>
  <si>
    <t xml:space="preserve">21275</t>
  </si>
  <si>
    <t xml:space="preserve">ZINC WILLIE WINKIE CANDLE STICK</t>
  </si>
  <si>
    <t xml:space="preserve">84832</t>
  </si>
  <si>
    <t xml:space="preserve">United Kingdom</t>
  </si>
  <si>
    <t xml:space="preserve">EU</t>
  </si>
  <si>
    <t xml:space="preserve">Non-EU</t>
  </si>
  <si>
    <t xml:space="preserve">Chỉ số</t>
  </si>
  <si>
    <t xml:space="preserve">Giá trị</t>
  </si>
  <si>
    <t xml:space="preserve">Số dòng có mã không có trong Catalog</t>
  </si>
  <si>
    <t xml:space="preserve">Số dòng bán thấp hơn giá niêm yết (DiscountPct &gt; 0)</t>
  </si>
  <si>
    <t xml:space="preserve">Tổng doanh thu (GBP)</t>
  </si>
  <si>
    <t xml:space="preserve">Doanh thu của mã không có trong Catalog (GBP)</t>
  </si>
  <si>
    <t xml:space="preserve">Tỉ trọng doanh thu khách EU</t>
  </si>
  <si>
    <t xml:space="preserve">Mã hàng cần tra (nhập)</t>
  </si>
  <si>
    <t xml:space="preserve">Giá niêm yết của mã ở ô B8 (INDEX/MATCH)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</si>
</sst>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D966"/>
        <bgColor rgb="FFFFFF99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3" customFormat="false" ht="28.35" hidden="false" customHeight="false" outlineLevel="0" collapsed="false">
      <c r="A3" s="2" t="s">
        <v>1</v>
      </c>
      <c r="B3" s="3" t="s">
        <v>2</v>
      </c>
    </row>
    <row r="4" customFormat="false" ht="41.7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6" customFormat="false" ht="1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10" customFormat="false" ht="15" hidden="false" customHeight="false" outlineLevel="0" collapsed="false">
      <c r="A10" s="2" t="s">
        <v>13</v>
      </c>
      <c r="B10" s="3" t="s">
        <v>14</v>
      </c>
    </row>
    <row r="11" customFormat="false" ht="15" hidden="false" customHeight="false" outlineLevel="0" collapsed="false">
      <c r="B11" s="3" t="s">
        <v>15</v>
      </c>
    </row>
    <row r="12" customFormat="false" ht="15" hidden="false" customHeight="false" outlineLevel="0" collapsed="false">
      <c r="B12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2" min="2" style="0" width="17"/>
    <col collapsed="false" customWidth="true" hidden="false" outlineLevel="0" max="3" min="3" style="0" width="15"/>
    <col collapsed="false" customWidth="true" hidden="false" outlineLevel="0" max="7" min="7" style="0" width="38"/>
    <col collapsed="false" customWidth="true" hidden="false" outlineLevel="0" max="8" min="8" style="0" width="10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</row>
    <row r="2" customFormat="false" ht="15" hidden="false" customHeight="false" outlineLevel="0" collapsed="false">
      <c r="A2" s="0" t="s">
        <v>28</v>
      </c>
      <c r="B2" s="6" t="n">
        <v>40878.3576388889</v>
      </c>
      <c r="C2" s="0" t="s">
        <v>29</v>
      </c>
      <c r="D2" s="0" t="s">
        <v>30</v>
      </c>
      <c r="E2" s="0" t="n">
        <v>8</v>
      </c>
      <c r="F2" s="0" t="n">
        <v>1.65</v>
      </c>
      <c r="G2" s="7" t="str">
        <f aca="false">_xlfn.XLOOKUP(D2,Catalog!$B$2:$B$4102,Catalog!$A$2:$A$4102,"NOT IN CATALOG")</f>
        <v>MINI CAKE STAND HANGING STRAWBERY</v>
      </c>
      <c r="H2" s="7" t="n">
        <f aca="false">_xlfn.IFNA(VLOOKUP(D2,Catalog!$B$2:$C$4102,2,FALSE()),"")</f>
        <v>1.65</v>
      </c>
      <c r="I2" s="7" t="str">
        <f aca="false">HLOOKUP(C2,Regions!$B$1:$S$2,2,FALSE())</f>
        <v>EU</v>
      </c>
      <c r="J2" s="7" t="n">
        <f aca="false">E2*F2</f>
        <v>13.2</v>
      </c>
      <c r="K2" s="8" t="n">
        <f aca="false">IF(H2="","",1-F2/H2)</f>
        <v>0</v>
      </c>
    </row>
    <row r="3" customFormat="false" ht="15" hidden="false" customHeight="false" outlineLevel="0" collapsed="false">
      <c r="A3" s="0" t="s">
        <v>28</v>
      </c>
      <c r="B3" s="6" t="n">
        <v>40878.3576388889</v>
      </c>
      <c r="C3" s="0" t="s">
        <v>29</v>
      </c>
      <c r="D3" s="0" t="s">
        <v>31</v>
      </c>
      <c r="E3" s="0" t="n">
        <v>12</v>
      </c>
      <c r="F3" s="0" t="n">
        <v>1.25</v>
      </c>
      <c r="G3" s="7" t="str">
        <f aca="false">_xlfn.XLOOKUP(D3,Catalog!$B$2:$B$4102,Catalog!$A$2:$A$4102,"NOT IN CATALOG")</f>
        <v>STRAWBERRY CERAMIC TRINKET BOX</v>
      </c>
      <c r="H3" s="7" t="n">
        <f aca="false">_xlfn.IFNA(VLOOKUP(D3,Catalog!$B$2:$C$4102,2,FALSE()),"")</f>
        <v>1.25</v>
      </c>
      <c r="I3" s="7" t="str">
        <f aca="false">HLOOKUP(C3,Regions!$B$1:$S$2,2,FALSE())</f>
        <v>EU</v>
      </c>
      <c r="J3" s="7" t="n">
        <f aca="false">E3*F3</f>
        <v>15</v>
      </c>
      <c r="K3" s="8" t="n">
        <f aca="false">IF(H3="","",1-F3/H3)</f>
        <v>0</v>
      </c>
    </row>
    <row r="4" customFormat="false" ht="15" hidden="false" customHeight="false" outlineLevel="0" collapsed="false">
      <c r="A4" s="0" t="s">
        <v>28</v>
      </c>
      <c r="B4" s="6" t="n">
        <v>40878.3576388889</v>
      </c>
      <c r="C4" s="0" t="s">
        <v>29</v>
      </c>
      <c r="D4" s="0" t="s">
        <v>32</v>
      </c>
      <c r="E4" s="0" t="n">
        <v>8</v>
      </c>
      <c r="F4" s="0" t="n">
        <v>4.95</v>
      </c>
      <c r="G4" s="7" t="str">
        <f aca="false">_xlfn.XLOOKUP(D4,Catalog!$B$2:$B$4102,Catalog!$A$2:$A$4102,"NOT IN CATALOG")</f>
        <v>STRAWBERRY FAIRY CAKE TEAPOT</v>
      </c>
      <c r="H4" s="7" t="n">
        <f aca="false">_xlfn.IFNA(VLOOKUP(D4,Catalog!$B$2:$C$4102,2,FALSE()),"")</f>
        <v>4.95</v>
      </c>
      <c r="I4" s="7" t="str">
        <f aca="false">HLOOKUP(C4,Regions!$B$1:$S$2,2,FALSE())</f>
        <v>EU</v>
      </c>
      <c r="J4" s="7" t="n">
        <f aca="false">E4*F4</f>
        <v>39.6</v>
      </c>
      <c r="K4" s="8" t="n">
        <f aca="false">IF(H4="","",1-F4/H4)</f>
        <v>0</v>
      </c>
    </row>
    <row r="5" customFormat="false" ht="15" hidden="false" customHeight="false" outlineLevel="0" collapsed="false">
      <c r="A5" s="0" t="s">
        <v>28</v>
      </c>
      <c r="B5" s="6" t="n">
        <v>40878.3576388889</v>
      </c>
      <c r="C5" s="0" t="s">
        <v>29</v>
      </c>
      <c r="D5" s="0" t="s">
        <v>33</v>
      </c>
      <c r="E5" s="0" t="n">
        <v>12</v>
      </c>
      <c r="F5" s="0" t="n">
        <v>1.49</v>
      </c>
      <c r="G5" s="7" t="str">
        <f aca="false">_xlfn.XLOOKUP(D5,Catalog!$B$2:$B$4102,Catalog!$A$2:$A$4102,"NOT IN CATALOG")</f>
        <v>CERAMIC CAKE DESIGN SPOTTED MUG</v>
      </c>
      <c r="H5" s="7" t="n">
        <f aca="false">_xlfn.IFNA(VLOOKUP(D5,Catalog!$B$2:$C$4102,2,FALSE()),"")</f>
        <v>1.49</v>
      </c>
      <c r="I5" s="7" t="str">
        <f aca="false">HLOOKUP(C5,Regions!$B$1:$S$2,2,FALSE())</f>
        <v>EU</v>
      </c>
      <c r="J5" s="7" t="n">
        <f aca="false">E5*F5</f>
        <v>17.88</v>
      </c>
      <c r="K5" s="8" t="n">
        <f aca="false">IF(H5="","",1-F5/H5)</f>
        <v>0</v>
      </c>
    </row>
    <row r="6" customFormat="false" ht="15" hidden="false" customHeight="false" outlineLevel="0" collapsed="false">
      <c r="A6" s="0" t="s">
        <v>28</v>
      </c>
      <c r="B6" s="6" t="n">
        <v>40878.3576388889</v>
      </c>
      <c r="C6" s="0" t="s">
        <v>29</v>
      </c>
      <c r="D6" s="0" t="s">
        <v>34</v>
      </c>
      <c r="E6" s="0" t="n">
        <v>12</v>
      </c>
      <c r="F6" s="0" t="n">
        <v>1.49</v>
      </c>
      <c r="G6" s="7" t="str">
        <f aca="false">_xlfn.XLOOKUP(D6,Catalog!$B$2:$B$4102,Catalog!$A$2:$A$4102,"NOT IN CATALOG")</f>
        <v>CERAMIC CAKE DESIGN SPOTTED PLATE</v>
      </c>
      <c r="H6" s="7" t="n">
        <f aca="false">_xlfn.IFNA(VLOOKUP(D6,Catalog!$B$2:$C$4102,2,FALSE()),"")</f>
        <v>1.49</v>
      </c>
      <c r="I6" s="7" t="str">
        <f aca="false">HLOOKUP(C6,Regions!$B$1:$S$2,2,FALSE())</f>
        <v>EU</v>
      </c>
      <c r="J6" s="7" t="n">
        <f aca="false">E6*F6</f>
        <v>17.88</v>
      </c>
      <c r="K6" s="8" t="n">
        <f aca="false">IF(H6="","",1-F6/H6)</f>
        <v>0</v>
      </c>
    </row>
    <row r="7" customFormat="false" ht="15" hidden="false" customHeight="false" outlineLevel="0" collapsed="false">
      <c r="A7" s="0" t="s">
        <v>28</v>
      </c>
      <c r="B7" s="6" t="n">
        <v>40878.3576388889</v>
      </c>
      <c r="C7" s="0" t="s">
        <v>29</v>
      </c>
      <c r="D7" s="0" t="s">
        <v>35</v>
      </c>
      <c r="E7" s="0" t="n">
        <v>10</v>
      </c>
      <c r="F7" s="0" t="n">
        <v>1.25</v>
      </c>
      <c r="G7" s="7" t="str">
        <f aca="false">_xlfn.XLOOKUP(D7,Catalog!$B$2:$B$4102,Catalog!$A$2:$A$4102,"NOT IN CATALOG")</f>
        <v>TEA TIME OVEN GLOVE</v>
      </c>
      <c r="H7" s="7" t="n">
        <f aca="false">_xlfn.IFNA(VLOOKUP(D7,Catalog!$B$2:$C$4102,2,FALSE()),"")</f>
        <v>1.25</v>
      </c>
      <c r="I7" s="7" t="str">
        <f aca="false">HLOOKUP(C7,Regions!$B$1:$S$2,2,FALSE())</f>
        <v>EU</v>
      </c>
      <c r="J7" s="7" t="n">
        <f aca="false">E7*F7</f>
        <v>12.5</v>
      </c>
      <c r="K7" s="8" t="n">
        <f aca="false">IF(H7="","",1-F7/H7)</f>
        <v>0</v>
      </c>
    </row>
    <row r="8" customFormat="false" ht="15" hidden="false" customHeight="false" outlineLevel="0" collapsed="false">
      <c r="A8" s="0" t="s">
        <v>28</v>
      </c>
      <c r="B8" s="6" t="n">
        <v>40878.3576388889</v>
      </c>
      <c r="C8" s="0" t="s">
        <v>29</v>
      </c>
      <c r="D8" s="0" t="s">
        <v>36</v>
      </c>
      <c r="E8" s="0" t="n">
        <v>3</v>
      </c>
      <c r="F8" s="0" t="n">
        <v>5.95</v>
      </c>
      <c r="G8" s="7" t="str">
        <f aca="false">_xlfn.XLOOKUP(D8,Catalog!$B$2:$B$4102,Catalog!$A$2:$A$4102,"NOT IN CATALOG")</f>
        <v>TEA TIME KITCHEN APRON</v>
      </c>
      <c r="H8" s="7" t="n">
        <f aca="false">_xlfn.IFNA(VLOOKUP(D8,Catalog!$B$2:$C$4102,2,FALSE()),"")</f>
        <v>5.95</v>
      </c>
      <c r="I8" s="7" t="str">
        <f aca="false">HLOOKUP(C8,Regions!$B$1:$S$2,2,FALSE())</f>
        <v>EU</v>
      </c>
      <c r="J8" s="7" t="n">
        <f aca="false">E8*F8</f>
        <v>17.85</v>
      </c>
      <c r="K8" s="8" t="n">
        <f aca="false">IF(H8="","",1-F8/H8)</f>
        <v>0</v>
      </c>
    </row>
    <row r="9" customFormat="false" ht="15" hidden="false" customHeight="false" outlineLevel="0" collapsed="false">
      <c r="A9" s="0" t="s">
        <v>28</v>
      </c>
      <c r="B9" s="6" t="n">
        <v>40878.3576388889</v>
      </c>
      <c r="C9" s="0" t="s">
        <v>29</v>
      </c>
      <c r="D9" s="0" t="s">
        <v>37</v>
      </c>
      <c r="E9" s="0" t="n">
        <v>8</v>
      </c>
      <c r="F9" s="0" t="n">
        <v>1.95</v>
      </c>
      <c r="G9" s="7" t="str">
        <f aca="false">_xlfn.XLOOKUP(D9,Catalog!$B$2:$B$4102,Catalog!$A$2:$A$4102,"NOT IN CATALOG")</f>
        <v>NOT IN CATALOG</v>
      </c>
      <c r="H9" s="7" t="str">
        <f aca="false">_xlfn.IFNA(VLOOKUP(D9,Catalog!$B$2:$C$4102,2,FALSE()),"")</f>
        <v/>
      </c>
      <c r="I9" s="7" t="str">
        <f aca="false">HLOOKUP(C9,Regions!$B$1:$S$2,2,FALSE())</f>
        <v>EU</v>
      </c>
      <c r="J9" s="7" t="n">
        <f aca="false">E9*F9</f>
        <v>15.6</v>
      </c>
      <c r="K9" s="8" t="str">
        <f aca="false">IF(H9="","",1-F9/H9)</f>
        <v/>
      </c>
    </row>
    <row r="10" customFormat="false" ht="15" hidden="false" customHeight="false" outlineLevel="0" collapsed="false">
      <c r="A10" s="0" t="s">
        <v>28</v>
      </c>
      <c r="B10" s="6" t="n">
        <v>40878.3576388889</v>
      </c>
      <c r="C10" s="0" t="s">
        <v>29</v>
      </c>
      <c r="D10" s="0" t="s">
        <v>38</v>
      </c>
      <c r="E10" s="0" t="n">
        <v>12</v>
      </c>
      <c r="F10" s="0" t="n">
        <v>0.39</v>
      </c>
      <c r="G10" s="7" t="str">
        <f aca="false">_xlfn.XLOOKUP(D10,Catalog!$B$2:$B$4102,Catalog!$A$2:$A$4102,"NOT IN CATALOG")</f>
        <v>MAGNETS PACK OF 4 SWALLOWS</v>
      </c>
      <c r="H10" s="7" t="n">
        <f aca="false">_xlfn.IFNA(VLOOKUP(D10,Catalog!$B$2:$C$4102,2,FALSE()),"")</f>
        <v>1.25</v>
      </c>
      <c r="I10" s="7" t="str">
        <f aca="false">HLOOKUP(C10,Regions!$B$1:$S$2,2,FALSE())</f>
        <v>EU</v>
      </c>
      <c r="J10" s="7" t="n">
        <f aca="false">E10*F10</f>
        <v>4.68</v>
      </c>
      <c r="K10" s="8" t="n">
        <f aca="false">IF(H10="","",1-F10/H10)</f>
        <v>0.688</v>
      </c>
    </row>
    <row r="11" customFormat="false" ht="15" hidden="false" customHeight="false" outlineLevel="0" collapsed="false">
      <c r="A11" s="0" t="s">
        <v>28</v>
      </c>
      <c r="B11" s="6" t="n">
        <v>40878.3576388889</v>
      </c>
      <c r="C11" s="0" t="s">
        <v>29</v>
      </c>
      <c r="D11" s="0" t="s">
        <v>39</v>
      </c>
      <c r="E11" s="0" t="n">
        <v>3</v>
      </c>
      <c r="F11" s="0" t="n">
        <v>18</v>
      </c>
      <c r="G11" s="7" t="str">
        <f aca="false">_xlfn.XLOOKUP(D11,Catalog!$B$2:$B$4102,Catalog!$A$2:$A$4102,"NOT IN CATALOG")</f>
        <v>POSTAGE</v>
      </c>
      <c r="H11" s="7" t="n">
        <f aca="false">_xlfn.IFNA(VLOOKUP(D11,Catalog!$B$2:$C$4102,2,FALSE()),"")</f>
        <v>18</v>
      </c>
      <c r="I11" s="7" t="str">
        <f aca="false">HLOOKUP(C11,Regions!$B$1:$S$2,2,FALSE())</f>
        <v>EU</v>
      </c>
      <c r="J11" s="7" t="n">
        <f aca="false">E11*F11</f>
        <v>54</v>
      </c>
      <c r="K11" s="8" t="n">
        <f aca="false">IF(H11="","",1-F11/H11)</f>
        <v>0</v>
      </c>
    </row>
    <row r="12" customFormat="false" ht="15" hidden="false" customHeight="false" outlineLevel="0" collapsed="false">
      <c r="A12" s="0" t="s">
        <v>40</v>
      </c>
      <c r="B12" s="6" t="n">
        <v>40878.3694444444</v>
      </c>
      <c r="C12" s="0" t="s">
        <v>41</v>
      </c>
      <c r="D12" s="0" t="s">
        <v>42</v>
      </c>
      <c r="E12" s="0" t="n">
        <v>24</v>
      </c>
      <c r="F12" s="0" t="n">
        <v>1.25</v>
      </c>
      <c r="G12" s="7" t="str">
        <f aca="false">_xlfn.XLOOKUP(D12,Catalog!$B$2:$B$4102,Catalog!$A$2:$A$4102,"NOT IN CATALOG")</f>
        <v>3 ROSE MORRIS BOXED CANDLES</v>
      </c>
      <c r="H12" s="7" t="n">
        <f aca="false">_xlfn.IFNA(VLOOKUP(D12,Catalog!$B$2:$C$4102,2,FALSE()),"")</f>
        <v>4.25</v>
      </c>
      <c r="I12" s="7" t="str">
        <f aca="false">HLOOKUP(C12,Regions!$B$1:$S$2,2,FALSE())</f>
        <v>EU</v>
      </c>
      <c r="J12" s="7" t="n">
        <f aca="false">E12*F12</f>
        <v>30</v>
      </c>
      <c r="K12" s="8" t="n">
        <f aca="false">IF(H12="","",1-F12/H12)</f>
        <v>0.705882352941176</v>
      </c>
    </row>
    <row r="13" customFormat="false" ht="15" hidden="false" customHeight="false" outlineLevel="0" collapsed="false">
      <c r="A13" s="0" t="s">
        <v>40</v>
      </c>
      <c r="B13" s="6" t="n">
        <v>40878.3694444444</v>
      </c>
      <c r="C13" s="0" t="s">
        <v>41</v>
      </c>
      <c r="D13" s="0" t="s">
        <v>43</v>
      </c>
      <c r="E13" s="0" t="n">
        <v>2</v>
      </c>
      <c r="F13" s="0" t="n">
        <v>12.5</v>
      </c>
      <c r="G13" s="7" t="str">
        <f aca="false">_xlfn.XLOOKUP(D13,Catalog!$B$2:$B$4102,Catalog!$A$2:$A$4102,"NOT IN CATALOG")</f>
        <v>NOT IN CATALOG</v>
      </c>
      <c r="H13" s="7" t="str">
        <f aca="false">_xlfn.IFNA(VLOOKUP(D13,Catalog!$B$2:$C$4102,2,FALSE()),"")</f>
        <v/>
      </c>
      <c r="I13" s="7" t="str">
        <f aca="false">HLOOKUP(C13,Regions!$B$1:$S$2,2,FALSE())</f>
        <v>EU</v>
      </c>
      <c r="J13" s="7" t="n">
        <f aca="false">E13*F13</f>
        <v>25</v>
      </c>
      <c r="K13" s="8" t="str">
        <f aca="false">IF(H13="","",1-F13/H13)</f>
        <v/>
      </c>
    </row>
    <row r="14" customFormat="false" ht="15" hidden="false" customHeight="false" outlineLevel="0" collapsed="false">
      <c r="A14" s="0" t="s">
        <v>40</v>
      </c>
      <c r="B14" s="6" t="n">
        <v>40878.3694444444</v>
      </c>
      <c r="C14" s="0" t="s">
        <v>41</v>
      </c>
      <c r="D14" s="0" t="s">
        <v>44</v>
      </c>
      <c r="E14" s="0" t="n">
        <v>24</v>
      </c>
      <c r="F14" s="0" t="n">
        <v>0.55</v>
      </c>
      <c r="G14" s="7" t="str">
        <f aca="false">_xlfn.XLOOKUP(D14,Catalog!$B$2:$B$4102,Catalog!$A$2:$A$4102,"NOT IN CATALOG")</f>
        <v>PACK OF 72 RETRO SPOT CAKE CASES</v>
      </c>
      <c r="H14" s="7" t="n">
        <f aca="false">_xlfn.IFNA(VLOOKUP(D14,Catalog!$B$2:$C$4102,2,FALSE()),"")</f>
        <v>0.55</v>
      </c>
      <c r="I14" s="7" t="str">
        <f aca="false">HLOOKUP(C14,Regions!$B$1:$S$2,2,FALSE())</f>
        <v>EU</v>
      </c>
      <c r="J14" s="7" t="n">
        <f aca="false">E14*F14</f>
        <v>13.2</v>
      </c>
      <c r="K14" s="8" t="n">
        <f aca="false">IF(H14="","",1-F14/H14)</f>
        <v>0</v>
      </c>
    </row>
    <row r="15" customFormat="false" ht="15" hidden="false" customHeight="false" outlineLevel="0" collapsed="false">
      <c r="A15" s="0" t="s">
        <v>40</v>
      </c>
      <c r="B15" s="6" t="n">
        <v>40878.3694444444</v>
      </c>
      <c r="C15" s="0" t="s">
        <v>41</v>
      </c>
      <c r="D15" s="0" t="s">
        <v>45</v>
      </c>
      <c r="E15" s="0" t="n">
        <v>12</v>
      </c>
      <c r="F15" s="0" t="n">
        <v>1.45</v>
      </c>
      <c r="G15" s="7" t="str">
        <f aca="false">_xlfn.XLOOKUP(D15,Catalog!$B$2:$B$4102,Catalog!$A$2:$A$4102,"NOT IN CATALOG")</f>
        <v>SET OF 3 HEART COOKIE CUTTERS</v>
      </c>
      <c r="H15" s="7" t="n">
        <f aca="false">_xlfn.IFNA(VLOOKUP(D15,Catalog!$B$2:$C$4102,2,FALSE()),"")</f>
        <v>1.25</v>
      </c>
      <c r="I15" s="7" t="str">
        <f aca="false">HLOOKUP(C15,Regions!$B$1:$S$2,2,FALSE())</f>
        <v>EU</v>
      </c>
      <c r="J15" s="7" t="n">
        <f aca="false">E15*F15</f>
        <v>17.4</v>
      </c>
      <c r="K15" s="8" t="n">
        <f aca="false">IF(H15="","",1-F15/H15)</f>
        <v>-0.16</v>
      </c>
    </row>
    <row r="16" customFormat="false" ht="15" hidden="false" customHeight="false" outlineLevel="0" collapsed="false">
      <c r="A16" s="0" t="s">
        <v>40</v>
      </c>
      <c r="B16" s="6" t="n">
        <v>40878.3694444444</v>
      </c>
      <c r="C16" s="0" t="s">
        <v>41</v>
      </c>
      <c r="D16" s="0" t="s">
        <v>46</v>
      </c>
      <c r="E16" s="0" t="n">
        <v>4</v>
      </c>
      <c r="F16" s="0" t="n">
        <v>7.95</v>
      </c>
      <c r="G16" s="7" t="str">
        <f aca="false">_xlfn.XLOOKUP(D16,Catalog!$B$2:$B$4102,Catalog!$A$2:$A$4102,"NOT IN CATALOG")</f>
        <v>ASSORTED COLOUR MINI CASES</v>
      </c>
      <c r="H16" s="7" t="n">
        <f aca="false">_xlfn.IFNA(VLOOKUP(D16,Catalog!$B$2:$C$4102,2,FALSE()),"")</f>
        <v>7.95</v>
      </c>
      <c r="I16" s="7" t="str">
        <f aca="false">HLOOKUP(C16,Regions!$B$1:$S$2,2,FALSE())</f>
        <v>EU</v>
      </c>
      <c r="J16" s="7" t="n">
        <f aca="false">E16*F16</f>
        <v>31.8</v>
      </c>
      <c r="K16" s="8" t="n">
        <f aca="false">IF(H16="","",1-F16/H16)</f>
        <v>0</v>
      </c>
    </row>
    <row r="17" customFormat="false" ht="15" hidden="false" customHeight="false" outlineLevel="0" collapsed="false">
      <c r="A17" s="0" t="s">
        <v>40</v>
      </c>
      <c r="B17" s="6" t="n">
        <v>40878.3694444444</v>
      </c>
      <c r="C17" s="0" t="s">
        <v>41</v>
      </c>
      <c r="D17" s="0" t="s">
        <v>47</v>
      </c>
      <c r="E17" s="0" t="n">
        <v>4</v>
      </c>
      <c r="F17" s="0" t="n">
        <v>7.95</v>
      </c>
      <c r="G17" s="7" t="str">
        <f aca="false">_xlfn.XLOOKUP(D17,Catalog!$B$2:$B$4102,Catalog!$A$2:$A$4102,"NOT IN CATALOG")</f>
        <v>RED/WHITE DOT MINI CASES</v>
      </c>
      <c r="H17" s="7" t="n">
        <f aca="false">_xlfn.IFNA(VLOOKUP(D17,Catalog!$B$2:$C$4102,2,FALSE()),"")</f>
        <v>7.95</v>
      </c>
      <c r="I17" s="7" t="str">
        <f aca="false">HLOOKUP(C17,Regions!$B$1:$S$2,2,FALSE())</f>
        <v>EU</v>
      </c>
      <c r="J17" s="7" t="n">
        <f aca="false">E17*F17</f>
        <v>31.8</v>
      </c>
      <c r="K17" s="8" t="n">
        <f aca="false">IF(H17="","",1-F17/H17)</f>
        <v>0</v>
      </c>
    </row>
    <row r="18" customFormat="false" ht="15" hidden="false" customHeight="false" outlineLevel="0" collapsed="false">
      <c r="A18" s="0" t="s">
        <v>40</v>
      </c>
      <c r="B18" s="6" t="n">
        <v>40878.3694444444</v>
      </c>
      <c r="C18" s="0" t="s">
        <v>41</v>
      </c>
      <c r="D18" s="0" t="s">
        <v>48</v>
      </c>
      <c r="E18" s="0" t="n">
        <v>4</v>
      </c>
      <c r="F18" s="0" t="n">
        <v>3.75</v>
      </c>
      <c r="G18" s="7" t="str">
        <f aca="false">_xlfn.XLOOKUP(D18,Catalog!$B$2:$B$4102,Catalog!$A$2:$A$4102,"NOT IN CATALOG")</f>
        <v>PINK FLORAL FELTCRAFT SHOULDER BAG</v>
      </c>
      <c r="H18" s="7" t="n">
        <f aca="false">_xlfn.IFNA(VLOOKUP(D18,Catalog!$B$2:$C$4102,2,FALSE()),"")</f>
        <v>3.75</v>
      </c>
      <c r="I18" s="7" t="str">
        <f aca="false">HLOOKUP(C18,Regions!$B$1:$S$2,2,FALSE())</f>
        <v>EU</v>
      </c>
      <c r="J18" s="7" t="n">
        <f aca="false">E18*F18</f>
        <v>15</v>
      </c>
      <c r="K18" s="8" t="n">
        <f aca="false">IF(H18="","",1-F18/H18)</f>
        <v>0</v>
      </c>
    </row>
    <row r="19" customFormat="false" ht="15" hidden="false" customHeight="false" outlineLevel="0" collapsed="false">
      <c r="A19" s="0" t="s">
        <v>40</v>
      </c>
      <c r="B19" s="6" t="n">
        <v>40878.3694444444</v>
      </c>
      <c r="C19" s="0" t="s">
        <v>41</v>
      </c>
      <c r="D19" s="0" t="s">
        <v>49</v>
      </c>
      <c r="E19" s="0" t="n">
        <v>4</v>
      </c>
      <c r="F19" s="0" t="n">
        <v>3.75</v>
      </c>
      <c r="G19" s="7" t="str">
        <f aca="false">_xlfn.XLOOKUP(D19,Catalog!$B$2:$B$4102,Catalog!$A$2:$A$4102,"NOT IN CATALOG")</f>
        <v>FELTCRAFT PRINCESS CHARLOTTE DOLL</v>
      </c>
      <c r="H19" s="7" t="n">
        <f aca="false">_xlfn.IFNA(VLOOKUP(D19,Catalog!$B$2:$C$4102,2,FALSE()),"")</f>
        <v>3.75</v>
      </c>
      <c r="I19" s="7" t="str">
        <f aca="false">HLOOKUP(C19,Regions!$B$1:$S$2,2,FALSE())</f>
        <v>EU</v>
      </c>
      <c r="J19" s="7" t="n">
        <f aca="false">E19*F19</f>
        <v>15</v>
      </c>
      <c r="K19" s="8" t="n">
        <f aca="false">IF(H19="","",1-F19/H19)</f>
        <v>0</v>
      </c>
    </row>
    <row r="20" customFormat="false" ht="15" hidden="false" customHeight="false" outlineLevel="0" collapsed="false">
      <c r="A20" s="0" t="s">
        <v>40</v>
      </c>
      <c r="B20" s="6" t="n">
        <v>40878.3694444444</v>
      </c>
      <c r="C20" s="0" t="s">
        <v>41</v>
      </c>
      <c r="D20" s="0" t="s">
        <v>50</v>
      </c>
      <c r="E20" s="0" t="n">
        <v>8</v>
      </c>
      <c r="F20" s="0" t="n">
        <v>2.95</v>
      </c>
      <c r="G20" s="7" t="str">
        <f aca="false">_xlfn.XLOOKUP(D20,Catalog!$B$2:$B$4102,Catalog!$A$2:$A$4102,"NOT IN CATALOG")</f>
        <v>PHOTO FRAME CORNICE</v>
      </c>
      <c r="H20" s="7" t="n">
        <f aca="false">_xlfn.IFNA(VLOOKUP(D20,Catalog!$B$2:$C$4102,2,FALSE()),"")</f>
        <v>2.95</v>
      </c>
      <c r="I20" s="7" t="str">
        <f aca="false">HLOOKUP(C20,Regions!$B$1:$S$2,2,FALSE())</f>
        <v>EU</v>
      </c>
      <c r="J20" s="7" t="n">
        <f aca="false">E20*F20</f>
        <v>23.6</v>
      </c>
      <c r="K20" s="8" t="n">
        <f aca="false">IF(H20="","",1-F20/H20)</f>
        <v>0</v>
      </c>
    </row>
    <row r="21" customFormat="false" ht="15" hidden="false" customHeight="false" outlineLevel="0" collapsed="false">
      <c r="A21" s="0" t="s">
        <v>40</v>
      </c>
      <c r="B21" s="6" t="n">
        <v>40878.3694444444</v>
      </c>
      <c r="C21" s="0" t="s">
        <v>41</v>
      </c>
      <c r="D21" s="0" t="s">
        <v>51</v>
      </c>
      <c r="E21" s="0" t="n">
        <v>24</v>
      </c>
      <c r="F21" s="0" t="n">
        <v>0.65</v>
      </c>
      <c r="G21" s="7" t="str">
        <f aca="false">_xlfn.XLOOKUP(D21,Catalog!$B$2:$B$4102,Catalog!$A$2:$A$4102,"NOT IN CATALOG")</f>
        <v>12 PENCIL SMALL TUBE WOODLAND</v>
      </c>
      <c r="H21" s="7" t="n">
        <f aca="false">_xlfn.IFNA(VLOOKUP(D21,Catalog!$B$2:$C$4102,2,FALSE()),"")</f>
        <v>0.65</v>
      </c>
      <c r="I21" s="7" t="str">
        <f aca="false">HLOOKUP(C21,Regions!$B$1:$S$2,2,FALSE())</f>
        <v>EU</v>
      </c>
      <c r="J21" s="7" t="n">
        <f aca="false">E21*F21</f>
        <v>15.6</v>
      </c>
      <c r="K21" s="8" t="n">
        <f aca="false">IF(H21="","",1-F21/H21)</f>
        <v>0</v>
      </c>
    </row>
    <row r="22" customFormat="false" ht="15" hidden="false" customHeight="false" outlineLevel="0" collapsed="false">
      <c r="A22" s="0" t="s">
        <v>40</v>
      </c>
      <c r="B22" s="6" t="n">
        <v>40878.3694444444</v>
      </c>
      <c r="C22" s="0" t="s">
        <v>41</v>
      </c>
      <c r="D22" s="0" t="s">
        <v>52</v>
      </c>
      <c r="E22" s="0" t="n">
        <v>2</v>
      </c>
      <c r="F22" s="0" t="n">
        <v>5.95</v>
      </c>
      <c r="G22" s="7" t="str">
        <f aca="false">_xlfn.XLOOKUP(D22,Catalog!$B$2:$B$4102,Catalog!$A$2:$A$4102,"NOT IN CATALOG")</f>
        <v>VICTORIAN SEWING BOX SMALL</v>
      </c>
      <c r="H22" s="7" t="n">
        <f aca="false">_xlfn.IFNA(VLOOKUP(D22,Catalog!$B$2:$C$4102,2,FALSE()),"")</f>
        <v>5.95</v>
      </c>
      <c r="I22" s="7" t="str">
        <f aca="false">HLOOKUP(C22,Regions!$B$1:$S$2,2,FALSE())</f>
        <v>EU</v>
      </c>
      <c r="J22" s="7" t="n">
        <f aca="false">E22*F22</f>
        <v>11.9</v>
      </c>
      <c r="K22" s="8" t="n">
        <f aca="false">IF(H22="","",1-F22/H22)</f>
        <v>0</v>
      </c>
    </row>
    <row r="23" customFormat="false" ht="15" hidden="false" customHeight="false" outlineLevel="0" collapsed="false">
      <c r="A23" s="0" t="s">
        <v>40</v>
      </c>
      <c r="B23" s="6" t="n">
        <v>40878.3694444444</v>
      </c>
      <c r="C23" s="0" t="s">
        <v>41</v>
      </c>
      <c r="D23" s="0" t="s">
        <v>53</v>
      </c>
      <c r="E23" s="0" t="n">
        <v>4</v>
      </c>
      <c r="F23" s="0" t="n">
        <v>7.95</v>
      </c>
      <c r="G23" s="7" t="str">
        <f aca="false">_xlfn.XLOOKUP(D23,Catalog!$B$2:$B$4102,Catalog!$A$2:$A$4102,"NOT IN CATALOG")</f>
        <v>VICTORIAN SEWING BOX MEDIUM</v>
      </c>
      <c r="H23" s="7" t="n">
        <f aca="false">_xlfn.IFNA(VLOOKUP(D23,Catalog!$B$2:$C$4102,2,FALSE()),"")</f>
        <v>7.95</v>
      </c>
      <c r="I23" s="7" t="str">
        <f aca="false">HLOOKUP(C23,Regions!$B$1:$S$2,2,FALSE())</f>
        <v>EU</v>
      </c>
      <c r="J23" s="7" t="n">
        <f aca="false">E23*F23</f>
        <v>31.8</v>
      </c>
      <c r="K23" s="8" t="n">
        <f aca="false">IF(H23="","",1-F23/H23)</f>
        <v>0</v>
      </c>
    </row>
    <row r="24" customFormat="false" ht="15" hidden="false" customHeight="false" outlineLevel="0" collapsed="false">
      <c r="A24" s="0" t="s">
        <v>40</v>
      </c>
      <c r="B24" s="6" t="n">
        <v>40878.3694444444</v>
      </c>
      <c r="C24" s="0" t="s">
        <v>41</v>
      </c>
      <c r="D24" s="0" t="s">
        <v>54</v>
      </c>
      <c r="E24" s="0" t="n">
        <v>3</v>
      </c>
      <c r="F24" s="0" t="n">
        <v>12.75</v>
      </c>
      <c r="G24" s="7" t="str">
        <f aca="false">_xlfn.XLOOKUP(D24,Catalog!$B$2:$B$4102,Catalog!$A$2:$A$4102,"NOT IN CATALOG")</f>
        <v>REGENCY CAKESTAND 3 TIER</v>
      </c>
      <c r="H24" s="7" t="n">
        <f aca="false">_xlfn.IFNA(VLOOKUP(D24,Catalog!$B$2:$C$4102,2,FALSE()),"")</f>
        <v>12.75</v>
      </c>
      <c r="I24" s="7" t="str">
        <f aca="false">HLOOKUP(C24,Regions!$B$1:$S$2,2,FALSE())</f>
        <v>EU</v>
      </c>
      <c r="J24" s="7" t="n">
        <f aca="false">E24*F24</f>
        <v>38.25</v>
      </c>
      <c r="K24" s="8" t="n">
        <f aca="false">IF(H24="","",1-F24/H24)</f>
        <v>0</v>
      </c>
    </row>
    <row r="25" customFormat="false" ht="15" hidden="false" customHeight="false" outlineLevel="0" collapsed="false">
      <c r="A25" s="0" t="s">
        <v>40</v>
      </c>
      <c r="B25" s="6" t="n">
        <v>40878.3694444444</v>
      </c>
      <c r="C25" s="0" t="s">
        <v>41</v>
      </c>
      <c r="D25" s="0" t="s">
        <v>55</v>
      </c>
      <c r="E25" s="0" t="n">
        <v>12</v>
      </c>
      <c r="F25" s="0" t="n">
        <v>1.45</v>
      </c>
      <c r="G25" s="7" t="str">
        <f aca="false">_xlfn.XLOOKUP(D25,Catalog!$B$2:$B$4102,Catalog!$A$2:$A$4102,"NOT IN CATALOG")</f>
        <v>NOT IN CATALOG</v>
      </c>
      <c r="H25" s="7" t="str">
        <f aca="false">_xlfn.IFNA(VLOOKUP(D25,Catalog!$B$2:$C$4102,2,FALSE()),"")</f>
        <v/>
      </c>
      <c r="I25" s="7" t="str">
        <f aca="false">HLOOKUP(C25,Regions!$B$1:$S$2,2,FALSE())</f>
        <v>EU</v>
      </c>
      <c r="J25" s="7" t="n">
        <f aca="false">E25*F25</f>
        <v>17.4</v>
      </c>
      <c r="K25" s="8" t="str">
        <f aca="false">IF(H25="","",1-F25/H25)</f>
        <v/>
      </c>
    </row>
    <row r="26" customFormat="false" ht="15" hidden="false" customHeight="false" outlineLevel="0" collapsed="false">
      <c r="A26" s="0" t="s">
        <v>40</v>
      </c>
      <c r="B26" s="6" t="n">
        <v>40878.3694444444</v>
      </c>
      <c r="C26" s="0" t="s">
        <v>41</v>
      </c>
      <c r="D26" s="0" t="s">
        <v>56</v>
      </c>
      <c r="E26" s="0" t="n">
        <v>1</v>
      </c>
      <c r="F26" s="0" t="n">
        <v>50</v>
      </c>
      <c r="G26" s="7" t="str">
        <f aca="false">_xlfn.XLOOKUP(D26,Catalog!$B$2:$B$4102,Catalog!$A$2:$A$4102,"NOT IN CATALOG")</f>
        <v>CARRIAGE</v>
      </c>
      <c r="H26" s="7" t="n">
        <f aca="false">_xlfn.IFNA(VLOOKUP(D26,Catalog!$B$2:$C$4102,2,FALSE()),"")</f>
        <v>50</v>
      </c>
      <c r="I26" s="7" t="str">
        <f aca="false">HLOOKUP(C26,Regions!$B$1:$S$2,2,FALSE())</f>
        <v>EU</v>
      </c>
      <c r="J26" s="7" t="n">
        <f aca="false">E26*F26</f>
        <v>50</v>
      </c>
      <c r="K26" s="8" t="n">
        <f aca="false">IF(H26="","",1-F26/H26)</f>
        <v>0</v>
      </c>
    </row>
    <row r="27" customFormat="false" ht="15" hidden="false" customHeight="false" outlineLevel="0" collapsed="false">
      <c r="A27" s="0" t="s">
        <v>57</v>
      </c>
      <c r="B27" s="6" t="n">
        <v>40878.3888888889</v>
      </c>
      <c r="C27" s="0" t="s">
        <v>29</v>
      </c>
      <c r="D27" s="0" t="s">
        <v>54</v>
      </c>
      <c r="E27" s="0" t="n">
        <v>4</v>
      </c>
      <c r="F27" s="0" t="n">
        <v>12.75</v>
      </c>
      <c r="G27" s="7" t="str">
        <f aca="false">_xlfn.XLOOKUP(D27,Catalog!$B$2:$B$4102,Catalog!$A$2:$A$4102,"NOT IN CATALOG")</f>
        <v>REGENCY CAKESTAND 3 TIER</v>
      </c>
      <c r="H27" s="7" t="n">
        <f aca="false">_xlfn.IFNA(VLOOKUP(D27,Catalog!$B$2:$C$4102,2,FALSE()),"")</f>
        <v>12.75</v>
      </c>
      <c r="I27" s="7" t="str">
        <f aca="false">HLOOKUP(C27,Regions!$B$1:$S$2,2,FALSE())</f>
        <v>EU</v>
      </c>
      <c r="J27" s="7" t="n">
        <f aca="false">E27*F27</f>
        <v>51</v>
      </c>
      <c r="K27" s="8" t="n">
        <f aca="false">IF(H27="","",1-F27/H27)</f>
        <v>0</v>
      </c>
    </row>
    <row r="28" customFormat="false" ht="15" hidden="false" customHeight="false" outlineLevel="0" collapsed="false">
      <c r="A28" s="0" t="s">
        <v>57</v>
      </c>
      <c r="B28" s="6" t="n">
        <v>40878.3888888889</v>
      </c>
      <c r="C28" s="0" t="s">
        <v>29</v>
      </c>
      <c r="D28" s="0" t="s">
        <v>58</v>
      </c>
      <c r="E28" s="0" t="n">
        <v>6</v>
      </c>
      <c r="F28" s="0" t="n">
        <v>2.95</v>
      </c>
      <c r="G28" s="7" t="str">
        <f aca="false">_xlfn.XLOOKUP(D28,Catalog!$B$2:$B$4102,Catalog!$A$2:$A$4102,"NOT IN CATALOG")</f>
        <v>PINK REGENCY TEACUP AND SAUCER</v>
      </c>
      <c r="H28" s="7" t="n">
        <f aca="false">_xlfn.IFNA(VLOOKUP(D28,Catalog!$B$2:$C$4102,2,FALSE()),"")</f>
        <v>2.95</v>
      </c>
      <c r="I28" s="7" t="str">
        <f aca="false">HLOOKUP(C28,Regions!$B$1:$S$2,2,FALSE())</f>
        <v>EU</v>
      </c>
      <c r="J28" s="7" t="n">
        <f aca="false">E28*F28</f>
        <v>17.7</v>
      </c>
      <c r="K28" s="8" t="n">
        <f aca="false">IF(H28="","",1-F28/H28)</f>
        <v>0</v>
      </c>
    </row>
    <row r="29" customFormat="false" ht="15" hidden="false" customHeight="false" outlineLevel="0" collapsed="false">
      <c r="A29" s="0" t="s">
        <v>57</v>
      </c>
      <c r="B29" s="6" t="n">
        <v>40878.3888888889</v>
      </c>
      <c r="C29" s="0" t="s">
        <v>29</v>
      </c>
      <c r="D29" s="0" t="s">
        <v>59</v>
      </c>
      <c r="E29" s="0" t="n">
        <v>6</v>
      </c>
      <c r="F29" s="0" t="n">
        <v>2.95</v>
      </c>
      <c r="G29" s="7" t="str">
        <f aca="false">_xlfn.XLOOKUP(D29,Catalog!$B$2:$B$4102,Catalog!$A$2:$A$4102,"NOT IN CATALOG")</f>
        <v>ROSES REGENCY TEACUP AND SAUCER</v>
      </c>
      <c r="H29" s="7" t="n">
        <f aca="false">_xlfn.IFNA(VLOOKUP(D29,Catalog!$B$2:$C$4102,2,FALSE()),"")</f>
        <v>2.95</v>
      </c>
      <c r="I29" s="7" t="str">
        <f aca="false">HLOOKUP(C29,Regions!$B$1:$S$2,2,FALSE())</f>
        <v>EU</v>
      </c>
      <c r="J29" s="7" t="n">
        <f aca="false">E29*F29</f>
        <v>17.7</v>
      </c>
      <c r="K29" s="8" t="n">
        <f aca="false">IF(H29="","",1-F29/H29)</f>
        <v>0</v>
      </c>
    </row>
    <row r="30" customFormat="false" ht="15" hidden="false" customHeight="false" outlineLevel="0" collapsed="false">
      <c r="A30" s="0" t="s">
        <v>57</v>
      </c>
      <c r="B30" s="6" t="n">
        <v>40878.3888888889</v>
      </c>
      <c r="C30" s="0" t="s">
        <v>29</v>
      </c>
      <c r="D30" s="0" t="s">
        <v>60</v>
      </c>
      <c r="E30" s="0" t="n">
        <v>6</v>
      </c>
      <c r="F30" s="0" t="n">
        <v>2.95</v>
      </c>
      <c r="G30" s="7" t="str">
        <f aca="false">_xlfn.XLOOKUP(D30,Catalog!$B$2:$B$4102,Catalog!$A$2:$A$4102,"NOT IN CATALOG")</f>
        <v>GREEN REGENCY TEACUP AND SAUCER</v>
      </c>
      <c r="H30" s="7" t="n">
        <f aca="false">_xlfn.IFNA(VLOOKUP(D30,Catalog!$B$2:$C$4102,2,FALSE()),"")</f>
        <v>2.95</v>
      </c>
      <c r="I30" s="7" t="str">
        <f aca="false">HLOOKUP(C30,Regions!$B$1:$S$2,2,FALSE())</f>
        <v>EU</v>
      </c>
      <c r="J30" s="7" t="n">
        <f aca="false">E30*F30</f>
        <v>17.7</v>
      </c>
      <c r="K30" s="8" t="n">
        <f aca="false">IF(H30="","",1-F30/H30)</f>
        <v>0</v>
      </c>
    </row>
    <row r="31" customFormat="false" ht="15" hidden="false" customHeight="false" outlineLevel="0" collapsed="false">
      <c r="A31" s="0" t="s">
        <v>57</v>
      </c>
      <c r="B31" s="6" t="n">
        <v>40878.3888888889</v>
      </c>
      <c r="C31" s="0" t="s">
        <v>29</v>
      </c>
      <c r="D31" s="0" t="s">
        <v>61</v>
      </c>
      <c r="E31" s="0" t="n">
        <v>36</v>
      </c>
      <c r="F31" s="0" t="n">
        <v>1.45</v>
      </c>
      <c r="G31" s="7" t="str">
        <f aca="false">_xlfn.XLOOKUP(D31,Catalog!$B$2:$B$4102,Catalog!$A$2:$A$4102,"NOT IN CATALOG")</f>
        <v>SAVE THE PLANET MUG</v>
      </c>
      <c r="H31" s="7" t="n">
        <f aca="false">_xlfn.IFNA(VLOOKUP(D31,Catalog!$B$2:$C$4102,2,FALSE()),"")</f>
        <v>1.25</v>
      </c>
      <c r="I31" s="7" t="str">
        <f aca="false">HLOOKUP(C31,Regions!$B$1:$S$2,2,FALSE())</f>
        <v>EU</v>
      </c>
      <c r="J31" s="7" t="n">
        <f aca="false">E31*F31</f>
        <v>52.2</v>
      </c>
      <c r="K31" s="8" t="n">
        <f aca="false">IF(H31="","",1-F31/H31)</f>
        <v>-0.16</v>
      </c>
    </row>
    <row r="32" customFormat="false" ht="15" hidden="false" customHeight="false" outlineLevel="0" collapsed="false">
      <c r="A32" s="0" t="s">
        <v>57</v>
      </c>
      <c r="B32" s="6" t="n">
        <v>40878.3888888889</v>
      </c>
      <c r="C32" s="0" t="s">
        <v>29</v>
      </c>
      <c r="D32" s="0" t="s">
        <v>62</v>
      </c>
      <c r="E32" s="0" t="n">
        <v>4</v>
      </c>
      <c r="F32" s="0" t="n">
        <v>3.75</v>
      </c>
      <c r="G32" s="7" t="str">
        <f aca="false">_xlfn.XLOOKUP(D32,Catalog!$B$2:$B$4102,Catalog!$A$2:$A$4102,"NOT IN CATALOG")</f>
        <v>ALARM CLOCK BAKELIKE CHOCOLATE</v>
      </c>
      <c r="H32" s="7" t="n">
        <f aca="false">_xlfn.IFNA(VLOOKUP(D32,Catalog!$B$2:$C$4102,2,FALSE()),"")</f>
        <v>3.75</v>
      </c>
      <c r="I32" s="7" t="str">
        <f aca="false">HLOOKUP(C32,Regions!$B$1:$S$2,2,FALSE())</f>
        <v>EU</v>
      </c>
      <c r="J32" s="7" t="n">
        <f aca="false">E32*F32</f>
        <v>15</v>
      </c>
      <c r="K32" s="8" t="n">
        <f aca="false">IF(H32="","",1-F32/H32)</f>
        <v>0</v>
      </c>
    </row>
    <row r="33" customFormat="false" ht="15" hidden="false" customHeight="false" outlineLevel="0" collapsed="false">
      <c r="A33" s="0" t="s">
        <v>57</v>
      </c>
      <c r="B33" s="6" t="n">
        <v>40878.3888888889</v>
      </c>
      <c r="C33" s="0" t="s">
        <v>29</v>
      </c>
      <c r="D33" s="0" t="s">
        <v>63</v>
      </c>
      <c r="E33" s="0" t="n">
        <v>4</v>
      </c>
      <c r="F33" s="0" t="n">
        <v>3.75</v>
      </c>
      <c r="G33" s="7" t="str">
        <f aca="false">_xlfn.XLOOKUP(D33,Catalog!$B$2:$B$4102,Catalog!$A$2:$A$4102,"NOT IN CATALOG")</f>
        <v>ALARM CLOCK BAKELIKE RED</v>
      </c>
      <c r="H33" s="7" t="n">
        <f aca="false">_xlfn.IFNA(VLOOKUP(D33,Catalog!$B$2:$C$4102,2,FALSE()),"")</f>
        <v>3.75</v>
      </c>
      <c r="I33" s="7" t="str">
        <f aca="false">HLOOKUP(C33,Regions!$B$1:$S$2,2,FALSE())</f>
        <v>EU</v>
      </c>
      <c r="J33" s="7" t="n">
        <f aca="false">E33*F33</f>
        <v>15</v>
      </c>
      <c r="K33" s="8" t="n">
        <f aca="false">IF(H33="","",1-F33/H33)</f>
        <v>0</v>
      </c>
    </row>
    <row r="34" customFormat="false" ht="15" hidden="false" customHeight="false" outlineLevel="0" collapsed="false">
      <c r="A34" s="0" t="s">
        <v>57</v>
      </c>
      <c r="B34" s="6" t="n">
        <v>40878.3888888889</v>
      </c>
      <c r="C34" s="0" t="s">
        <v>29</v>
      </c>
      <c r="D34" s="0" t="s">
        <v>64</v>
      </c>
      <c r="E34" s="0" t="n">
        <v>4</v>
      </c>
      <c r="F34" s="0" t="n">
        <v>3.75</v>
      </c>
      <c r="G34" s="7" t="str">
        <f aca="false">_xlfn.XLOOKUP(D34,Catalog!$B$2:$B$4102,Catalog!$A$2:$A$4102,"NOT IN CATALOG")</f>
        <v>ALARM CLOCK BAKELIKE GREEN</v>
      </c>
      <c r="H34" s="7" t="n">
        <f aca="false">_xlfn.IFNA(VLOOKUP(D34,Catalog!$B$2:$C$4102,2,FALSE()),"")</f>
        <v>3.75</v>
      </c>
      <c r="I34" s="7" t="str">
        <f aca="false">HLOOKUP(C34,Regions!$B$1:$S$2,2,FALSE())</f>
        <v>EU</v>
      </c>
      <c r="J34" s="7" t="n">
        <f aca="false">E34*F34</f>
        <v>15</v>
      </c>
      <c r="K34" s="8" t="n">
        <f aca="false">IF(H34="","",1-F34/H34)</f>
        <v>0</v>
      </c>
    </row>
    <row r="35" customFormat="false" ht="15" hidden="false" customHeight="false" outlineLevel="0" collapsed="false">
      <c r="A35" s="0" t="s">
        <v>57</v>
      </c>
      <c r="B35" s="6" t="n">
        <v>40878.3888888889</v>
      </c>
      <c r="C35" s="0" t="s">
        <v>29</v>
      </c>
      <c r="D35" s="0" t="s">
        <v>65</v>
      </c>
      <c r="E35" s="0" t="n">
        <v>4</v>
      </c>
      <c r="F35" s="0" t="n">
        <v>3.75</v>
      </c>
      <c r="G35" s="7" t="str">
        <f aca="false">_xlfn.XLOOKUP(D35,Catalog!$B$2:$B$4102,Catalog!$A$2:$A$4102,"NOT IN CATALOG")</f>
        <v>ALARM CLOCK BAKELIKE PINK</v>
      </c>
      <c r="H35" s="7" t="n">
        <f aca="false">_xlfn.IFNA(VLOOKUP(D35,Catalog!$B$2:$C$4102,2,FALSE()),"")</f>
        <v>3.75</v>
      </c>
      <c r="I35" s="7" t="str">
        <f aca="false">HLOOKUP(C35,Regions!$B$1:$S$2,2,FALSE())</f>
        <v>EU</v>
      </c>
      <c r="J35" s="7" t="n">
        <f aca="false">E35*F35</f>
        <v>15</v>
      </c>
      <c r="K35" s="8" t="n">
        <f aca="false">IF(H35="","",1-F35/H35)</f>
        <v>0</v>
      </c>
    </row>
    <row r="36" customFormat="false" ht="15" hidden="false" customHeight="false" outlineLevel="0" collapsed="false">
      <c r="A36" s="0" t="s">
        <v>57</v>
      </c>
      <c r="B36" s="6" t="n">
        <v>40878.3888888889</v>
      </c>
      <c r="C36" s="0" t="s">
        <v>29</v>
      </c>
      <c r="D36" s="0" t="s">
        <v>66</v>
      </c>
      <c r="E36" s="0" t="n">
        <v>4</v>
      </c>
      <c r="F36" s="0" t="n">
        <v>3.75</v>
      </c>
      <c r="G36" s="7" t="str">
        <f aca="false">_xlfn.XLOOKUP(D36,Catalog!$B$2:$B$4102,Catalog!$A$2:$A$4102,"NOT IN CATALOG")</f>
        <v>ALARM CLOCK BAKELIKE IVORY</v>
      </c>
      <c r="H36" s="7" t="n">
        <f aca="false">_xlfn.IFNA(VLOOKUP(D36,Catalog!$B$2:$C$4102,2,FALSE()),"")</f>
        <v>3.75</v>
      </c>
      <c r="I36" s="7" t="str">
        <f aca="false">HLOOKUP(C36,Regions!$B$1:$S$2,2,FALSE())</f>
        <v>EU</v>
      </c>
      <c r="J36" s="7" t="n">
        <f aca="false">E36*F36</f>
        <v>15</v>
      </c>
      <c r="K36" s="8" t="n">
        <f aca="false">IF(H36="","",1-F36/H36)</f>
        <v>0</v>
      </c>
    </row>
    <row r="37" customFormat="false" ht="15" hidden="false" customHeight="false" outlineLevel="0" collapsed="false">
      <c r="A37" s="0" t="s">
        <v>57</v>
      </c>
      <c r="B37" s="6" t="n">
        <v>40878.3888888889</v>
      </c>
      <c r="C37" s="0" t="s">
        <v>29</v>
      </c>
      <c r="D37" s="0" t="s">
        <v>67</v>
      </c>
      <c r="E37" s="0" t="n">
        <v>6</v>
      </c>
      <c r="F37" s="0" t="n">
        <v>2.89</v>
      </c>
      <c r="G37" s="7" t="str">
        <f aca="false">_xlfn.XLOOKUP(D37,Catalog!$B$2:$B$4102,Catalog!$A$2:$A$4102,"NOT IN CATALOG")</f>
        <v>SET OF 6 RIBBONS VINTAGE CHRISTMAS</v>
      </c>
      <c r="H37" s="7" t="n">
        <f aca="false">_xlfn.IFNA(VLOOKUP(D37,Catalog!$B$2:$C$4102,2,FALSE()),"")</f>
        <v>2.55</v>
      </c>
      <c r="I37" s="7" t="str">
        <f aca="false">HLOOKUP(C37,Regions!$B$1:$S$2,2,FALSE())</f>
        <v>EU</v>
      </c>
      <c r="J37" s="7" t="n">
        <f aca="false">E37*F37</f>
        <v>17.34</v>
      </c>
      <c r="K37" s="8" t="n">
        <f aca="false">IF(H37="","",1-F37/H37)</f>
        <v>-0.133333333333334</v>
      </c>
    </row>
    <row r="38" customFormat="false" ht="15" hidden="false" customHeight="false" outlineLevel="0" collapsed="false">
      <c r="A38" s="0" t="s">
        <v>57</v>
      </c>
      <c r="B38" s="6" t="n">
        <v>40878.3888888889</v>
      </c>
      <c r="C38" s="0" t="s">
        <v>29</v>
      </c>
      <c r="D38" s="0" t="s">
        <v>68</v>
      </c>
      <c r="E38" s="0" t="n">
        <v>2</v>
      </c>
      <c r="F38" s="0" t="n">
        <v>6.25</v>
      </c>
      <c r="G38" s="7" t="str">
        <f aca="false">_xlfn.XLOOKUP(D38,Catalog!$B$2:$B$4102,Catalog!$A$2:$A$4102,"NOT IN CATALOG")</f>
        <v>NOT IN CATALOG</v>
      </c>
      <c r="H38" s="7" t="str">
        <f aca="false">_xlfn.IFNA(VLOOKUP(D38,Catalog!$B$2:$C$4102,2,FALSE()),"")</f>
        <v/>
      </c>
      <c r="I38" s="7" t="str">
        <f aca="false">HLOOKUP(C38,Regions!$B$1:$S$2,2,FALSE())</f>
        <v>EU</v>
      </c>
      <c r="J38" s="7" t="n">
        <f aca="false">E38*F38</f>
        <v>12.5</v>
      </c>
      <c r="K38" s="8" t="str">
        <f aca="false">IF(H38="","",1-F38/H38)</f>
        <v/>
      </c>
    </row>
    <row r="39" customFormat="false" ht="15" hidden="false" customHeight="false" outlineLevel="0" collapsed="false">
      <c r="A39" s="0" t="s">
        <v>57</v>
      </c>
      <c r="B39" s="6" t="n">
        <v>40878.3888888889</v>
      </c>
      <c r="C39" s="0" t="s">
        <v>29</v>
      </c>
      <c r="D39" s="0" t="s">
        <v>69</v>
      </c>
      <c r="E39" s="0" t="n">
        <v>2</v>
      </c>
      <c r="F39" s="0" t="n">
        <v>5.95</v>
      </c>
      <c r="G39" s="7" t="str">
        <f aca="false">_xlfn.XLOOKUP(D39,Catalog!$B$2:$B$4102,Catalog!$A$2:$A$4102,"NOT IN CATALOG")</f>
        <v>CUSHION COVER PINK UNION JACK</v>
      </c>
      <c r="H39" s="7" t="n">
        <f aca="false">_xlfn.IFNA(VLOOKUP(D39,Catalog!$B$2:$C$4102,2,FALSE()),"")</f>
        <v>5.95</v>
      </c>
      <c r="I39" s="7" t="str">
        <f aca="false">HLOOKUP(C39,Regions!$B$1:$S$2,2,FALSE())</f>
        <v>EU</v>
      </c>
      <c r="J39" s="7" t="n">
        <f aca="false">E39*F39</f>
        <v>11.9</v>
      </c>
      <c r="K39" s="8" t="n">
        <f aca="false">IF(H39="","",1-F39/H39)</f>
        <v>0</v>
      </c>
    </row>
    <row r="40" customFormat="false" ht="15" hidden="false" customHeight="false" outlineLevel="0" collapsed="false">
      <c r="A40" s="0" t="s">
        <v>57</v>
      </c>
      <c r="B40" s="6" t="n">
        <v>40878.3888888889</v>
      </c>
      <c r="C40" s="0" t="s">
        <v>29</v>
      </c>
      <c r="D40" s="0" t="s">
        <v>70</v>
      </c>
      <c r="E40" s="0" t="n">
        <v>4</v>
      </c>
      <c r="F40" s="0" t="n">
        <v>4.15</v>
      </c>
      <c r="G40" s="7" t="str">
        <f aca="false">_xlfn.XLOOKUP(D40,Catalog!$B$2:$B$4102,Catalog!$A$2:$A$4102,"NOT IN CATALOG")</f>
        <v>NOT IN CATALOG</v>
      </c>
      <c r="H40" s="7" t="str">
        <f aca="false">_xlfn.IFNA(VLOOKUP(D40,Catalog!$B$2:$C$4102,2,FALSE()),"")</f>
        <v/>
      </c>
      <c r="I40" s="7" t="str">
        <f aca="false">HLOOKUP(C40,Regions!$B$1:$S$2,2,FALSE())</f>
        <v>EU</v>
      </c>
      <c r="J40" s="7" t="n">
        <f aca="false">E40*F40</f>
        <v>16.6</v>
      </c>
      <c r="K40" s="8" t="str">
        <f aca="false">IF(H40="","",1-F40/H40)</f>
        <v/>
      </c>
    </row>
    <row r="41" customFormat="false" ht="15" hidden="false" customHeight="false" outlineLevel="0" collapsed="false">
      <c r="A41" s="0" t="s">
        <v>57</v>
      </c>
      <c r="B41" s="6" t="n">
        <v>40878.3888888889</v>
      </c>
      <c r="C41" s="0" t="s">
        <v>29</v>
      </c>
      <c r="D41" s="0" t="s">
        <v>71</v>
      </c>
      <c r="E41" s="0" t="n">
        <v>4</v>
      </c>
      <c r="F41" s="0" t="n">
        <v>4.25</v>
      </c>
      <c r="G41" s="7" t="str">
        <f aca="false">_xlfn.XLOOKUP(D41,Catalog!$B$2:$B$4102,Catalog!$A$2:$A$4102,"NOT IN CATALOG")</f>
        <v>RED RETROSPOT PUDDING BOWL</v>
      </c>
      <c r="H41" s="7" t="n">
        <f aca="false">_xlfn.IFNA(VLOOKUP(D41,Catalog!$B$2:$C$4102,2,FALSE()),"")</f>
        <v>4.25</v>
      </c>
      <c r="I41" s="7" t="str">
        <f aca="false">HLOOKUP(C41,Regions!$B$1:$S$2,2,FALSE())</f>
        <v>EU</v>
      </c>
      <c r="J41" s="7" t="n">
        <f aca="false">E41*F41</f>
        <v>17</v>
      </c>
      <c r="K41" s="8" t="n">
        <f aca="false">IF(H41="","",1-F41/H41)</f>
        <v>0</v>
      </c>
    </row>
    <row r="42" customFormat="false" ht="15" hidden="false" customHeight="false" outlineLevel="0" collapsed="false">
      <c r="A42" s="0" t="s">
        <v>57</v>
      </c>
      <c r="B42" s="6" t="n">
        <v>40878.3888888889</v>
      </c>
      <c r="C42" s="0" t="s">
        <v>29</v>
      </c>
      <c r="D42" s="0" t="s">
        <v>72</v>
      </c>
      <c r="E42" s="0" t="n">
        <v>12</v>
      </c>
      <c r="F42" s="0" t="n">
        <v>1.65</v>
      </c>
      <c r="G42" s="7" t="str">
        <f aca="false">_xlfn.XLOOKUP(D42,Catalog!$B$2:$B$4102,Catalog!$A$2:$A$4102,"NOT IN CATALOG")</f>
        <v>NOT IN CATALOG</v>
      </c>
      <c r="H42" s="7" t="str">
        <f aca="false">_xlfn.IFNA(VLOOKUP(D42,Catalog!$B$2:$C$4102,2,FALSE()),"")</f>
        <v/>
      </c>
      <c r="I42" s="7" t="str">
        <f aca="false">HLOOKUP(C42,Regions!$B$1:$S$2,2,FALSE())</f>
        <v>EU</v>
      </c>
      <c r="J42" s="7" t="n">
        <f aca="false">E42*F42</f>
        <v>19.8</v>
      </c>
      <c r="K42" s="8" t="str">
        <f aca="false">IF(H42="","",1-F42/H42)</f>
        <v/>
      </c>
    </row>
    <row r="43" customFormat="false" ht="15" hidden="false" customHeight="false" outlineLevel="0" collapsed="false">
      <c r="A43" s="0" t="s">
        <v>57</v>
      </c>
      <c r="B43" s="6" t="n">
        <v>40878.3888888889</v>
      </c>
      <c r="C43" s="0" t="s">
        <v>29</v>
      </c>
      <c r="D43" s="0" t="s">
        <v>73</v>
      </c>
      <c r="E43" s="0" t="n">
        <v>12</v>
      </c>
      <c r="F43" s="0" t="n">
        <v>1.65</v>
      </c>
      <c r="G43" s="7" t="str">
        <f aca="false">_xlfn.XLOOKUP(D43,Catalog!$B$2:$B$4102,Catalog!$A$2:$A$4102,"NOT IN CATALOG")</f>
        <v>NOT IN CATALOG</v>
      </c>
      <c r="H43" s="7" t="str">
        <f aca="false">_xlfn.IFNA(VLOOKUP(D43,Catalog!$B$2:$C$4102,2,FALSE()),"")</f>
        <v/>
      </c>
      <c r="I43" s="7" t="str">
        <f aca="false">HLOOKUP(C43,Regions!$B$1:$S$2,2,FALSE())</f>
        <v>EU</v>
      </c>
      <c r="J43" s="7" t="n">
        <f aca="false">E43*F43</f>
        <v>19.8</v>
      </c>
      <c r="K43" s="8" t="str">
        <f aca="false">IF(H43="","",1-F43/H43)</f>
        <v/>
      </c>
    </row>
    <row r="44" customFormat="false" ht="15" hidden="false" customHeight="false" outlineLevel="0" collapsed="false">
      <c r="A44" s="0" t="s">
        <v>57</v>
      </c>
      <c r="B44" s="6" t="n">
        <v>40878.3888888889</v>
      </c>
      <c r="C44" s="0" t="s">
        <v>29</v>
      </c>
      <c r="D44" s="0" t="s">
        <v>74</v>
      </c>
      <c r="E44" s="0" t="n">
        <v>12</v>
      </c>
      <c r="F44" s="0" t="n">
        <v>1.65</v>
      </c>
      <c r="G44" s="7" t="str">
        <f aca="false">_xlfn.XLOOKUP(D44,Catalog!$B$2:$B$4102,Catalog!$A$2:$A$4102,"NOT IN CATALOG")</f>
        <v>NOT IN CATALOG</v>
      </c>
      <c r="H44" s="7" t="str">
        <f aca="false">_xlfn.IFNA(VLOOKUP(D44,Catalog!$B$2:$C$4102,2,FALSE()),"")</f>
        <v/>
      </c>
      <c r="I44" s="7" t="str">
        <f aca="false">HLOOKUP(C44,Regions!$B$1:$S$2,2,FALSE())</f>
        <v>EU</v>
      </c>
      <c r="J44" s="7" t="n">
        <f aca="false">E44*F44</f>
        <v>19.8</v>
      </c>
      <c r="K44" s="8" t="str">
        <f aca="false">IF(H44="","",1-F44/H44)</f>
        <v/>
      </c>
    </row>
    <row r="45" customFormat="false" ht="15" hidden="false" customHeight="false" outlineLevel="0" collapsed="false">
      <c r="A45" s="0" t="s">
        <v>57</v>
      </c>
      <c r="B45" s="6" t="n">
        <v>40878.3888888889</v>
      </c>
      <c r="C45" s="0" t="s">
        <v>29</v>
      </c>
      <c r="D45" s="0" t="s">
        <v>75</v>
      </c>
      <c r="E45" s="0" t="n">
        <v>2</v>
      </c>
      <c r="F45" s="0" t="n">
        <v>9.95</v>
      </c>
      <c r="G45" s="7" t="str">
        <f aca="false">_xlfn.XLOOKUP(D45,Catalog!$B$2:$B$4102,Catalog!$A$2:$A$4102,"NOT IN CATALOG")</f>
        <v>NOT IN CATALOG</v>
      </c>
      <c r="H45" s="7" t="str">
        <f aca="false">_xlfn.IFNA(VLOOKUP(D45,Catalog!$B$2:$C$4102,2,FALSE()),"")</f>
        <v/>
      </c>
      <c r="I45" s="7" t="str">
        <f aca="false">HLOOKUP(C45,Regions!$B$1:$S$2,2,FALSE())</f>
        <v>EU</v>
      </c>
      <c r="J45" s="7" t="n">
        <f aca="false">E45*F45</f>
        <v>19.9</v>
      </c>
      <c r="K45" s="8" t="str">
        <f aca="false">IF(H45="","",1-F45/H45)</f>
        <v/>
      </c>
    </row>
    <row r="46" customFormat="false" ht="15" hidden="false" customHeight="false" outlineLevel="0" collapsed="false">
      <c r="A46" s="0" t="s">
        <v>57</v>
      </c>
      <c r="B46" s="6" t="n">
        <v>40878.3888888889</v>
      </c>
      <c r="C46" s="0" t="s">
        <v>29</v>
      </c>
      <c r="D46" s="0" t="s">
        <v>76</v>
      </c>
      <c r="E46" s="0" t="n">
        <v>3</v>
      </c>
      <c r="F46" s="0" t="n">
        <v>4.95</v>
      </c>
      <c r="G46" s="7" t="str">
        <f aca="false">_xlfn.XLOOKUP(D46,Catalog!$B$2:$B$4102,Catalog!$A$2:$A$4102,"NOT IN CATALOG")</f>
        <v>RED COAT RACK PARIS FASHION</v>
      </c>
      <c r="H46" s="7" t="n">
        <f aca="false">_xlfn.IFNA(VLOOKUP(D46,Catalog!$B$2:$C$4102,2,FALSE()),"")</f>
        <v>4.95</v>
      </c>
      <c r="I46" s="7" t="str">
        <f aca="false">HLOOKUP(C46,Regions!$B$1:$S$2,2,FALSE())</f>
        <v>EU</v>
      </c>
      <c r="J46" s="7" t="n">
        <f aca="false">E46*F46</f>
        <v>14.85</v>
      </c>
      <c r="K46" s="8" t="n">
        <f aca="false">IF(H46="","",1-F46/H46)</f>
        <v>0</v>
      </c>
    </row>
    <row r="47" customFormat="false" ht="15" hidden="false" customHeight="false" outlineLevel="0" collapsed="false">
      <c r="A47" s="0" t="s">
        <v>57</v>
      </c>
      <c r="B47" s="6" t="n">
        <v>40878.3888888889</v>
      </c>
      <c r="C47" s="0" t="s">
        <v>29</v>
      </c>
      <c r="D47" s="0" t="s">
        <v>77</v>
      </c>
      <c r="E47" s="0" t="n">
        <v>3</v>
      </c>
      <c r="F47" s="0" t="n">
        <v>4.95</v>
      </c>
      <c r="G47" s="7" t="str">
        <f aca="false">_xlfn.XLOOKUP(D47,Catalog!$B$2:$B$4102,Catalog!$A$2:$A$4102,"NOT IN CATALOG")</f>
        <v>BLUE COAT RACK PARIS FASHION</v>
      </c>
      <c r="H47" s="7" t="n">
        <f aca="false">_xlfn.IFNA(VLOOKUP(D47,Catalog!$B$2:$C$4102,2,FALSE()),"")</f>
        <v>4.95</v>
      </c>
      <c r="I47" s="7" t="str">
        <f aca="false">HLOOKUP(C47,Regions!$B$1:$S$2,2,FALSE())</f>
        <v>EU</v>
      </c>
      <c r="J47" s="7" t="n">
        <f aca="false">E47*F47</f>
        <v>14.85</v>
      </c>
      <c r="K47" s="8" t="n">
        <f aca="false">IF(H47="","",1-F47/H47)</f>
        <v>0</v>
      </c>
    </row>
    <row r="48" customFormat="false" ht="15" hidden="false" customHeight="false" outlineLevel="0" collapsed="false">
      <c r="A48" s="0" t="s">
        <v>57</v>
      </c>
      <c r="B48" s="6" t="n">
        <v>40878.3888888889</v>
      </c>
      <c r="C48" s="0" t="s">
        <v>29</v>
      </c>
      <c r="D48" s="0" t="s">
        <v>78</v>
      </c>
      <c r="E48" s="0" t="n">
        <v>12</v>
      </c>
      <c r="F48" s="0" t="n">
        <v>0.42</v>
      </c>
      <c r="G48" s="7" t="str">
        <f aca="false">_xlfn.XLOOKUP(D48,Catalog!$B$2:$B$4102,Catalog!$A$2:$A$4102,"NOT IN CATALOG")</f>
        <v>CARD, GINGHAM ROSE</v>
      </c>
      <c r="H48" s="7" t="n">
        <f aca="false">_xlfn.IFNA(VLOOKUP(D48,Catalog!$B$2:$C$4102,2,FALSE()),"")</f>
        <v>0.42</v>
      </c>
      <c r="I48" s="7" t="str">
        <f aca="false">HLOOKUP(C48,Regions!$B$1:$S$2,2,FALSE())</f>
        <v>EU</v>
      </c>
      <c r="J48" s="7" t="n">
        <f aca="false">E48*F48</f>
        <v>5.04</v>
      </c>
      <c r="K48" s="8" t="n">
        <f aca="false">IF(H48="","",1-F48/H48)</f>
        <v>0</v>
      </c>
    </row>
    <row r="49" customFormat="false" ht="15" hidden="false" customHeight="false" outlineLevel="0" collapsed="false">
      <c r="A49" s="0" t="s">
        <v>57</v>
      </c>
      <c r="B49" s="6" t="n">
        <v>40878.3888888889</v>
      </c>
      <c r="C49" s="0" t="s">
        <v>29</v>
      </c>
      <c r="D49" s="0" t="s">
        <v>79</v>
      </c>
      <c r="E49" s="0" t="n">
        <v>4</v>
      </c>
      <c r="F49" s="0" t="n">
        <v>3.25</v>
      </c>
      <c r="G49" s="7" t="str">
        <f aca="false">_xlfn.XLOOKUP(D49,Catalog!$B$2:$B$4102,Catalog!$A$2:$A$4102,"NOT IN CATALOG")</f>
        <v>NOT IN CATALOG</v>
      </c>
      <c r="H49" s="7" t="str">
        <f aca="false">_xlfn.IFNA(VLOOKUP(D49,Catalog!$B$2:$C$4102,2,FALSE()),"")</f>
        <v/>
      </c>
      <c r="I49" s="7" t="str">
        <f aca="false">HLOOKUP(C49,Regions!$B$1:$S$2,2,FALSE())</f>
        <v>EU</v>
      </c>
      <c r="J49" s="7" t="n">
        <f aca="false">E49*F49</f>
        <v>13</v>
      </c>
      <c r="K49" s="8" t="str">
        <f aca="false">IF(H49="","",1-F49/H49)</f>
        <v/>
      </c>
    </row>
    <row r="50" customFormat="false" ht="15" hidden="false" customHeight="false" outlineLevel="0" collapsed="false">
      <c r="A50" s="0" t="s">
        <v>57</v>
      </c>
      <c r="B50" s="6" t="n">
        <v>40878.3888888889</v>
      </c>
      <c r="C50" s="0" t="s">
        <v>29</v>
      </c>
      <c r="D50" s="0" t="s">
        <v>39</v>
      </c>
      <c r="E50" s="0" t="n">
        <v>3</v>
      </c>
      <c r="F50" s="0" t="n">
        <v>18</v>
      </c>
      <c r="G50" s="7" t="str">
        <f aca="false">_xlfn.XLOOKUP(D50,Catalog!$B$2:$B$4102,Catalog!$A$2:$A$4102,"NOT IN CATALOG")</f>
        <v>POSTAGE</v>
      </c>
      <c r="H50" s="7" t="n">
        <f aca="false">_xlfn.IFNA(VLOOKUP(D50,Catalog!$B$2:$C$4102,2,FALSE()),"")</f>
        <v>18</v>
      </c>
      <c r="I50" s="7" t="str">
        <f aca="false">HLOOKUP(C50,Regions!$B$1:$S$2,2,FALSE())</f>
        <v>EU</v>
      </c>
      <c r="J50" s="7" t="n">
        <f aca="false">E50*F50</f>
        <v>54</v>
      </c>
      <c r="K50" s="8" t="n">
        <f aca="false">IF(H50="","",1-F50/H50)</f>
        <v>0</v>
      </c>
    </row>
    <row r="51" customFormat="false" ht="15" hidden="false" customHeight="false" outlineLevel="0" collapsed="false">
      <c r="A51" s="0" t="s">
        <v>80</v>
      </c>
      <c r="B51" s="6" t="n">
        <v>40878.6930555556</v>
      </c>
      <c r="C51" s="0" t="s">
        <v>81</v>
      </c>
      <c r="D51" s="0" t="s">
        <v>82</v>
      </c>
      <c r="E51" s="0" t="n">
        <v>48</v>
      </c>
      <c r="F51" s="0" t="n">
        <v>1.79</v>
      </c>
      <c r="G51" s="7" t="str">
        <f aca="false">_xlfn.XLOOKUP(D51,Catalog!$B$2:$B$4102,Catalog!$A$2:$A$4102,"NOT IN CATALOG")</f>
        <v>NOT IN CATALOG</v>
      </c>
      <c r="H51" s="7" t="str">
        <f aca="false">_xlfn.IFNA(VLOOKUP(D51,Catalog!$B$2:$C$4102,2,FALSE()),"")</f>
        <v/>
      </c>
      <c r="I51" s="7" t="str">
        <f aca="false">HLOOKUP(C51,Regions!$B$1:$S$2,2,FALSE())</f>
        <v>EU</v>
      </c>
      <c r="J51" s="7" t="n">
        <f aca="false">E51*F51</f>
        <v>85.92</v>
      </c>
      <c r="K51" s="8" t="str">
        <f aca="false">IF(H51="","",1-F51/H51)</f>
        <v/>
      </c>
    </row>
    <row r="52" customFormat="false" ht="15" hidden="false" customHeight="false" outlineLevel="0" collapsed="false">
      <c r="A52" s="0" t="s">
        <v>80</v>
      </c>
      <c r="B52" s="6" t="n">
        <v>40878.6930555556</v>
      </c>
      <c r="C52" s="0" t="s">
        <v>81</v>
      </c>
      <c r="D52" s="0" t="s">
        <v>83</v>
      </c>
      <c r="E52" s="0" t="n">
        <v>24</v>
      </c>
      <c r="F52" s="0" t="n">
        <v>1.65</v>
      </c>
      <c r="G52" s="7" t="str">
        <f aca="false">_xlfn.XLOOKUP(D52,Catalog!$B$2:$B$4102,Catalog!$A$2:$A$4102,"NOT IN CATALOG")</f>
        <v>RED TOADSTOOL LED NIGHT LIGHT</v>
      </c>
      <c r="H52" s="7" t="n">
        <f aca="false">_xlfn.IFNA(VLOOKUP(D52,Catalog!$B$2:$C$4102,2,FALSE()),"")</f>
        <v>1.65</v>
      </c>
      <c r="I52" s="7" t="str">
        <f aca="false">HLOOKUP(C52,Regions!$B$1:$S$2,2,FALSE())</f>
        <v>EU</v>
      </c>
      <c r="J52" s="7" t="n">
        <f aca="false">E52*F52</f>
        <v>39.6</v>
      </c>
      <c r="K52" s="8" t="n">
        <f aca="false">IF(H52="","",1-F52/H52)</f>
        <v>0</v>
      </c>
    </row>
    <row r="53" customFormat="false" ht="15" hidden="false" customHeight="false" outlineLevel="0" collapsed="false">
      <c r="A53" s="0" t="s">
        <v>80</v>
      </c>
      <c r="B53" s="6" t="n">
        <v>40878.6930555556</v>
      </c>
      <c r="C53" s="0" t="s">
        <v>81</v>
      </c>
      <c r="D53" s="0" t="s">
        <v>84</v>
      </c>
      <c r="E53" s="0" t="n">
        <v>10</v>
      </c>
      <c r="F53" s="0" t="n">
        <v>0.85</v>
      </c>
      <c r="G53" s="7" t="str">
        <f aca="false">_xlfn.XLOOKUP(D53,Catalog!$B$2:$B$4102,Catalog!$A$2:$A$4102,"NOT IN CATALOG")</f>
        <v>CHARLOTTE BAG SUKI DESIGN</v>
      </c>
      <c r="H53" s="7" t="n">
        <f aca="false">_xlfn.IFNA(VLOOKUP(D53,Catalog!$B$2:$C$4102,2,FALSE()),"")</f>
        <v>0.85</v>
      </c>
      <c r="I53" s="7" t="str">
        <f aca="false">HLOOKUP(C53,Regions!$B$1:$S$2,2,FALSE())</f>
        <v>EU</v>
      </c>
      <c r="J53" s="7" t="n">
        <f aca="false">E53*F53</f>
        <v>8.5</v>
      </c>
      <c r="K53" s="8" t="n">
        <f aca="false">IF(H53="","",1-F53/H53)</f>
        <v>0</v>
      </c>
    </row>
    <row r="54" customFormat="false" ht="15" hidden="false" customHeight="false" outlineLevel="0" collapsed="false">
      <c r="A54" s="0" t="s">
        <v>80</v>
      </c>
      <c r="B54" s="6" t="n">
        <v>40878.6930555556</v>
      </c>
      <c r="C54" s="0" t="s">
        <v>81</v>
      </c>
      <c r="D54" s="0" t="s">
        <v>85</v>
      </c>
      <c r="E54" s="0" t="n">
        <v>8</v>
      </c>
      <c r="F54" s="0" t="n">
        <v>4.15</v>
      </c>
      <c r="G54" s="7" t="str">
        <f aca="false">_xlfn.XLOOKUP(D54,Catalog!$B$2:$B$4102,Catalog!$A$2:$A$4102,"NOT IN CATALOG")</f>
        <v>NOT IN CATALOG</v>
      </c>
      <c r="H54" s="7" t="str">
        <f aca="false">_xlfn.IFNA(VLOOKUP(D54,Catalog!$B$2:$C$4102,2,FALSE()),"")</f>
        <v/>
      </c>
      <c r="I54" s="7" t="str">
        <f aca="false">HLOOKUP(C54,Regions!$B$1:$S$2,2,FALSE())</f>
        <v>EU</v>
      </c>
      <c r="J54" s="7" t="n">
        <f aca="false">E54*F54</f>
        <v>33.2</v>
      </c>
      <c r="K54" s="8" t="str">
        <f aca="false">IF(H54="","",1-F54/H54)</f>
        <v/>
      </c>
    </row>
    <row r="55" customFormat="false" ht="15" hidden="false" customHeight="false" outlineLevel="0" collapsed="false">
      <c r="A55" s="0" t="s">
        <v>80</v>
      </c>
      <c r="B55" s="6" t="n">
        <v>40878.6930555556</v>
      </c>
      <c r="C55" s="0" t="s">
        <v>81</v>
      </c>
      <c r="D55" s="0" t="s">
        <v>86</v>
      </c>
      <c r="E55" s="0" t="n">
        <v>10</v>
      </c>
      <c r="F55" s="0" t="n">
        <v>2.08</v>
      </c>
      <c r="G55" s="7" t="str">
        <f aca="false">_xlfn.XLOOKUP(D55,Catalog!$B$2:$B$4102,Catalog!$A$2:$A$4102,"NOT IN CATALOG")</f>
        <v>JUMBO BAG SPACEBOY DESIGN</v>
      </c>
      <c r="H55" s="7" t="n">
        <f aca="false">_xlfn.IFNA(VLOOKUP(D55,Catalog!$B$2:$C$4102,2,FALSE()),"")</f>
        <v>1.95</v>
      </c>
      <c r="I55" s="7" t="str">
        <f aca="false">HLOOKUP(C55,Regions!$B$1:$S$2,2,FALSE())</f>
        <v>EU</v>
      </c>
      <c r="J55" s="7" t="n">
        <f aca="false">E55*F55</f>
        <v>20.8</v>
      </c>
      <c r="K55" s="8" t="n">
        <f aca="false">IF(H55="","",1-F55/H55)</f>
        <v>-0.0666666666666667</v>
      </c>
    </row>
    <row r="56" customFormat="false" ht="15" hidden="false" customHeight="false" outlineLevel="0" collapsed="false">
      <c r="A56" s="0" t="s">
        <v>80</v>
      </c>
      <c r="B56" s="6" t="n">
        <v>40878.6930555556</v>
      </c>
      <c r="C56" s="0" t="s">
        <v>81</v>
      </c>
      <c r="D56" s="0" t="s">
        <v>87</v>
      </c>
      <c r="E56" s="0" t="n">
        <v>20</v>
      </c>
      <c r="F56" s="0" t="n">
        <v>2.08</v>
      </c>
      <c r="G56" s="7" t="str">
        <f aca="false">_xlfn.XLOOKUP(D56,Catalog!$B$2:$B$4102,Catalog!$A$2:$A$4102,"NOT IN CATALOG")</f>
        <v>JUMBO BAG RED RETROSPOT</v>
      </c>
      <c r="H56" s="7" t="n">
        <f aca="false">_xlfn.IFNA(VLOOKUP(D56,Catalog!$B$2:$C$4102,2,FALSE()),"")</f>
        <v>1.95</v>
      </c>
      <c r="I56" s="7" t="str">
        <f aca="false">HLOOKUP(C56,Regions!$B$1:$S$2,2,FALSE())</f>
        <v>EU</v>
      </c>
      <c r="J56" s="7" t="n">
        <f aca="false">E56*F56</f>
        <v>41.6</v>
      </c>
      <c r="K56" s="8" t="n">
        <f aca="false">IF(H56="","",1-F56/H56)</f>
        <v>-0.0666666666666667</v>
      </c>
    </row>
    <row r="57" customFormat="false" ht="15" hidden="false" customHeight="false" outlineLevel="0" collapsed="false">
      <c r="A57" s="0" t="s">
        <v>80</v>
      </c>
      <c r="B57" s="6" t="n">
        <v>40878.6930555556</v>
      </c>
      <c r="C57" s="0" t="s">
        <v>81</v>
      </c>
      <c r="D57" s="0" t="s">
        <v>88</v>
      </c>
      <c r="E57" s="0" t="n">
        <v>12</v>
      </c>
      <c r="F57" s="0" t="n">
        <v>1.25</v>
      </c>
      <c r="G57" s="7" t="str">
        <f aca="false">_xlfn.XLOOKUP(D57,Catalog!$B$2:$B$4102,Catalog!$A$2:$A$4102,"NOT IN CATALOG")</f>
        <v>SET OF 9 HEART SHAPED BALLOONS</v>
      </c>
      <c r="H57" s="7" t="n">
        <f aca="false">_xlfn.IFNA(VLOOKUP(D57,Catalog!$B$2:$C$4102,2,FALSE()),"")</f>
        <v>1.25</v>
      </c>
      <c r="I57" s="7" t="str">
        <f aca="false">HLOOKUP(C57,Regions!$B$1:$S$2,2,FALSE())</f>
        <v>EU</v>
      </c>
      <c r="J57" s="7" t="n">
        <f aca="false">E57*F57</f>
        <v>15</v>
      </c>
      <c r="K57" s="8" t="n">
        <f aca="false">IF(H57="","",1-F57/H57)</f>
        <v>0</v>
      </c>
    </row>
    <row r="58" customFormat="false" ht="15" hidden="false" customHeight="false" outlineLevel="0" collapsed="false">
      <c r="A58" s="0" t="s">
        <v>80</v>
      </c>
      <c r="B58" s="6" t="n">
        <v>40878.6930555556</v>
      </c>
      <c r="C58" s="0" t="s">
        <v>81</v>
      </c>
      <c r="D58" s="0" t="s">
        <v>89</v>
      </c>
      <c r="E58" s="0" t="n">
        <v>12</v>
      </c>
      <c r="F58" s="0" t="n">
        <v>0.42</v>
      </c>
      <c r="G58" s="7" t="str">
        <f aca="false">_xlfn.XLOOKUP(D58,Catalog!$B$2:$B$4102,Catalog!$A$2:$A$4102,"NOT IN CATALOG")</f>
        <v>LIPSTICK PEN RED</v>
      </c>
      <c r="H58" s="7" t="n">
        <f aca="false">_xlfn.IFNA(VLOOKUP(D58,Catalog!$B$2:$C$4102,2,FALSE()),"")</f>
        <v>0.42</v>
      </c>
      <c r="I58" s="7" t="str">
        <f aca="false">HLOOKUP(C58,Regions!$B$1:$S$2,2,FALSE())</f>
        <v>EU</v>
      </c>
      <c r="J58" s="7" t="n">
        <f aca="false">E58*F58</f>
        <v>5.04</v>
      </c>
      <c r="K58" s="8" t="n">
        <f aca="false">IF(H58="","",1-F58/H58)</f>
        <v>0</v>
      </c>
    </row>
    <row r="59" customFormat="false" ht="15" hidden="false" customHeight="false" outlineLevel="0" collapsed="false">
      <c r="A59" s="0" t="s">
        <v>80</v>
      </c>
      <c r="B59" s="6" t="n">
        <v>40878.6930555556</v>
      </c>
      <c r="C59" s="0" t="s">
        <v>81</v>
      </c>
      <c r="D59" s="0" t="s">
        <v>90</v>
      </c>
      <c r="E59" s="0" t="n">
        <v>24</v>
      </c>
      <c r="F59" s="0" t="n">
        <v>0.39</v>
      </c>
      <c r="G59" s="7" t="str">
        <f aca="false">_xlfn.XLOOKUP(D59,Catalog!$B$2:$B$4102,Catalog!$A$2:$A$4102,"NOT IN CATALOG")</f>
        <v>FEATHER PEN,LIGHT PINK</v>
      </c>
      <c r="H59" s="7" t="n">
        <f aca="false">_xlfn.IFNA(VLOOKUP(D59,Catalog!$B$2:$C$4102,2,FALSE()),"")</f>
        <v>0.85</v>
      </c>
      <c r="I59" s="7" t="str">
        <f aca="false">HLOOKUP(C59,Regions!$B$1:$S$2,2,FALSE())</f>
        <v>EU</v>
      </c>
      <c r="J59" s="7" t="n">
        <f aca="false">E59*F59</f>
        <v>9.36</v>
      </c>
      <c r="K59" s="8" t="n">
        <f aca="false">IF(H59="","",1-F59/H59)</f>
        <v>0.541176470588235</v>
      </c>
    </row>
    <row r="60" customFormat="false" ht="15" hidden="false" customHeight="false" outlineLevel="0" collapsed="false">
      <c r="A60" s="0" t="s">
        <v>80</v>
      </c>
      <c r="B60" s="6" t="n">
        <v>40878.6930555556</v>
      </c>
      <c r="C60" s="0" t="s">
        <v>81</v>
      </c>
      <c r="D60" s="0" t="s">
        <v>39</v>
      </c>
      <c r="E60" s="0" t="n">
        <v>1</v>
      </c>
      <c r="F60" s="0" t="n">
        <v>18</v>
      </c>
      <c r="G60" s="7" t="str">
        <f aca="false">_xlfn.XLOOKUP(D60,Catalog!$B$2:$B$4102,Catalog!$A$2:$A$4102,"NOT IN CATALOG")</f>
        <v>POSTAGE</v>
      </c>
      <c r="H60" s="7" t="n">
        <f aca="false">_xlfn.IFNA(VLOOKUP(D60,Catalog!$B$2:$C$4102,2,FALSE()),"")</f>
        <v>18</v>
      </c>
      <c r="I60" s="7" t="str">
        <f aca="false">HLOOKUP(C60,Regions!$B$1:$S$2,2,FALSE())</f>
        <v>EU</v>
      </c>
      <c r="J60" s="7" t="n">
        <f aca="false">E60*F60</f>
        <v>18</v>
      </c>
      <c r="K60" s="8" t="n">
        <f aca="false">IF(H60="","",1-F60/H60)</f>
        <v>0</v>
      </c>
    </row>
    <row r="61" customFormat="false" ht="15" hidden="false" customHeight="false" outlineLevel="0" collapsed="false">
      <c r="A61" s="0" t="s">
        <v>91</v>
      </c>
      <c r="B61" s="6" t="n">
        <v>40878.7131944444</v>
      </c>
      <c r="C61" s="0" t="s">
        <v>92</v>
      </c>
      <c r="D61" s="0" t="s">
        <v>93</v>
      </c>
      <c r="E61" s="0" t="n">
        <v>72</v>
      </c>
      <c r="F61" s="0" t="n">
        <v>3.75</v>
      </c>
      <c r="G61" s="7" t="str">
        <f aca="false">_xlfn.XLOOKUP(D61,Catalog!$B$2:$B$4102,Catalog!$A$2:$A$4102,"NOT IN CATALOG")</f>
        <v>BLUE 3 PIECE MINI DOTS CUTLERY SET</v>
      </c>
      <c r="H61" s="7" t="n">
        <f aca="false">_xlfn.IFNA(VLOOKUP(D61,Catalog!$B$2:$C$4102,2,FALSE()),"")</f>
        <v>3.75</v>
      </c>
      <c r="I61" s="7" t="str">
        <f aca="false">HLOOKUP(C61,Regions!$B$1:$S$2,2,FALSE())</f>
        <v>EU</v>
      </c>
      <c r="J61" s="7" t="n">
        <f aca="false">E61*F61</f>
        <v>270</v>
      </c>
      <c r="K61" s="8" t="n">
        <f aca="false">IF(H61="","",1-F61/H61)</f>
        <v>0</v>
      </c>
    </row>
    <row r="62" customFormat="false" ht="15" hidden="false" customHeight="false" outlineLevel="0" collapsed="false">
      <c r="A62" s="0" t="s">
        <v>91</v>
      </c>
      <c r="B62" s="6" t="n">
        <v>40878.7131944444</v>
      </c>
      <c r="C62" s="0" t="s">
        <v>92</v>
      </c>
      <c r="D62" s="0" t="s">
        <v>94</v>
      </c>
      <c r="E62" s="0" t="n">
        <v>72</v>
      </c>
      <c r="F62" s="0" t="n">
        <v>3.75</v>
      </c>
      <c r="G62" s="7" t="str">
        <f aca="false">_xlfn.XLOOKUP(D62,Catalog!$B$2:$B$4102,Catalog!$A$2:$A$4102,"NOT IN CATALOG")</f>
        <v>PINK 3 PIECE MINI DOTS CUTLERY SET</v>
      </c>
      <c r="H62" s="7" t="n">
        <f aca="false">_xlfn.IFNA(VLOOKUP(D62,Catalog!$B$2:$C$4102,2,FALSE()),"")</f>
        <v>3.75</v>
      </c>
      <c r="I62" s="7" t="str">
        <f aca="false">HLOOKUP(C62,Regions!$B$1:$S$2,2,FALSE())</f>
        <v>EU</v>
      </c>
      <c r="J62" s="7" t="n">
        <f aca="false">E62*F62</f>
        <v>270</v>
      </c>
      <c r="K62" s="8" t="n">
        <f aca="false">IF(H62="","",1-F62/H62)</f>
        <v>0</v>
      </c>
    </row>
    <row r="63" customFormat="false" ht="15" hidden="false" customHeight="false" outlineLevel="0" collapsed="false">
      <c r="A63" s="0" t="s">
        <v>91</v>
      </c>
      <c r="B63" s="6" t="n">
        <v>40878.7131944444</v>
      </c>
      <c r="C63" s="0" t="s">
        <v>92</v>
      </c>
      <c r="D63" s="0" t="s">
        <v>95</v>
      </c>
      <c r="E63" s="0" t="n">
        <v>72</v>
      </c>
      <c r="F63" s="0" t="n">
        <v>3.75</v>
      </c>
      <c r="G63" s="7" t="str">
        <f aca="false">_xlfn.XLOOKUP(D63,Catalog!$B$2:$B$4102,Catalog!$A$2:$A$4102,"NOT IN CATALOG")</f>
        <v>GREEN 3 PIECE MINI DOTS CUTLERY SET</v>
      </c>
      <c r="H63" s="7" t="n">
        <f aca="false">_xlfn.IFNA(VLOOKUP(D63,Catalog!$B$2:$C$4102,2,FALSE()),"")</f>
        <v>3.75</v>
      </c>
      <c r="I63" s="7" t="str">
        <f aca="false">HLOOKUP(C63,Regions!$B$1:$S$2,2,FALSE())</f>
        <v>EU</v>
      </c>
      <c r="J63" s="7" t="n">
        <f aca="false">E63*F63</f>
        <v>270</v>
      </c>
      <c r="K63" s="8" t="n">
        <f aca="false">IF(H63="","",1-F63/H63)</f>
        <v>0</v>
      </c>
    </row>
    <row r="64" customFormat="false" ht="15" hidden="false" customHeight="false" outlineLevel="0" collapsed="false">
      <c r="A64" s="0" t="s">
        <v>91</v>
      </c>
      <c r="B64" s="6" t="n">
        <v>40878.7131944444</v>
      </c>
      <c r="C64" s="0" t="s">
        <v>92</v>
      </c>
      <c r="D64" s="0" t="s">
        <v>39</v>
      </c>
      <c r="E64" s="0" t="n">
        <v>2</v>
      </c>
      <c r="F64" s="0" t="n">
        <v>40</v>
      </c>
      <c r="G64" s="7" t="str">
        <f aca="false">_xlfn.XLOOKUP(D64,Catalog!$B$2:$B$4102,Catalog!$A$2:$A$4102,"NOT IN CATALOG")</f>
        <v>POSTAGE</v>
      </c>
      <c r="H64" s="7" t="n">
        <f aca="false">_xlfn.IFNA(VLOOKUP(D64,Catalog!$B$2:$C$4102,2,FALSE()),"")</f>
        <v>18</v>
      </c>
      <c r="I64" s="7" t="str">
        <f aca="false">HLOOKUP(C64,Regions!$B$1:$S$2,2,FALSE())</f>
        <v>EU</v>
      </c>
      <c r="J64" s="7" t="n">
        <f aca="false">E64*F64</f>
        <v>80</v>
      </c>
      <c r="K64" s="8" t="n">
        <f aca="false">IF(H64="","",1-F64/H64)</f>
        <v>-1.22222222222222</v>
      </c>
    </row>
    <row r="65" customFormat="false" ht="15" hidden="false" customHeight="false" outlineLevel="0" collapsed="false">
      <c r="A65" s="0" t="s">
        <v>96</v>
      </c>
      <c r="B65" s="6" t="n">
        <v>40878.7166666667</v>
      </c>
      <c r="C65" s="0" t="s">
        <v>41</v>
      </c>
      <c r="D65" s="0" t="s">
        <v>97</v>
      </c>
      <c r="E65" s="0" t="n">
        <v>16</v>
      </c>
      <c r="F65" s="0" t="n">
        <v>2.25</v>
      </c>
      <c r="G65" s="7" t="str">
        <f aca="false">_xlfn.XLOOKUP(D65,Catalog!$B$2:$B$4102,Catalog!$A$2:$A$4102,"NOT IN CATALOG")</f>
        <v>NOT IN CATALOG</v>
      </c>
      <c r="H65" s="7" t="str">
        <f aca="false">_xlfn.IFNA(VLOOKUP(D65,Catalog!$B$2:$C$4102,2,FALSE()),"")</f>
        <v/>
      </c>
      <c r="I65" s="7" t="str">
        <f aca="false">HLOOKUP(C65,Regions!$B$1:$S$2,2,FALSE())</f>
        <v>EU</v>
      </c>
      <c r="J65" s="7" t="n">
        <f aca="false">E65*F65</f>
        <v>36</v>
      </c>
      <c r="K65" s="8" t="str">
        <f aca="false">IF(H65="","",1-F65/H65)</f>
        <v/>
      </c>
    </row>
    <row r="66" customFormat="false" ht="15" hidden="false" customHeight="false" outlineLevel="0" collapsed="false">
      <c r="A66" s="0" t="s">
        <v>96</v>
      </c>
      <c r="B66" s="6" t="n">
        <v>40878.7166666667</v>
      </c>
      <c r="C66" s="0" t="s">
        <v>41</v>
      </c>
      <c r="D66" s="0" t="s">
        <v>98</v>
      </c>
      <c r="E66" s="0" t="n">
        <v>3</v>
      </c>
      <c r="F66" s="0" t="n">
        <v>4.95</v>
      </c>
      <c r="G66" s="7" t="str">
        <f aca="false">_xlfn.XLOOKUP(D66,Catalog!$B$2:$B$4102,Catalog!$A$2:$A$4102,"NOT IN CATALOG")</f>
        <v>BAKING SET 9 PIECE RETROSPOT</v>
      </c>
      <c r="H66" s="7" t="n">
        <f aca="false">_xlfn.IFNA(VLOOKUP(D66,Catalog!$B$2:$C$4102,2,FALSE()),"")</f>
        <v>4.95</v>
      </c>
      <c r="I66" s="7" t="str">
        <f aca="false">HLOOKUP(C66,Regions!$B$1:$S$2,2,FALSE())</f>
        <v>EU</v>
      </c>
      <c r="J66" s="7" t="n">
        <f aca="false">E66*F66</f>
        <v>14.85</v>
      </c>
      <c r="K66" s="8" t="n">
        <f aca="false">IF(H66="","",1-F66/H66)</f>
        <v>0</v>
      </c>
    </row>
    <row r="67" customFormat="false" ht="15" hidden="false" customHeight="false" outlineLevel="0" collapsed="false">
      <c r="A67" s="0" t="s">
        <v>96</v>
      </c>
      <c r="B67" s="6" t="n">
        <v>40878.7166666667</v>
      </c>
      <c r="C67" s="0" t="s">
        <v>41</v>
      </c>
      <c r="D67" s="0" t="s">
        <v>99</v>
      </c>
      <c r="E67" s="0" t="n">
        <v>9</v>
      </c>
      <c r="F67" s="0" t="n">
        <v>4.95</v>
      </c>
      <c r="G67" s="7" t="str">
        <f aca="false">_xlfn.XLOOKUP(D67,Catalog!$B$2:$B$4102,Catalog!$A$2:$A$4102,"NOT IN CATALOG")</f>
        <v>RETRO SPOT TEA SET CERAMIC 11 PC</v>
      </c>
      <c r="H67" s="7" t="n">
        <f aca="false">_xlfn.IFNA(VLOOKUP(D67,Catalog!$B$2:$C$4102,2,FALSE()),"")</f>
        <v>4.95</v>
      </c>
      <c r="I67" s="7" t="str">
        <f aca="false">HLOOKUP(C67,Regions!$B$1:$S$2,2,FALSE())</f>
        <v>EU</v>
      </c>
      <c r="J67" s="7" t="n">
        <f aca="false">E67*F67</f>
        <v>44.55</v>
      </c>
      <c r="K67" s="8" t="n">
        <f aca="false">IF(H67="","",1-F67/H67)</f>
        <v>0</v>
      </c>
    </row>
    <row r="68" customFormat="false" ht="15" hidden="false" customHeight="false" outlineLevel="0" collapsed="false">
      <c r="A68" s="0" t="s">
        <v>96</v>
      </c>
      <c r="B68" s="6" t="n">
        <v>40878.7166666667</v>
      </c>
      <c r="C68" s="0" t="s">
        <v>41</v>
      </c>
      <c r="D68" s="0" t="s">
        <v>100</v>
      </c>
      <c r="E68" s="0" t="n">
        <v>3</v>
      </c>
      <c r="F68" s="0" t="n">
        <v>4.95</v>
      </c>
      <c r="G68" s="7" t="str">
        <f aca="false">_xlfn.XLOOKUP(D68,Catalog!$B$2:$B$4102,Catalog!$A$2:$A$4102,"NOT IN CATALOG")</f>
        <v>BAKING SET SPACEBOY DESIGN</v>
      </c>
      <c r="H68" s="7" t="n">
        <f aca="false">_xlfn.IFNA(VLOOKUP(D68,Catalog!$B$2:$C$4102,2,FALSE()),"")</f>
        <v>4.95</v>
      </c>
      <c r="I68" s="7" t="str">
        <f aca="false">HLOOKUP(C68,Regions!$B$1:$S$2,2,FALSE())</f>
        <v>EU</v>
      </c>
      <c r="J68" s="7" t="n">
        <f aca="false">E68*F68</f>
        <v>14.85</v>
      </c>
      <c r="K68" s="8" t="n">
        <f aca="false">IF(H68="","",1-F68/H68)</f>
        <v>0</v>
      </c>
    </row>
    <row r="69" customFormat="false" ht="15" hidden="false" customHeight="false" outlineLevel="0" collapsed="false">
      <c r="A69" s="0" t="s">
        <v>96</v>
      </c>
      <c r="B69" s="6" t="n">
        <v>40878.7166666667</v>
      </c>
      <c r="C69" s="0" t="s">
        <v>41</v>
      </c>
      <c r="D69" s="0" t="s">
        <v>101</v>
      </c>
      <c r="E69" s="0" t="n">
        <v>2</v>
      </c>
      <c r="F69" s="0" t="n">
        <v>8.25</v>
      </c>
      <c r="G69" s="7" t="str">
        <f aca="false">_xlfn.XLOOKUP(D69,Catalog!$B$2:$B$4102,Catalog!$A$2:$A$4102,"NOT IN CATALOG")</f>
        <v>NOT IN CATALOG</v>
      </c>
      <c r="H69" s="7" t="str">
        <f aca="false">_xlfn.IFNA(VLOOKUP(D69,Catalog!$B$2:$C$4102,2,FALSE()),"")</f>
        <v/>
      </c>
      <c r="I69" s="7" t="str">
        <f aca="false">HLOOKUP(C69,Regions!$B$1:$S$2,2,FALSE())</f>
        <v>EU</v>
      </c>
      <c r="J69" s="7" t="n">
        <f aca="false">E69*F69</f>
        <v>16.5</v>
      </c>
      <c r="K69" s="8" t="str">
        <f aca="false">IF(H69="","",1-F69/H69)</f>
        <v/>
      </c>
    </row>
    <row r="70" customFormat="false" ht="15" hidden="false" customHeight="false" outlineLevel="0" collapsed="false">
      <c r="A70" s="0" t="s">
        <v>96</v>
      </c>
      <c r="B70" s="6" t="n">
        <v>40878.7166666667</v>
      </c>
      <c r="C70" s="0" t="s">
        <v>41</v>
      </c>
      <c r="D70" s="0" t="s">
        <v>102</v>
      </c>
      <c r="E70" s="0" t="n">
        <v>10</v>
      </c>
      <c r="F70" s="0" t="n">
        <v>2.1</v>
      </c>
      <c r="G70" s="7" t="str">
        <f aca="false">_xlfn.XLOOKUP(D70,Catalog!$B$2:$B$4102,Catalog!$A$2:$A$4102,"NOT IN CATALOG")</f>
        <v>RECYCLING BAG RETROSPOT</v>
      </c>
      <c r="H70" s="7" t="n">
        <f aca="false">_xlfn.IFNA(VLOOKUP(D70,Catalog!$B$2:$C$4102,2,FALSE()),"")</f>
        <v>2.1</v>
      </c>
      <c r="I70" s="7" t="str">
        <f aca="false">HLOOKUP(C70,Regions!$B$1:$S$2,2,FALSE())</f>
        <v>EU</v>
      </c>
      <c r="J70" s="7" t="n">
        <f aca="false">E70*F70</f>
        <v>21</v>
      </c>
      <c r="K70" s="8" t="n">
        <f aca="false">IF(H70="","",1-F70/H70)</f>
        <v>0</v>
      </c>
    </row>
    <row r="71" customFormat="false" ht="15" hidden="false" customHeight="false" outlineLevel="0" collapsed="false">
      <c r="A71" s="0" t="s">
        <v>96</v>
      </c>
      <c r="B71" s="6" t="n">
        <v>40878.7166666667</v>
      </c>
      <c r="C71" s="0" t="s">
        <v>41</v>
      </c>
      <c r="D71" s="0" t="s">
        <v>103</v>
      </c>
      <c r="E71" s="0" t="n">
        <v>10</v>
      </c>
      <c r="F71" s="0" t="n">
        <v>2.08</v>
      </c>
      <c r="G71" s="7" t="str">
        <f aca="false">_xlfn.XLOOKUP(D71,Catalog!$B$2:$B$4102,Catalog!$A$2:$A$4102,"NOT IN CATALOG")</f>
        <v>JUMBO BAG WOODLAND ANIMALS</v>
      </c>
      <c r="H71" s="7" t="n">
        <f aca="false">_xlfn.IFNA(VLOOKUP(D71,Catalog!$B$2:$C$4102,2,FALSE()),"")</f>
        <v>1.95</v>
      </c>
      <c r="I71" s="7" t="str">
        <f aca="false">HLOOKUP(C71,Regions!$B$1:$S$2,2,FALSE())</f>
        <v>EU</v>
      </c>
      <c r="J71" s="7" t="n">
        <f aca="false">E71*F71</f>
        <v>20.8</v>
      </c>
      <c r="K71" s="8" t="n">
        <f aca="false">IF(H71="","",1-F71/H71)</f>
        <v>-0.0666666666666667</v>
      </c>
    </row>
    <row r="72" customFormat="false" ht="15" hidden="false" customHeight="false" outlineLevel="0" collapsed="false">
      <c r="A72" s="0" t="s">
        <v>96</v>
      </c>
      <c r="B72" s="6" t="n">
        <v>40878.7166666667</v>
      </c>
      <c r="C72" s="0" t="s">
        <v>41</v>
      </c>
      <c r="D72" s="0" t="s">
        <v>104</v>
      </c>
      <c r="E72" s="0" t="n">
        <v>24</v>
      </c>
      <c r="F72" s="0" t="n">
        <v>0.39</v>
      </c>
      <c r="G72" s="7" t="str">
        <f aca="false">_xlfn.XLOOKUP(D72,Catalog!$B$2:$B$4102,Catalog!$A$2:$A$4102,"NOT IN CATALOG")</f>
        <v>SET OF 3 BIRD LIGHT PINK FEATHER</v>
      </c>
      <c r="H72" s="7" t="n">
        <f aca="false">_xlfn.IFNA(VLOOKUP(D72,Catalog!$B$2:$C$4102,2,FALSE()),"")</f>
        <v>1.25</v>
      </c>
      <c r="I72" s="7" t="str">
        <f aca="false">HLOOKUP(C72,Regions!$B$1:$S$2,2,FALSE())</f>
        <v>EU</v>
      </c>
      <c r="J72" s="7" t="n">
        <f aca="false">E72*F72</f>
        <v>9.36</v>
      </c>
      <c r="K72" s="8" t="n">
        <f aca="false">IF(H72="","",1-F72/H72)</f>
        <v>0.688</v>
      </c>
    </row>
    <row r="73" customFormat="false" ht="15" hidden="false" customHeight="false" outlineLevel="0" collapsed="false">
      <c r="A73" s="0" t="s">
        <v>96</v>
      </c>
      <c r="B73" s="6" t="n">
        <v>40878.7166666667</v>
      </c>
      <c r="C73" s="0" t="s">
        <v>41</v>
      </c>
      <c r="D73" s="0" t="s">
        <v>105</v>
      </c>
      <c r="E73" s="0" t="n">
        <v>48</v>
      </c>
      <c r="F73" s="0" t="n">
        <v>0.42</v>
      </c>
      <c r="G73" s="7" t="str">
        <f aca="false">_xlfn.XLOOKUP(D73,Catalog!$B$2:$B$4102,Catalog!$A$2:$A$4102,"NOT IN CATALOG")</f>
        <v>ANGEL DECORATION STARS ON DRESS</v>
      </c>
      <c r="H73" s="7" t="n">
        <f aca="false">_xlfn.IFNA(VLOOKUP(D73,Catalog!$B$2:$C$4102,2,FALSE()),"")</f>
        <v>0.42</v>
      </c>
      <c r="I73" s="7" t="str">
        <f aca="false">HLOOKUP(C73,Regions!$B$1:$S$2,2,FALSE())</f>
        <v>EU</v>
      </c>
      <c r="J73" s="7" t="n">
        <f aca="false">E73*F73</f>
        <v>20.16</v>
      </c>
      <c r="K73" s="8" t="n">
        <f aca="false">IF(H73="","",1-F73/H73)</f>
        <v>0</v>
      </c>
    </row>
    <row r="74" customFormat="false" ht="15" hidden="false" customHeight="false" outlineLevel="0" collapsed="false">
      <c r="A74" s="0" t="s">
        <v>96</v>
      </c>
      <c r="B74" s="6" t="n">
        <v>40878.7166666667</v>
      </c>
      <c r="C74" s="0" t="s">
        <v>41</v>
      </c>
      <c r="D74" s="0" t="s">
        <v>106</v>
      </c>
      <c r="E74" s="0" t="n">
        <v>12</v>
      </c>
      <c r="F74" s="0" t="n">
        <v>1.25</v>
      </c>
      <c r="G74" s="7" t="str">
        <f aca="false">_xlfn.XLOOKUP(D74,Catalog!$B$2:$B$4102,Catalog!$A$2:$A$4102,"NOT IN CATALOG")</f>
        <v>NOT IN CATALOG</v>
      </c>
      <c r="H74" s="7" t="str">
        <f aca="false">_xlfn.IFNA(VLOOKUP(D74,Catalog!$B$2:$C$4102,2,FALSE()),"")</f>
        <v/>
      </c>
      <c r="I74" s="7" t="str">
        <f aca="false">HLOOKUP(C74,Regions!$B$1:$S$2,2,FALSE())</f>
        <v>EU</v>
      </c>
      <c r="J74" s="7" t="n">
        <f aca="false">E74*F74</f>
        <v>15</v>
      </c>
      <c r="K74" s="8" t="str">
        <f aca="false">IF(H74="","",1-F74/H74)</f>
        <v/>
      </c>
    </row>
    <row r="75" customFormat="false" ht="15" hidden="false" customHeight="false" outlineLevel="0" collapsed="false">
      <c r="A75" s="0" t="s">
        <v>96</v>
      </c>
      <c r="B75" s="6" t="n">
        <v>40878.7166666667</v>
      </c>
      <c r="C75" s="0" t="s">
        <v>41</v>
      </c>
      <c r="D75" s="0" t="s">
        <v>107</v>
      </c>
      <c r="E75" s="0" t="n">
        <v>6</v>
      </c>
      <c r="F75" s="0" t="n">
        <v>2.55</v>
      </c>
      <c r="G75" s="7" t="str">
        <f aca="false">_xlfn.XLOOKUP(D75,Catalog!$B$2:$B$4102,Catalog!$A$2:$A$4102,"NOT IN CATALOG")</f>
        <v>NOT IN CATALOG</v>
      </c>
      <c r="H75" s="7" t="str">
        <f aca="false">_xlfn.IFNA(VLOOKUP(D75,Catalog!$B$2:$C$4102,2,FALSE()),"")</f>
        <v/>
      </c>
      <c r="I75" s="7" t="str">
        <f aca="false">HLOOKUP(C75,Regions!$B$1:$S$2,2,FALSE())</f>
        <v>EU</v>
      </c>
      <c r="J75" s="7" t="n">
        <f aca="false">E75*F75</f>
        <v>15.3</v>
      </c>
      <c r="K75" s="8" t="str">
        <f aca="false">IF(H75="","",1-F75/H75)</f>
        <v/>
      </c>
    </row>
    <row r="76" customFormat="false" ht="15" hidden="false" customHeight="false" outlineLevel="0" collapsed="false">
      <c r="A76" s="0" t="s">
        <v>96</v>
      </c>
      <c r="B76" s="6" t="n">
        <v>40878.7166666667</v>
      </c>
      <c r="C76" s="0" t="s">
        <v>41</v>
      </c>
      <c r="D76" s="0" t="s">
        <v>108</v>
      </c>
      <c r="E76" s="0" t="n">
        <v>8</v>
      </c>
      <c r="F76" s="0" t="n">
        <v>4.15</v>
      </c>
      <c r="G76" s="7" t="str">
        <f aca="false">_xlfn.XLOOKUP(D76,Catalog!$B$2:$B$4102,Catalog!$A$2:$A$4102,"NOT IN CATALOG")</f>
        <v>NOT IN CATALOG</v>
      </c>
      <c r="H76" s="7" t="str">
        <f aca="false">_xlfn.IFNA(VLOOKUP(D76,Catalog!$B$2:$C$4102,2,FALSE()),"")</f>
        <v/>
      </c>
      <c r="I76" s="7" t="str">
        <f aca="false">HLOOKUP(C76,Regions!$B$1:$S$2,2,FALSE())</f>
        <v>EU</v>
      </c>
      <c r="J76" s="7" t="n">
        <f aca="false">E76*F76</f>
        <v>33.2</v>
      </c>
      <c r="K76" s="8" t="str">
        <f aca="false">IF(H76="","",1-F76/H76)</f>
        <v/>
      </c>
    </row>
    <row r="77" customFormat="false" ht="15" hidden="false" customHeight="false" outlineLevel="0" collapsed="false">
      <c r="A77" s="0" t="s">
        <v>96</v>
      </c>
      <c r="B77" s="6" t="n">
        <v>40878.7166666667</v>
      </c>
      <c r="C77" s="0" t="s">
        <v>41</v>
      </c>
      <c r="D77" s="0" t="s">
        <v>109</v>
      </c>
      <c r="E77" s="0" t="n">
        <v>24</v>
      </c>
      <c r="F77" s="0" t="n">
        <v>2.1</v>
      </c>
      <c r="G77" s="7" t="str">
        <f aca="false">_xlfn.XLOOKUP(D77,Catalog!$B$2:$B$4102,Catalog!$A$2:$A$4102,"NOT IN CATALOG")</f>
        <v>HAND WARMER BABUSHKA DESIGN</v>
      </c>
      <c r="H77" s="7" t="n">
        <f aca="false">_xlfn.IFNA(VLOOKUP(D77,Catalog!$B$2:$C$4102,2,FALSE()),"")</f>
        <v>2.1</v>
      </c>
      <c r="I77" s="7" t="str">
        <f aca="false">HLOOKUP(C77,Regions!$B$1:$S$2,2,FALSE())</f>
        <v>EU</v>
      </c>
      <c r="J77" s="7" t="n">
        <f aca="false">E77*F77</f>
        <v>50.4</v>
      </c>
      <c r="K77" s="8" t="n">
        <f aca="false">IF(H77="","",1-F77/H77)</f>
        <v>0</v>
      </c>
    </row>
    <row r="78" customFormat="false" ht="15" hidden="false" customHeight="false" outlineLevel="0" collapsed="false">
      <c r="A78" s="0" t="s">
        <v>96</v>
      </c>
      <c r="B78" s="6" t="n">
        <v>40878.7166666667</v>
      </c>
      <c r="C78" s="0" t="s">
        <v>41</v>
      </c>
      <c r="D78" s="0" t="s">
        <v>56</v>
      </c>
      <c r="E78" s="0" t="n">
        <v>1</v>
      </c>
      <c r="F78" s="0" t="n">
        <v>50</v>
      </c>
      <c r="G78" s="7" t="str">
        <f aca="false">_xlfn.XLOOKUP(D78,Catalog!$B$2:$B$4102,Catalog!$A$2:$A$4102,"NOT IN CATALOG")</f>
        <v>CARRIAGE</v>
      </c>
      <c r="H78" s="7" t="n">
        <f aca="false">_xlfn.IFNA(VLOOKUP(D78,Catalog!$B$2:$C$4102,2,FALSE()),"")</f>
        <v>50</v>
      </c>
      <c r="I78" s="7" t="str">
        <f aca="false">HLOOKUP(C78,Regions!$B$1:$S$2,2,FALSE())</f>
        <v>EU</v>
      </c>
      <c r="J78" s="7" t="n">
        <f aca="false">E78*F78</f>
        <v>50</v>
      </c>
      <c r="K78" s="8" t="n">
        <f aca="false">IF(H78="","",1-F78/H78)</f>
        <v>0</v>
      </c>
    </row>
    <row r="79" customFormat="false" ht="15" hidden="false" customHeight="false" outlineLevel="0" collapsed="false">
      <c r="A79" s="0" t="s">
        <v>110</v>
      </c>
      <c r="B79" s="6" t="n">
        <v>40878.7222222222</v>
      </c>
      <c r="C79" s="0" t="s">
        <v>81</v>
      </c>
      <c r="D79" s="0" t="s">
        <v>111</v>
      </c>
      <c r="E79" s="0" t="n">
        <v>12</v>
      </c>
      <c r="F79" s="0" t="n">
        <v>2.49</v>
      </c>
      <c r="G79" s="7" t="str">
        <f aca="false">_xlfn.XLOOKUP(D79,Catalog!$B$2:$B$4102,Catalog!$A$2:$A$4102,"NOT IN CATALOG")</f>
        <v>NOT IN CATALOG</v>
      </c>
      <c r="H79" s="7" t="str">
        <f aca="false">_xlfn.IFNA(VLOOKUP(D79,Catalog!$B$2:$C$4102,2,FALSE()),"")</f>
        <v/>
      </c>
      <c r="I79" s="7" t="str">
        <f aca="false">HLOOKUP(C79,Regions!$B$1:$S$2,2,FALSE())</f>
        <v>EU</v>
      </c>
      <c r="J79" s="7" t="n">
        <f aca="false">E79*F79</f>
        <v>29.88</v>
      </c>
      <c r="K79" s="8" t="str">
        <f aca="false">IF(H79="","",1-F79/H79)</f>
        <v/>
      </c>
    </row>
    <row r="80" customFormat="false" ht="15" hidden="false" customHeight="false" outlineLevel="0" collapsed="false">
      <c r="A80" s="0" t="s">
        <v>110</v>
      </c>
      <c r="B80" s="6" t="n">
        <v>40878.7222222222</v>
      </c>
      <c r="C80" s="0" t="s">
        <v>81</v>
      </c>
      <c r="D80" s="0" t="s">
        <v>112</v>
      </c>
      <c r="E80" s="0" t="n">
        <v>12</v>
      </c>
      <c r="F80" s="0" t="n">
        <v>2.49</v>
      </c>
      <c r="G80" s="7" t="str">
        <f aca="false">_xlfn.XLOOKUP(D80,Catalog!$B$2:$B$4102,Catalog!$A$2:$A$4102,"NOT IN CATALOG")</f>
        <v>NOT IN CATALOG</v>
      </c>
      <c r="H80" s="7" t="str">
        <f aca="false">_xlfn.IFNA(VLOOKUP(D80,Catalog!$B$2:$C$4102,2,FALSE()),"")</f>
        <v/>
      </c>
      <c r="I80" s="7" t="str">
        <f aca="false">HLOOKUP(C80,Regions!$B$1:$S$2,2,FALSE())</f>
        <v>EU</v>
      </c>
      <c r="J80" s="7" t="n">
        <f aca="false">E80*F80</f>
        <v>29.88</v>
      </c>
      <c r="K80" s="8" t="str">
        <f aca="false">IF(H80="","",1-F80/H80)</f>
        <v/>
      </c>
    </row>
    <row r="81" customFormat="false" ht="15" hidden="false" customHeight="false" outlineLevel="0" collapsed="false">
      <c r="A81" s="0" t="s">
        <v>110</v>
      </c>
      <c r="B81" s="6" t="n">
        <v>40878.7222222222</v>
      </c>
      <c r="C81" s="0" t="s">
        <v>81</v>
      </c>
      <c r="D81" s="0" t="s">
        <v>113</v>
      </c>
      <c r="E81" s="0" t="n">
        <v>12</v>
      </c>
      <c r="F81" s="0" t="n">
        <v>0.65</v>
      </c>
      <c r="G81" s="7" t="str">
        <f aca="false">_xlfn.XLOOKUP(D81,Catalog!$B$2:$B$4102,Catalog!$A$2:$A$4102,"NOT IN CATALOG")</f>
        <v>GIFT BAG PSYCHEDELIC APPLES</v>
      </c>
      <c r="H81" s="7" t="n">
        <f aca="false">_xlfn.IFNA(VLOOKUP(D81,Catalog!$B$2:$C$4102,2,FALSE()),"")</f>
        <v>0.65</v>
      </c>
      <c r="I81" s="7" t="str">
        <f aca="false">HLOOKUP(C81,Regions!$B$1:$S$2,2,FALSE())</f>
        <v>EU</v>
      </c>
      <c r="J81" s="7" t="n">
        <f aca="false">E81*F81</f>
        <v>7.8</v>
      </c>
      <c r="K81" s="8" t="n">
        <f aca="false">IF(H81="","",1-F81/H81)</f>
        <v>0</v>
      </c>
    </row>
    <row r="82" customFormat="false" ht="15" hidden="false" customHeight="false" outlineLevel="0" collapsed="false">
      <c r="A82" s="0" t="s">
        <v>110</v>
      </c>
      <c r="B82" s="6" t="n">
        <v>40878.7222222222</v>
      </c>
      <c r="C82" s="0" t="s">
        <v>81</v>
      </c>
      <c r="D82" s="0" t="s">
        <v>114</v>
      </c>
      <c r="E82" s="0" t="n">
        <v>24</v>
      </c>
      <c r="F82" s="0" t="n">
        <v>0.83</v>
      </c>
      <c r="G82" s="7" t="str">
        <f aca="false">_xlfn.XLOOKUP(D82,Catalog!$B$2:$B$4102,Catalog!$A$2:$A$4102,"NOT IN CATALOG")</f>
        <v>NOT IN CATALOG</v>
      </c>
      <c r="H82" s="7" t="str">
        <f aca="false">_xlfn.IFNA(VLOOKUP(D82,Catalog!$B$2:$C$4102,2,FALSE()),"")</f>
        <v/>
      </c>
      <c r="I82" s="7" t="str">
        <f aca="false">HLOOKUP(C82,Regions!$B$1:$S$2,2,FALSE())</f>
        <v>EU</v>
      </c>
      <c r="J82" s="7" t="n">
        <f aca="false">E82*F82</f>
        <v>19.92</v>
      </c>
      <c r="K82" s="8" t="str">
        <f aca="false">IF(H82="","",1-F82/H82)</f>
        <v/>
      </c>
    </row>
    <row r="83" customFormat="false" ht="15" hidden="false" customHeight="false" outlineLevel="0" collapsed="false">
      <c r="A83" s="0" t="s">
        <v>110</v>
      </c>
      <c r="B83" s="6" t="n">
        <v>40878.7222222222</v>
      </c>
      <c r="C83" s="0" t="s">
        <v>81</v>
      </c>
      <c r="D83" s="0" t="s">
        <v>115</v>
      </c>
      <c r="E83" s="0" t="n">
        <v>12</v>
      </c>
      <c r="F83" s="0" t="n">
        <v>1.25</v>
      </c>
      <c r="G83" s="7" t="str">
        <f aca="false">_xlfn.XLOOKUP(D83,Catalog!$B$2:$B$4102,Catalog!$A$2:$A$4102,"NOT IN CATALOG")</f>
        <v>NOT IN CATALOG</v>
      </c>
      <c r="H83" s="7" t="str">
        <f aca="false">_xlfn.IFNA(VLOOKUP(D83,Catalog!$B$2:$C$4102,2,FALSE()),"")</f>
        <v/>
      </c>
      <c r="I83" s="7" t="str">
        <f aca="false">HLOOKUP(C83,Regions!$B$1:$S$2,2,FALSE())</f>
        <v>EU</v>
      </c>
      <c r="J83" s="7" t="n">
        <f aca="false">E83*F83</f>
        <v>15</v>
      </c>
      <c r="K83" s="8" t="str">
        <f aca="false">IF(H83="","",1-F83/H83)</f>
        <v/>
      </c>
    </row>
    <row r="84" customFormat="false" ht="15" hidden="false" customHeight="false" outlineLevel="0" collapsed="false">
      <c r="A84" s="0" t="s">
        <v>110</v>
      </c>
      <c r="B84" s="6" t="n">
        <v>40878.7222222222</v>
      </c>
      <c r="C84" s="0" t="s">
        <v>81</v>
      </c>
      <c r="D84" s="0" t="s">
        <v>116</v>
      </c>
      <c r="E84" s="0" t="n">
        <v>25</v>
      </c>
      <c r="F84" s="0" t="n">
        <v>0.42</v>
      </c>
      <c r="G84" s="7" t="str">
        <f aca="false">_xlfn.XLOOKUP(D84,Catalog!$B$2:$B$4102,Catalog!$A$2:$A$4102,"NOT IN CATALOG")</f>
        <v>NOT IN CATALOG</v>
      </c>
      <c r="H84" s="7" t="str">
        <f aca="false">_xlfn.IFNA(VLOOKUP(D84,Catalog!$B$2:$C$4102,2,FALSE()),"")</f>
        <v/>
      </c>
      <c r="I84" s="7" t="str">
        <f aca="false">HLOOKUP(C84,Regions!$B$1:$S$2,2,FALSE())</f>
        <v>EU</v>
      </c>
      <c r="J84" s="7" t="n">
        <f aca="false">E84*F84</f>
        <v>10.5</v>
      </c>
      <c r="K84" s="8" t="str">
        <f aca="false">IF(H84="","",1-F84/H84)</f>
        <v/>
      </c>
    </row>
    <row r="85" customFormat="false" ht="15" hidden="false" customHeight="false" outlineLevel="0" collapsed="false">
      <c r="A85" s="0" t="s">
        <v>110</v>
      </c>
      <c r="B85" s="6" t="n">
        <v>40878.7222222222</v>
      </c>
      <c r="C85" s="0" t="s">
        <v>81</v>
      </c>
      <c r="D85" s="0" t="s">
        <v>117</v>
      </c>
      <c r="E85" s="0" t="n">
        <v>12</v>
      </c>
      <c r="F85" s="0" t="n">
        <v>1.25</v>
      </c>
      <c r="G85" s="7" t="str">
        <f aca="false">_xlfn.XLOOKUP(D85,Catalog!$B$2:$B$4102,Catalog!$A$2:$A$4102,"NOT IN CATALOG")</f>
        <v>NOT IN CATALOG</v>
      </c>
      <c r="H85" s="7" t="str">
        <f aca="false">_xlfn.IFNA(VLOOKUP(D85,Catalog!$B$2:$C$4102,2,FALSE()),"")</f>
        <v/>
      </c>
      <c r="I85" s="7" t="str">
        <f aca="false">HLOOKUP(C85,Regions!$B$1:$S$2,2,FALSE())</f>
        <v>EU</v>
      </c>
      <c r="J85" s="7" t="n">
        <f aca="false">E85*F85</f>
        <v>15</v>
      </c>
      <c r="K85" s="8" t="str">
        <f aca="false">IF(H85="","",1-F85/H85)</f>
        <v/>
      </c>
    </row>
    <row r="86" customFormat="false" ht="15" hidden="false" customHeight="false" outlineLevel="0" collapsed="false">
      <c r="A86" s="0" t="s">
        <v>110</v>
      </c>
      <c r="B86" s="6" t="n">
        <v>40878.7222222222</v>
      </c>
      <c r="C86" s="0" t="s">
        <v>81</v>
      </c>
      <c r="D86" s="0" t="s">
        <v>82</v>
      </c>
      <c r="E86" s="0" t="n">
        <v>96</v>
      </c>
      <c r="F86" s="0" t="n">
        <v>1.79</v>
      </c>
      <c r="G86" s="7" t="str">
        <f aca="false">_xlfn.XLOOKUP(D86,Catalog!$B$2:$B$4102,Catalog!$A$2:$A$4102,"NOT IN CATALOG")</f>
        <v>NOT IN CATALOG</v>
      </c>
      <c r="H86" s="7" t="str">
        <f aca="false">_xlfn.IFNA(VLOOKUP(D86,Catalog!$B$2:$C$4102,2,FALSE()),"")</f>
        <v/>
      </c>
      <c r="I86" s="7" t="str">
        <f aca="false">HLOOKUP(C86,Regions!$B$1:$S$2,2,FALSE())</f>
        <v>EU</v>
      </c>
      <c r="J86" s="7" t="n">
        <f aca="false">E86*F86</f>
        <v>171.84</v>
      </c>
      <c r="K86" s="8" t="str">
        <f aca="false">IF(H86="","",1-F86/H86)</f>
        <v/>
      </c>
    </row>
    <row r="87" customFormat="false" ht="15" hidden="false" customHeight="false" outlineLevel="0" collapsed="false">
      <c r="A87" s="0" t="s">
        <v>110</v>
      </c>
      <c r="B87" s="6" t="n">
        <v>40878.7222222222</v>
      </c>
      <c r="C87" s="0" t="s">
        <v>81</v>
      </c>
      <c r="D87" s="0" t="s">
        <v>118</v>
      </c>
      <c r="E87" s="0" t="n">
        <v>24</v>
      </c>
      <c r="F87" s="0" t="n">
        <v>1.25</v>
      </c>
      <c r="G87" s="7" t="str">
        <f aca="false">_xlfn.XLOOKUP(D87,Catalog!$B$2:$B$4102,Catalog!$A$2:$A$4102,"NOT IN CATALOG")</f>
        <v>NOT IN CATALOG</v>
      </c>
      <c r="H87" s="7" t="str">
        <f aca="false">_xlfn.IFNA(VLOOKUP(D87,Catalog!$B$2:$C$4102,2,FALSE()),"")</f>
        <v/>
      </c>
      <c r="I87" s="7" t="str">
        <f aca="false">HLOOKUP(C87,Regions!$B$1:$S$2,2,FALSE())</f>
        <v>EU</v>
      </c>
      <c r="J87" s="7" t="n">
        <f aca="false">E87*F87</f>
        <v>30</v>
      </c>
      <c r="K87" s="8" t="str">
        <f aca="false">IF(H87="","",1-F87/H87)</f>
        <v/>
      </c>
    </row>
    <row r="88" customFormat="false" ht="15" hidden="false" customHeight="false" outlineLevel="0" collapsed="false">
      <c r="A88" s="0" t="s">
        <v>110</v>
      </c>
      <c r="B88" s="6" t="n">
        <v>40878.7222222222</v>
      </c>
      <c r="C88" s="0" t="s">
        <v>81</v>
      </c>
      <c r="D88" s="0" t="s">
        <v>119</v>
      </c>
      <c r="E88" s="0" t="n">
        <v>10</v>
      </c>
      <c r="F88" s="0" t="n">
        <v>8.5</v>
      </c>
      <c r="G88" s="7" t="str">
        <f aca="false">_xlfn.XLOOKUP(D88,Catalog!$B$2:$B$4102,Catalog!$A$2:$A$4102,"NOT IN CATALOG")</f>
        <v>SET 7 BABUSHKA NESTING BOXES</v>
      </c>
      <c r="H88" s="7" t="n">
        <f aca="false">_xlfn.IFNA(VLOOKUP(D88,Catalog!$B$2:$C$4102,2,FALSE()),"")</f>
        <v>8.5</v>
      </c>
      <c r="I88" s="7" t="str">
        <f aca="false">HLOOKUP(C88,Regions!$B$1:$S$2,2,FALSE())</f>
        <v>EU</v>
      </c>
      <c r="J88" s="7" t="n">
        <f aca="false">E88*F88</f>
        <v>85</v>
      </c>
      <c r="K88" s="8" t="n">
        <f aca="false">IF(H88="","",1-F88/H88)</f>
        <v>0</v>
      </c>
    </row>
    <row r="89" customFormat="false" ht="15" hidden="false" customHeight="false" outlineLevel="0" collapsed="false">
      <c r="A89" s="0" t="s">
        <v>110</v>
      </c>
      <c r="B89" s="6" t="n">
        <v>40878.7222222222</v>
      </c>
      <c r="C89" s="0" t="s">
        <v>81</v>
      </c>
      <c r="D89" s="0" t="s">
        <v>120</v>
      </c>
      <c r="E89" s="0" t="n">
        <v>3</v>
      </c>
      <c r="F89" s="0" t="n">
        <v>5.95</v>
      </c>
      <c r="G89" s="7" t="str">
        <f aca="false">_xlfn.XLOOKUP(D89,Catalog!$B$2:$B$4102,Catalog!$A$2:$A$4102,"NOT IN CATALOG")</f>
        <v>NOT IN CATALOG</v>
      </c>
      <c r="H89" s="7" t="str">
        <f aca="false">_xlfn.IFNA(VLOOKUP(D89,Catalog!$B$2:$C$4102,2,FALSE()),"")</f>
        <v/>
      </c>
      <c r="I89" s="7" t="str">
        <f aca="false">HLOOKUP(C89,Regions!$B$1:$S$2,2,FALSE())</f>
        <v>EU</v>
      </c>
      <c r="J89" s="7" t="n">
        <f aca="false">E89*F89</f>
        <v>17.85</v>
      </c>
      <c r="K89" s="8" t="str">
        <f aca="false">IF(H89="","",1-F89/H89)</f>
        <v/>
      </c>
    </row>
    <row r="90" customFormat="false" ht="15" hidden="false" customHeight="false" outlineLevel="0" collapsed="false">
      <c r="A90" s="0" t="s">
        <v>110</v>
      </c>
      <c r="B90" s="6" t="n">
        <v>40878.7222222222</v>
      </c>
      <c r="C90" s="0" t="s">
        <v>81</v>
      </c>
      <c r="D90" s="0" t="s">
        <v>121</v>
      </c>
      <c r="E90" s="0" t="n">
        <v>10</v>
      </c>
      <c r="F90" s="0" t="n">
        <v>1.95</v>
      </c>
      <c r="G90" s="7" t="str">
        <f aca="false">_xlfn.XLOOKUP(D90,Catalog!$B$2:$B$4102,Catalog!$A$2:$A$4102,"NOT IN CATALOG")</f>
        <v>NOT IN CATALOG</v>
      </c>
      <c r="H90" s="7" t="str">
        <f aca="false">_xlfn.IFNA(VLOOKUP(D90,Catalog!$B$2:$C$4102,2,FALSE()),"")</f>
        <v/>
      </c>
      <c r="I90" s="7" t="str">
        <f aca="false">HLOOKUP(C90,Regions!$B$1:$S$2,2,FALSE())</f>
        <v>EU</v>
      </c>
      <c r="J90" s="7" t="n">
        <f aca="false">E90*F90</f>
        <v>19.5</v>
      </c>
      <c r="K90" s="8" t="str">
        <f aca="false">IF(H90="","",1-F90/H90)</f>
        <v/>
      </c>
    </row>
    <row r="91" customFormat="false" ht="15" hidden="false" customHeight="false" outlineLevel="0" collapsed="false">
      <c r="A91" s="0" t="s">
        <v>110</v>
      </c>
      <c r="B91" s="6" t="n">
        <v>40878.7222222222</v>
      </c>
      <c r="C91" s="0" t="s">
        <v>81</v>
      </c>
      <c r="D91" s="0" t="s">
        <v>65</v>
      </c>
      <c r="E91" s="0" t="n">
        <v>4</v>
      </c>
      <c r="F91" s="0" t="n">
        <v>3.75</v>
      </c>
      <c r="G91" s="7" t="str">
        <f aca="false">_xlfn.XLOOKUP(D91,Catalog!$B$2:$B$4102,Catalog!$A$2:$A$4102,"NOT IN CATALOG")</f>
        <v>ALARM CLOCK BAKELIKE PINK</v>
      </c>
      <c r="H91" s="7" t="n">
        <f aca="false">_xlfn.IFNA(VLOOKUP(D91,Catalog!$B$2:$C$4102,2,FALSE()),"")</f>
        <v>3.75</v>
      </c>
      <c r="I91" s="7" t="str">
        <f aca="false">HLOOKUP(C91,Regions!$B$1:$S$2,2,FALSE())</f>
        <v>EU</v>
      </c>
      <c r="J91" s="7" t="n">
        <f aca="false">E91*F91</f>
        <v>15</v>
      </c>
      <c r="K91" s="8" t="n">
        <f aca="false">IF(H91="","",1-F91/H91)</f>
        <v>0</v>
      </c>
    </row>
    <row r="92" customFormat="false" ht="15" hidden="false" customHeight="false" outlineLevel="0" collapsed="false">
      <c r="A92" s="0" t="s">
        <v>110</v>
      </c>
      <c r="B92" s="6" t="n">
        <v>40878.7222222222</v>
      </c>
      <c r="C92" s="0" t="s">
        <v>81</v>
      </c>
      <c r="D92" s="0" t="s">
        <v>63</v>
      </c>
      <c r="E92" s="0" t="n">
        <v>4</v>
      </c>
      <c r="F92" s="0" t="n">
        <v>3.75</v>
      </c>
      <c r="G92" s="7" t="str">
        <f aca="false">_xlfn.XLOOKUP(D92,Catalog!$B$2:$B$4102,Catalog!$A$2:$A$4102,"NOT IN CATALOG")</f>
        <v>ALARM CLOCK BAKELIKE RED</v>
      </c>
      <c r="H92" s="7" t="n">
        <f aca="false">_xlfn.IFNA(VLOOKUP(D92,Catalog!$B$2:$C$4102,2,FALSE()),"")</f>
        <v>3.75</v>
      </c>
      <c r="I92" s="7" t="str">
        <f aca="false">HLOOKUP(C92,Regions!$B$1:$S$2,2,FALSE())</f>
        <v>EU</v>
      </c>
      <c r="J92" s="7" t="n">
        <f aca="false">E92*F92</f>
        <v>15</v>
      </c>
      <c r="K92" s="8" t="n">
        <f aca="false">IF(H92="","",1-F92/H92)</f>
        <v>0</v>
      </c>
    </row>
    <row r="93" customFormat="false" ht="15" hidden="false" customHeight="false" outlineLevel="0" collapsed="false">
      <c r="A93" s="0" t="s">
        <v>110</v>
      </c>
      <c r="B93" s="6" t="n">
        <v>40878.7222222222</v>
      </c>
      <c r="C93" s="0" t="s">
        <v>81</v>
      </c>
      <c r="D93" s="0" t="s">
        <v>64</v>
      </c>
      <c r="E93" s="0" t="n">
        <v>4</v>
      </c>
      <c r="F93" s="0" t="n">
        <v>3.75</v>
      </c>
      <c r="G93" s="7" t="str">
        <f aca="false">_xlfn.XLOOKUP(D93,Catalog!$B$2:$B$4102,Catalog!$A$2:$A$4102,"NOT IN CATALOG")</f>
        <v>ALARM CLOCK BAKELIKE GREEN</v>
      </c>
      <c r="H93" s="7" t="n">
        <f aca="false">_xlfn.IFNA(VLOOKUP(D93,Catalog!$B$2:$C$4102,2,FALSE()),"")</f>
        <v>3.75</v>
      </c>
      <c r="I93" s="7" t="str">
        <f aca="false">HLOOKUP(C93,Regions!$B$1:$S$2,2,FALSE())</f>
        <v>EU</v>
      </c>
      <c r="J93" s="7" t="n">
        <f aca="false">E93*F93</f>
        <v>15</v>
      </c>
      <c r="K93" s="8" t="n">
        <f aca="false">IF(H93="","",1-F93/H93)</f>
        <v>0</v>
      </c>
    </row>
    <row r="94" customFormat="false" ht="15" hidden="false" customHeight="false" outlineLevel="0" collapsed="false">
      <c r="A94" s="0" t="s">
        <v>110</v>
      </c>
      <c r="B94" s="6" t="n">
        <v>40878.7222222222</v>
      </c>
      <c r="C94" s="0" t="s">
        <v>81</v>
      </c>
      <c r="D94" s="0" t="s">
        <v>122</v>
      </c>
      <c r="E94" s="0" t="n">
        <v>10</v>
      </c>
      <c r="F94" s="0" t="n">
        <v>1.65</v>
      </c>
      <c r="G94" s="7" t="str">
        <f aca="false">_xlfn.XLOOKUP(D94,Catalog!$B$2:$B$4102,Catalog!$A$2:$A$4102,"NOT IN CATALOG")</f>
        <v>LUNCH BAG WOODLAND</v>
      </c>
      <c r="H94" s="7" t="n">
        <f aca="false">_xlfn.IFNA(VLOOKUP(D94,Catalog!$B$2:$C$4102,2,FALSE()),"")</f>
        <v>1.65</v>
      </c>
      <c r="I94" s="7" t="str">
        <f aca="false">HLOOKUP(C94,Regions!$B$1:$S$2,2,FALSE())</f>
        <v>EU</v>
      </c>
      <c r="J94" s="7" t="n">
        <f aca="false">E94*F94</f>
        <v>16.5</v>
      </c>
      <c r="K94" s="8" t="n">
        <f aca="false">IF(H94="","",1-F94/H94)</f>
        <v>0</v>
      </c>
    </row>
    <row r="95" customFormat="false" ht="15" hidden="false" customHeight="false" outlineLevel="0" collapsed="false">
      <c r="A95" s="0" t="s">
        <v>110</v>
      </c>
      <c r="B95" s="6" t="n">
        <v>40878.7222222222</v>
      </c>
      <c r="C95" s="0" t="s">
        <v>81</v>
      </c>
      <c r="D95" s="0" t="s">
        <v>123</v>
      </c>
      <c r="E95" s="0" t="n">
        <v>10</v>
      </c>
      <c r="F95" s="0" t="n">
        <v>1.65</v>
      </c>
      <c r="G95" s="7" t="str">
        <f aca="false">_xlfn.XLOOKUP(D95,Catalog!$B$2:$B$4102,Catalog!$A$2:$A$4102,"NOT IN CATALOG")</f>
        <v>LUNCH BAG DOLLY GIRL DESIGN</v>
      </c>
      <c r="H95" s="7" t="n">
        <f aca="false">_xlfn.IFNA(VLOOKUP(D95,Catalog!$B$2:$C$4102,2,FALSE()),"")</f>
        <v>1.65</v>
      </c>
      <c r="I95" s="7" t="str">
        <f aca="false">HLOOKUP(C95,Regions!$B$1:$S$2,2,FALSE())</f>
        <v>EU</v>
      </c>
      <c r="J95" s="7" t="n">
        <f aca="false">E95*F95</f>
        <v>16.5</v>
      </c>
      <c r="K95" s="8" t="n">
        <f aca="false">IF(H95="","",1-F95/H95)</f>
        <v>0</v>
      </c>
    </row>
    <row r="96" customFormat="false" ht="15" hidden="false" customHeight="false" outlineLevel="0" collapsed="false">
      <c r="A96" s="0" t="s">
        <v>110</v>
      </c>
      <c r="B96" s="6" t="n">
        <v>40878.7222222222</v>
      </c>
      <c r="C96" s="0" t="s">
        <v>81</v>
      </c>
      <c r="D96" s="0" t="s">
        <v>124</v>
      </c>
      <c r="E96" s="0" t="n">
        <v>12</v>
      </c>
      <c r="F96" s="0" t="n">
        <v>1.65</v>
      </c>
      <c r="G96" s="7" t="str">
        <f aca="false">_xlfn.XLOOKUP(D96,Catalog!$B$2:$B$4102,Catalog!$A$2:$A$4102,"NOT IN CATALOG")</f>
        <v>CHILDRENS DOLLY GIRL MUG</v>
      </c>
      <c r="H96" s="7" t="n">
        <f aca="false">_xlfn.IFNA(VLOOKUP(D96,Catalog!$B$2:$C$4102,2,FALSE()),"")</f>
        <v>1.65</v>
      </c>
      <c r="I96" s="7" t="str">
        <f aca="false">HLOOKUP(C96,Regions!$B$1:$S$2,2,FALSE())</f>
        <v>EU</v>
      </c>
      <c r="J96" s="7" t="n">
        <f aca="false">E96*F96</f>
        <v>19.8</v>
      </c>
      <c r="K96" s="8" t="n">
        <f aca="false">IF(H96="","",1-F96/H96)</f>
        <v>0</v>
      </c>
    </row>
    <row r="97" customFormat="false" ht="15" hidden="false" customHeight="false" outlineLevel="0" collapsed="false">
      <c r="A97" s="0" t="s">
        <v>110</v>
      </c>
      <c r="B97" s="6" t="n">
        <v>40878.7222222222</v>
      </c>
      <c r="C97" s="0" t="s">
        <v>81</v>
      </c>
      <c r="D97" s="0" t="s">
        <v>125</v>
      </c>
      <c r="E97" s="0" t="n">
        <v>12</v>
      </c>
      <c r="F97" s="0" t="n">
        <v>1.65</v>
      </c>
      <c r="G97" s="7" t="str">
        <f aca="false">_xlfn.XLOOKUP(D97,Catalog!$B$2:$B$4102,Catalog!$A$2:$A$4102,"NOT IN CATALOG")</f>
        <v>CHILDREN'S SPACEBOY MUG</v>
      </c>
      <c r="H97" s="7" t="n">
        <f aca="false">_xlfn.IFNA(VLOOKUP(D97,Catalog!$B$2:$C$4102,2,FALSE()),"")</f>
        <v>1.65</v>
      </c>
      <c r="I97" s="7" t="str">
        <f aca="false">HLOOKUP(C97,Regions!$B$1:$S$2,2,FALSE())</f>
        <v>EU</v>
      </c>
      <c r="J97" s="7" t="n">
        <f aca="false">E97*F97</f>
        <v>19.8</v>
      </c>
      <c r="K97" s="8" t="n">
        <f aca="false">IF(H97="","",1-F97/H97)</f>
        <v>0</v>
      </c>
    </row>
    <row r="98" customFormat="false" ht="15" hidden="false" customHeight="false" outlineLevel="0" collapsed="false">
      <c r="A98" s="0" t="s">
        <v>110</v>
      </c>
      <c r="B98" s="6" t="n">
        <v>40878.7222222222</v>
      </c>
      <c r="C98" s="0" t="s">
        <v>81</v>
      </c>
      <c r="D98" s="0" t="s">
        <v>126</v>
      </c>
      <c r="E98" s="0" t="n">
        <v>6</v>
      </c>
      <c r="F98" s="0" t="n">
        <v>2.55</v>
      </c>
      <c r="G98" s="7" t="str">
        <f aca="false">_xlfn.XLOOKUP(D98,Catalog!$B$2:$B$4102,Catalog!$A$2:$A$4102,"NOT IN CATALOG")</f>
        <v>NOT IN CATALOG</v>
      </c>
      <c r="H98" s="7" t="str">
        <f aca="false">_xlfn.IFNA(VLOOKUP(D98,Catalog!$B$2:$C$4102,2,FALSE()),"")</f>
        <v/>
      </c>
      <c r="I98" s="7" t="str">
        <f aca="false">HLOOKUP(C98,Regions!$B$1:$S$2,2,FALSE())</f>
        <v>EU</v>
      </c>
      <c r="J98" s="7" t="n">
        <f aca="false">E98*F98</f>
        <v>15.3</v>
      </c>
      <c r="K98" s="8" t="str">
        <f aca="false">IF(H98="","",1-F98/H98)</f>
        <v/>
      </c>
    </row>
    <row r="99" customFormat="false" ht="15" hidden="false" customHeight="false" outlineLevel="0" collapsed="false">
      <c r="A99" s="0" t="s">
        <v>110</v>
      </c>
      <c r="B99" s="6" t="n">
        <v>40878.7222222222</v>
      </c>
      <c r="C99" s="0" t="s">
        <v>81</v>
      </c>
      <c r="D99" s="0" t="s">
        <v>127</v>
      </c>
      <c r="E99" s="0" t="n">
        <v>6</v>
      </c>
      <c r="F99" s="0" t="n">
        <v>2.55</v>
      </c>
      <c r="G99" s="7" t="str">
        <f aca="false">_xlfn.XLOOKUP(D99,Catalog!$B$2:$B$4102,Catalog!$A$2:$A$4102,"NOT IN CATALOG")</f>
        <v>COFFEE MUG CAT + BIRD DESIGN</v>
      </c>
      <c r="H99" s="7" t="n">
        <f aca="false">_xlfn.IFNA(VLOOKUP(D99,Catalog!$B$2:$C$4102,2,FALSE()),"")</f>
        <v>2.55</v>
      </c>
      <c r="I99" s="7" t="str">
        <f aca="false">HLOOKUP(C99,Regions!$B$1:$S$2,2,FALSE())</f>
        <v>EU</v>
      </c>
      <c r="J99" s="7" t="n">
        <f aca="false">E99*F99</f>
        <v>15.3</v>
      </c>
      <c r="K99" s="8" t="n">
        <f aca="false">IF(H99="","",1-F99/H99)</f>
        <v>0</v>
      </c>
    </row>
    <row r="100" customFormat="false" ht="15" hidden="false" customHeight="false" outlineLevel="0" collapsed="false">
      <c r="A100" s="0" t="s">
        <v>110</v>
      </c>
      <c r="B100" s="6" t="n">
        <v>40878.7222222222</v>
      </c>
      <c r="C100" s="0" t="s">
        <v>81</v>
      </c>
      <c r="D100" s="0" t="s">
        <v>39</v>
      </c>
      <c r="E100" s="0" t="n">
        <v>3</v>
      </c>
      <c r="F100" s="0" t="n">
        <v>18</v>
      </c>
      <c r="G100" s="7" t="str">
        <f aca="false">_xlfn.XLOOKUP(D100,Catalog!$B$2:$B$4102,Catalog!$A$2:$A$4102,"NOT IN CATALOG")</f>
        <v>POSTAGE</v>
      </c>
      <c r="H100" s="7" t="n">
        <f aca="false">_xlfn.IFNA(VLOOKUP(D100,Catalog!$B$2:$C$4102,2,FALSE()),"")</f>
        <v>18</v>
      </c>
      <c r="I100" s="7" t="str">
        <f aca="false">HLOOKUP(C100,Regions!$B$1:$S$2,2,FALSE())</f>
        <v>EU</v>
      </c>
      <c r="J100" s="7" t="n">
        <f aca="false">E100*F100</f>
        <v>54</v>
      </c>
      <c r="K100" s="8" t="n">
        <f aca="false">IF(H100="","",1-F100/H100)</f>
        <v>0</v>
      </c>
    </row>
    <row r="101" customFormat="false" ht="15" hidden="false" customHeight="false" outlineLevel="0" collapsed="false">
      <c r="A101" s="0" t="s">
        <v>128</v>
      </c>
      <c r="B101" s="6" t="n">
        <v>40878.74375</v>
      </c>
      <c r="C101" s="0" t="s">
        <v>41</v>
      </c>
      <c r="D101" s="0" t="s">
        <v>129</v>
      </c>
      <c r="E101" s="0" t="n">
        <v>24</v>
      </c>
      <c r="F101" s="0" t="n">
        <v>0.19</v>
      </c>
      <c r="G101" s="7" t="str">
        <f aca="false">_xlfn.XLOOKUP(D101,Catalog!$B$2:$B$4102,Catalog!$A$2:$A$4102,"NOT IN CATALOG")</f>
        <v>CHRISTMAS CARD SCREEN PRINT</v>
      </c>
      <c r="H101" s="7" t="n">
        <f aca="false">_xlfn.IFNA(VLOOKUP(D101,Catalog!$B$2:$C$4102,2,FALSE()),"")</f>
        <v>0.42</v>
      </c>
      <c r="I101" s="7" t="str">
        <f aca="false">HLOOKUP(C101,Regions!$B$1:$S$2,2,FALSE())</f>
        <v>EU</v>
      </c>
      <c r="J101" s="7" t="n">
        <f aca="false">E101*F101</f>
        <v>4.56</v>
      </c>
      <c r="K101" s="8" t="n">
        <f aca="false">IF(H101="","",1-F101/H101)</f>
        <v>0.547619047619048</v>
      </c>
    </row>
    <row r="102" customFormat="false" ht="15" hidden="false" customHeight="false" outlineLevel="0" collapsed="false">
      <c r="A102" s="0" t="s">
        <v>128</v>
      </c>
      <c r="B102" s="6" t="n">
        <v>40878.74375</v>
      </c>
      <c r="C102" s="0" t="s">
        <v>41</v>
      </c>
      <c r="D102" s="0" t="s">
        <v>130</v>
      </c>
      <c r="E102" s="0" t="n">
        <v>12</v>
      </c>
      <c r="F102" s="0" t="n">
        <v>0.85</v>
      </c>
      <c r="G102" s="7" t="str">
        <f aca="false">_xlfn.XLOOKUP(D102,Catalog!$B$2:$B$4102,Catalog!$A$2:$A$4102,"NOT IN CATALOG")</f>
        <v>SET OF 20 VINTAGE CHRISTMAS NAPKINS</v>
      </c>
      <c r="H102" s="7" t="n">
        <f aca="false">_xlfn.IFNA(VLOOKUP(D102,Catalog!$B$2:$C$4102,2,FALSE()),"")</f>
        <v>0.85</v>
      </c>
      <c r="I102" s="7" t="str">
        <f aca="false">HLOOKUP(C102,Regions!$B$1:$S$2,2,FALSE())</f>
        <v>EU</v>
      </c>
      <c r="J102" s="7" t="n">
        <f aca="false">E102*F102</f>
        <v>10.2</v>
      </c>
      <c r="K102" s="8" t="n">
        <f aca="false">IF(H102="","",1-F102/H102)</f>
        <v>0</v>
      </c>
    </row>
    <row r="103" customFormat="false" ht="15" hidden="false" customHeight="false" outlineLevel="0" collapsed="false">
      <c r="A103" s="0" t="s">
        <v>128</v>
      </c>
      <c r="B103" s="6" t="n">
        <v>40878.74375</v>
      </c>
      <c r="C103" s="0" t="s">
        <v>41</v>
      </c>
      <c r="D103" s="0" t="s">
        <v>131</v>
      </c>
      <c r="E103" s="0" t="n">
        <v>12</v>
      </c>
      <c r="F103" s="0" t="n">
        <v>0.83</v>
      </c>
      <c r="G103" s="7" t="str">
        <f aca="false">_xlfn.XLOOKUP(D103,Catalog!$B$2:$B$4102,Catalog!$A$2:$A$4102,"NOT IN CATALOG")</f>
        <v>NOT IN CATALOG</v>
      </c>
      <c r="H103" s="7" t="str">
        <f aca="false">_xlfn.IFNA(VLOOKUP(D103,Catalog!$B$2:$C$4102,2,FALSE()),"")</f>
        <v/>
      </c>
      <c r="I103" s="7" t="str">
        <f aca="false">HLOOKUP(C103,Regions!$B$1:$S$2,2,FALSE())</f>
        <v>EU</v>
      </c>
      <c r="J103" s="7" t="n">
        <f aca="false">E103*F103</f>
        <v>9.96</v>
      </c>
      <c r="K103" s="8" t="str">
        <f aca="false">IF(H103="","",1-F103/H103)</f>
        <v/>
      </c>
    </row>
    <row r="104" customFormat="false" ht="15" hidden="false" customHeight="false" outlineLevel="0" collapsed="false">
      <c r="A104" s="0" t="s">
        <v>128</v>
      </c>
      <c r="B104" s="6" t="n">
        <v>40878.74375</v>
      </c>
      <c r="C104" s="0" t="s">
        <v>41</v>
      </c>
      <c r="D104" s="0" t="s">
        <v>132</v>
      </c>
      <c r="E104" s="0" t="n">
        <v>12</v>
      </c>
      <c r="F104" s="0" t="n">
        <v>0.83</v>
      </c>
      <c r="G104" s="7" t="str">
        <f aca="false">_xlfn.XLOOKUP(D104,Catalog!$B$2:$B$4102,Catalog!$A$2:$A$4102,"NOT IN CATALOG")</f>
        <v>NOT IN CATALOG</v>
      </c>
      <c r="H104" s="7" t="str">
        <f aca="false">_xlfn.IFNA(VLOOKUP(D104,Catalog!$B$2:$C$4102,2,FALSE()),"")</f>
        <v/>
      </c>
      <c r="I104" s="7" t="str">
        <f aca="false">HLOOKUP(C104,Regions!$B$1:$S$2,2,FALSE())</f>
        <v>EU</v>
      </c>
      <c r="J104" s="7" t="n">
        <f aca="false">E104*F104</f>
        <v>9.96</v>
      </c>
      <c r="K104" s="8" t="str">
        <f aca="false">IF(H104="","",1-F104/H104)</f>
        <v/>
      </c>
    </row>
    <row r="105" customFormat="false" ht="15" hidden="false" customHeight="false" outlineLevel="0" collapsed="false">
      <c r="A105" s="0" t="s">
        <v>128</v>
      </c>
      <c r="B105" s="6" t="n">
        <v>40878.74375</v>
      </c>
      <c r="C105" s="0" t="s">
        <v>41</v>
      </c>
      <c r="D105" s="0" t="s">
        <v>133</v>
      </c>
      <c r="E105" s="0" t="n">
        <v>12</v>
      </c>
      <c r="F105" s="0" t="n">
        <v>0.83</v>
      </c>
      <c r="G105" s="7" t="str">
        <f aca="false">_xlfn.XLOOKUP(D105,Catalog!$B$2:$B$4102,Catalog!$A$2:$A$4102,"NOT IN CATALOG")</f>
        <v>NOT IN CATALOG</v>
      </c>
      <c r="H105" s="7" t="str">
        <f aca="false">_xlfn.IFNA(VLOOKUP(D105,Catalog!$B$2:$C$4102,2,FALSE()),"")</f>
        <v/>
      </c>
      <c r="I105" s="7" t="str">
        <f aca="false">HLOOKUP(C105,Regions!$B$1:$S$2,2,FALSE())</f>
        <v>EU</v>
      </c>
      <c r="J105" s="7" t="n">
        <f aca="false">E105*F105</f>
        <v>9.96</v>
      </c>
      <c r="K105" s="8" t="str">
        <f aca="false">IF(H105="","",1-F105/H105)</f>
        <v/>
      </c>
    </row>
    <row r="106" customFormat="false" ht="15" hidden="false" customHeight="false" outlineLevel="0" collapsed="false">
      <c r="A106" s="0" t="s">
        <v>128</v>
      </c>
      <c r="B106" s="6" t="n">
        <v>40878.74375</v>
      </c>
      <c r="C106" s="0" t="s">
        <v>41</v>
      </c>
      <c r="D106" s="0" t="s">
        <v>134</v>
      </c>
      <c r="E106" s="0" t="n">
        <v>12</v>
      </c>
      <c r="F106" s="0" t="n">
        <v>0.83</v>
      </c>
      <c r="G106" s="7" t="str">
        <f aca="false">_xlfn.XLOOKUP(D106,Catalog!$B$2:$B$4102,Catalog!$A$2:$A$4102,"NOT IN CATALOG")</f>
        <v>NOT IN CATALOG</v>
      </c>
      <c r="H106" s="7" t="str">
        <f aca="false">_xlfn.IFNA(VLOOKUP(D106,Catalog!$B$2:$C$4102,2,FALSE()),"")</f>
        <v/>
      </c>
      <c r="I106" s="7" t="str">
        <f aca="false">HLOOKUP(C106,Regions!$B$1:$S$2,2,FALSE())</f>
        <v>EU</v>
      </c>
      <c r="J106" s="7" t="n">
        <f aca="false">E106*F106</f>
        <v>9.96</v>
      </c>
      <c r="K106" s="8" t="str">
        <f aca="false">IF(H106="","",1-F106/H106)</f>
        <v/>
      </c>
    </row>
    <row r="107" customFormat="false" ht="15" hidden="false" customHeight="false" outlineLevel="0" collapsed="false">
      <c r="A107" s="0" t="s">
        <v>128</v>
      </c>
      <c r="B107" s="6" t="n">
        <v>40878.74375</v>
      </c>
      <c r="C107" s="0" t="s">
        <v>41</v>
      </c>
      <c r="D107" s="0" t="s">
        <v>135</v>
      </c>
      <c r="E107" s="0" t="n">
        <v>12</v>
      </c>
      <c r="F107" s="0" t="n">
        <v>0.85</v>
      </c>
      <c r="G107" s="7" t="str">
        <f aca="false">_xlfn.XLOOKUP(D107,Catalog!$B$2:$B$4102,Catalog!$A$2:$A$4102,"NOT IN CATALOG")</f>
        <v>HEART WOODEN CHRISTMAS DECORATION</v>
      </c>
      <c r="H107" s="7" t="n">
        <f aca="false">_xlfn.IFNA(VLOOKUP(D107,Catalog!$B$2:$C$4102,2,FALSE()),"")</f>
        <v>0.85</v>
      </c>
      <c r="I107" s="7" t="str">
        <f aca="false">HLOOKUP(C107,Regions!$B$1:$S$2,2,FALSE())</f>
        <v>EU</v>
      </c>
      <c r="J107" s="7" t="n">
        <f aca="false">E107*F107</f>
        <v>10.2</v>
      </c>
      <c r="K107" s="8" t="n">
        <f aca="false">IF(H107="","",1-F107/H107)</f>
        <v>0</v>
      </c>
    </row>
    <row r="108" customFormat="false" ht="15" hidden="false" customHeight="false" outlineLevel="0" collapsed="false">
      <c r="A108" s="0" t="s">
        <v>128</v>
      </c>
      <c r="B108" s="6" t="n">
        <v>40878.74375</v>
      </c>
      <c r="C108" s="0" t="s">
        <v>41</v>
      </c>
      <c r="D108" s="0" t="s">
        <v>136</v>
      </c>
      <c r="E108" s="0" t="n">
        <v>12</v>
      </c>
      <c r="F108" s="0" t="n">
        <v>0.85</v>
      </c>
      <c r="G108" s="7" t="str">
        <f aca="false">_xlfn.XLOOKUP(D108,Catalog!$B$2:$B$4102,Catalog!$A$2:$A$4102,"NOT IN CATALOG")</f>
        <v>SWALLOW WOODEN CHRISTMAS DECORATION</v>
      </c>
      <c r="H108" s="7" t="n">
        <f aca="false">_xlfn.IFNA(VLOOKUP(D108,Catalog!$B$2:$C$4102,2,FALSE()),"")</f>
        <v>0.85</v>
      </c>
      <c r="I108" s="7" t="str">
        <f aca="false">HLOOKUP(C108,Regions!$B$1:$S$2,2,FALSE())</f>
        <v>EU</v>
      </c>
      <c r="J108" s="7" t="n">
        <f aca="false">E108*F108</f>
        <v>10.2</v>
      </c>
      <c r="K108" s="8" t="n">
        <f aca="false">IF(H108="","",1-F108/H108)</f>
        <v>0</v>
      </c>
    </row>
    <row r="109" customFormat="false" ht="15" hidden="false" customHeight="false" outlineLevel="0" collapsed="false">
      <c r="A109" s="0" t="s">
        <v>128</v>
      </c>
      <c r="B109" s="6" t="n">
        <v>40878.74375</v>
      </c>
      <c r="C109" s="0" t="s">
        <v>41</v>
      </c>
      <c r="D109" s="0" t="s">
        <v>137</v>
      </c>
      <c r="E109" s="0" t="n">
        <v>12</v>
      </c>
      <c r="F109" s="0" t="n">
        <v>1.25</v>
      </c>
      <c r="G109" s="7" t="str">
        <f aca="false">_xlfn.XLOOKUP(D109,Catalog!$B$2:$B$4102,Catalog!$A$2:$A$4102,"NOT IN CATALOG")</f>
        <v>NOT IN CATALOG</v>
      </c>
      <c r="H109" s="7" t="str">
        <f aca="false">_xlfn.IFNA(VLOOKUP(D109,Catalog!$B$2:$C$4102,2,FALSE()),"")</f>
        <v/>
      </c>
      <c r="I109" s="7" t="str">
        <f aca="false">HLOOKUP(C109,Regions!$B$1:$S$2,2,FALSE())</f>
        <v>EU</v>
      </c>
      <c r="J109" s="7" t="n">
        <f aca="false">E109*F109</f>
        <v>15</v>
      </c>
      <c r="K109" s="8" t="str">
        <f aca="false">IF(H109="","",1-F109/H109)</f>
        <v/>
      </c>
    </row>
    <row r="110" customFormat="false" ht="15" hidden="false" customHeight="false" outlineLevel="0" collapsed="false">
      <c r="A110" s="0" t="s">
        <v>128</v>
      </c>
      <c r="B110" s="6" t="n">
        <v>40878.74375</v>
      </c>
      <c r="C110" s="0" t="s">
        <v>41</v>
      </c>
      <c r="D110" s="0" t="s">
        <v>138</v>
      </c>
      <c r="E110" s="0" t="n">
        <v>12</v>
      </c>
      <c r="F110" s="0" t="n">
        <v>0.85</v>
      </c>
      <c r="G110" s="7" t="str">
        <f aca="false">_xlfn.XLOOKUP(D110,Catalog!$B$2:$B$4102,Catalog!$A$2:$A$4102,"NOT IN CATALOG")</f>
        <v>CHRISTMAS RETROSPOT ANGEL WOOD</v>
      </c>
      <c r="H110" s="7" t="n">
        <f aca="false">_xlfn.IFNA(VLOOKUP(D110,Catalog!$B$2:$C$4102,2,FALSE()),"")</f>
        <v>0.85</v>
      </c>
      <c r="I110" s="7" t="str">
        <f aca="false">HLOOKUP(C110,Regions!$B$1:$S$2,2,FALSE())</f>
        <v>EU</v>
      </c>
      <c r="J110" s="7" t="n">
        <f aca="false">E110*F110</f>
        <v>10.2</v>
      </c>
      <c r="K110" s="8" t="n">
        <f aca="false">IF(H110="","",1-F110/H110)</f>
        <v>0</v>
      </c>
    </row>
    <row r="111" customFormat="false" ht="15" hidden="false" customHeight="false" outlineLevel="0" collapsed="false">
      <c r="A111" s="0" t="s">
        <v>128</v>
      </c>
      <c r="B111" s="6" t="n">
        <v>40878.74375</v>
      </c>
      <c r="C111" s="0" t="s">
        <v>41</v>
      </c>
      <c r="D111" s="0" t="s">
        <v>139</v>
      </c>
      <c r="E111" s="0" t="n">
        <v>24</v>
      </c>
      <c r="F111" s="0" t="n">
        <v>0.85</v>
      </c>
      <c r="G111" s="7" t="str">
        <f aca="false">_xlfn.XLOOKUP(D111,Catalog!$B$2:$B$4102,Catalog!$A$2:$A$4102,"NOT IN CATALOG")</f>
        <v>VINTAGE SNAP CARDS</v>
      </c>
      <c r="H111" s="7" t="n">
        <f aca="false">_xlfn.IFNA(VLOOKUP(D111,Catalog!$B$2:$C$4102,2,FALSE()),"")</f>
        <v>0.85</v>
      </c>
      <c r="I111" s="7" t="str">
        <f aca="false">HLOOKUP(C111,Regions!$B$1:$S$2,2,FALSE())</f>
        <v>EU</v>
      </c>
      <c r="J111" s="7" t="n">
        <f aca="false">E111*F111</f>
        <v>20.4</v>
      </c>
      <c r="K111" s="8" t="n">
        <f aca="false">IF(H111="","",1-F111/H111)</f>
        <v>0</v>
      </c>
    </row>
    <row r="112" customFormat="false" ht="15" hidden="false" customHeight="false" outlineLevel="0" collapsed="false">
      <c r="A112" s="0" t="s">
        <v>128</v>
      </c>
      <c r="B112" s="6" t="n">
        <v>40878.74375</v>
      </c>
      <c r="C112" s="0" t="s">
        <v>41</v>
      </c>
      <c r="D112" s="0" t="s">
        <v>140</v>
      </c>
      <c r="E112" s="0" t="n">
        <v>12</v>
      </c>
      <c r="F112" s="0" t="n">
        <v>1.65</v>
      </c>
      <c r="G112" s="7" t="str">
        <f aca="false">_xlfn.XLOOKUP(D112,Catalog!$B$2:$B$4102,Catalog!$A$2:$A$4102,"NOT IN CATALOG")</f>
        <v>BAG 500g SWIRLY MARBLES</v>
      </c>
      <c r="H112" s="7" t="n">
        <f aca="false">_xlfn.IFNA(VLOOKUP(D112,Catalog!$B$2:$C$4102,2,FALSE()),"")</f>
        <v>1.65</v>
      </c>
      <c r="I112" s="7" t="str">
        <f aca="false">HLOOKUP(C112,Regions!$B$1:$S$2,2,FALSE())</f>
        <v>EU</v>
      </c>
      <c r="J112" s="7" t="n">
        <f aca="false">E112*F112</f>
        <v>19.8</v>
      </c>
      <c r="K112" s="8" t="n">
        <f aca="false">IF(H112="","",1-F112/H112)</f>
        <v>0</v>
      </c>
    </row>
    <row r="113" customFormat="false" ht="15" hidden="false" customHeight="false" outlineLevel="0" collapsed="false">
      <c r="A113" s="0" t="s">
        <v>128</v>
      </c>
      <c r="B113" s="6" t="n">
        <v>40878.74375</v>
      </c>
      <c r="C113" s="0" t="s">
        <v>41</v>
      </c>
      <c r="D113" s="0" t="s">
        <v>141</v>
      </c>
      <c r="E113" s="0" t="n">
        <v>4</v>
      </c>
      <c r="F113" s="0" t="n">
        <v>3.75</v>
      </c>
      <c r="G113" s="7" t="str">
        <f aca="false">_xlfn.XLOOKUP(D113,Catalog!$B$2:$B$4102,Catalog!$A$2:$A$4102,"NOT IN CATALOG")</f>
        <v>WHITE METAL LANTERN</v>
      </c>
      <c r="H113" s="7" t="n">
        <f aca="false">_xlfn.IFNA(VLOOKUP(D113,Catalog!$B$2:$C$4102,2,FALSE()),"")</f>
        <v>3.75</v>
      </c>
      <c r="I113" s="7" t="str">
        <f aca="false">HLOOKUP(C113,Regions!$B$1:$S$2,2,FALSE())</f>
        <v>EU</v>
      </c>
      <c r="J113" s="7" t="n">
        <f aca="false">E113*F113</f>
        <v>15</v>
      </c>
      <c r="K113" s="8" t="n">
        <f aca="false">IF(H113="","",1-F113/H113)</f>
        <v>0</v>
      </c>
    </row>
    <row r="114" customFormat="false" ht="15" hidden="false" customHeight="false" outlineLevel="0" collapsed="false">
      <c r="A114" s="0" t="s">
        <v>128</v>
      </c>
      <c r="B114" s="6" t="n">
        <v>40878.74375</v>
      </c>
      <c r="C114" s="0" t="s">
        <v>41</v>
      </c>
      <c r="D114" s="0" t="s">
        <v>142</v>
      </c>
      <c r="E114" s="0" t="n">
        <v>6</v>
      </c>
      <c r="F114" s="0" t="n">
        <v>2.95</v>
      </c>
      <c r="G114" s="7" t="str">
        <f aca="false">_xlfn.XLOOKUP(D114,Catalog!$B$2:$B$4102,Catalog!$A$2:$A$4102,"NOT IN CATALOG")</f>
        <v>OFFICE MUG WARMER POLKADOT</v>
      </c>
      <c r="H114" s="7" t="n">
        <f aca="false">_xlfn.IFNA(VLOOKUP(D114,Catalog!$B$2:$C$4102,2,FALSE()),"")</f>
        <v>2.95</v>
      </c>
      <c r="I114" s="7" t="str">
        <f aca="false">HLOOKUP(C114,Regions!$B$1:$S$2,2,FALSE())</f>
        <v>EU</v>
      </c>
      <c r="J114" s="7" t="n">
        <f aca="false">E114*F114</f>
        <v>17.7</v>
      </c>
      <c r="K114" s="8" t="n">
        <f aca="false">IF(H114="","",1-F114/H114)</f>
        <v>0</v>
      </c>
    </row>
    <row r="115" customFormat="false" ht="15" hidden="false" customHeight="false" outlineLevel="0" collapsed="false">
      <c r="A115" s="0" t="s">
        <v>128</v>
      </c>
      <c r="B115" s="6" t="n">
        <v>40878.74375</v>
      </c>
      <c r="C115" s="0" t="s">
        <v>41</v>
      </c>
      <c r="D115" s="0" t="s">
        <v>143</v>
      </c>
      <c r="E115" s="0" t="n">
        <v>6</v>
      </c>
      <c r="F115" s="0" t="n">
        <v>2.95</v>
      </c>
      <c r="G115" s="7" t="str">
        <f aca="false">_xlfn.XLOOKUP(D115,Catalog!$B$2:$B$4102,Catalog!$A$2:$A$4102,"NOT IN CATALOG")</f>
        <v>OFFICE MUG WARMER BLACK+SILVER</v>
      </c>
      <c r="H115" s="7" t="n">
        <f aca="false">_xlfn.IFNA(VLOOKUP(D115,Catalog!$B$2:$C$4102,2,FALSE()),"")</f>
        <v>2.95</v>
      </c>
      <c r="I115" s="7" t="str">
        <f aca="false">HLOOKUP(C115,Regions!$B$1:$S$2,2,FALSE())</f>
        <v>EU</v>
      </c>
      <c r="J115" s="7" t="n">
        <f aca="false">E115*F115</f>
        <v>17.7</v>
      </c>
      <c r="K115" s="8" t="n">
        <f aca="false">IF(H115="","",1-F115/H115)</f>
        <v>0</v>
      </c>
    </row>
    <row r="116" customFormat="false" ht="15" hidden="false" customHeight="false" outlineLevel="0" collapsed="false">
      <c r="A116" s="0" t="s">
        <v>128</v>
      </c>
      <c r="B116" s="6" t="n">
        <v>40878.74375</v>
      </c>
      <c r="C116" s="0" t="s">
        <v>41</v>
      </c>
      <c r="D116" s="0" t="s">
        <v>144</v>
      </c>
      <c r="E116" s="0" t="n">
        <v>12</v>
      </c>
      <c r="F116" s="0" t="n">
        <v>1.25</v>
      </c>
      <c r="G116" s="7" t="str">
        <f aca="false">_xlfn.XLOOKUP(D116,Catalog!$B$2:$B$4102,Catalog!$A$2:$A$4102,"NOT IN CATALOG")</f>
        <v>BLUE HARMONICA IN BOX</v>
      </c>
      <c r="H116" s="7" t="n">
        <f aca="false">_xlfn.IFNA(VLOOKUP(D116,Catalog!$B$2:$C$4102,2,FALSE()),"")</f>
        <v>1.25</v>
      </c>
      <c r="I116" s="7" t="str">
        <f aca="false">HLOOKUP(C116,Regions!$B$1:$S$2,2,FALSE())</f>
        <v>EU</v>
      </c>
      <c r="J116" s="7" t="n">
        <f aca="false">E116*F116</f>
        <v>15</v>
      </c>
      <c r="K116" s="8" t="n">
        <f aca="false">IF(H116="","",1-F116/H116)</f>
        <v>0</v>
      </c>
    </row>
    <row r="117" customFormat="false" ht="15" hidden="false" customHeight="false" outlineLevel="0" collapsed="false">
      <c r="A117" s="0" t="s">
        <v>128</v>
      </c>
      <c r="B117" s="6" t="n">
        <v>40878.74375</v>
      </c>
      <c r="C117" s="0" t="s">
        <v>41</v>
      </c>
      <c r="D117" s="0" t="s">
        <v>145</v>
      </c>
      <c r="E117" s="0" t="n">
        <v>48</v>
      </c>
      <c r="F117" s="0" t="n">
        <v>0.39</v>
      </c>
      <c r="G117" s="7" t="str">
        <f aca="false">_xlfn.XLOOKUP(D117,Catalog!$B$2:$B$4102,Catalog!$A$2:$A$4102,"NOT IN CATALOG")</f>
        <v>CHRISTMAS PUDDING TRINKET POT</v>
      </c>
      <c r="H117" s="7" t="n">
        <f aca="false">_xlfn.IFNA(VLOOKUP(D117,Catalog!$B$2:$C$4102,2,FALSE()),"")</f>
        <v>1.45</v>
      </c>
      <c r="I117" s="7" t="str">
        <f aca="false">HLOOKUP(C117,Regions!$B$1:$S$2,2,FALSE())</f>
        <v>EU</v>
      </c>
      <c r="J117" s="7" t="n">
        <f aca="false">E117*F117</f>
        <v>18.72</v>
      </c>
      <c r="K117" s="8" t="n">
        <f aca="false">IF(H117="","",1-F117/H117)</f>
        <v>0.731034482758621</v>
      </c>
    </row>
    <row r="118" customFormat="false" ht="15" hidden="false" customHeight="false" outlineLevel="0" collapsed="false">
      <c r="A118" s="0" t="s">
        <v>128</v>
      </c>
      <c r="B118" s="6" t="n">
        <v>40878.74375</v>
      </c>
      <c r="C118" s="0" t="s">
        <v>41</v>
      </c>
      <c r="D118" s="0" t="s">
        <v>146</v>
      </c>
      <c r="E118" s="0" t="n">
        <v>12</v>
      </c>
      <c r="F118" s="0" t="n">
        <v>2.89</v>
      </c>
      <c r="G118" s="7" t="str">
        <f aca="false">_xlfn.XLOOKUP(D118,Catalog!$B$2:$B$4102,Catalog!$A$2:$A$4102,"NOT IN CATALOG")</f>
        <v>NOT IN CATALOG</v>
      </c>
      <c r="H118" s="7" t="str">
        <f aca="false">_xlfn.IFNA(VLOOKUP(D118,Catalog!$B$2:$C$4102,2,FALSE()),"")</f>
        <v/>
      </c>
      <c r="I118" s="7" t="str">
        <f aca="false">HLOOKUP(C118,Regions!$B$1:$S$2,2,FALSE())</f>
        <v>EU</v>
      </c>
      <c r="J118" s="7" t="n">
        <f aca="false">E118*F118</f>
        <v>34.68</v>
      </c>
      <c r="K118" s="8" t="str">
        <f aca="false">IF(H118="","",1-F118/H118)</f>
        <v/>
      </c>
    </row>
    <row r="119" customFormat="false" ht="15" hidden="false" customHeight="false" outlineLevel="0" collapsed="false">
      <c r="A119" s="0" t="s">
        <v>128</v>
      </c>
      <c r="B119" s="6" t="n">
        <v>40878.74375</v>
      </c>
      <c r="C119" s="0" t="s">
        <v>41</v>
      </c>
      <c r="D119" s="0" t="s">
        <v>56</v>
      </c>
      <c r="E119" s="0" t="n">
        <v>1</v>
      </c>
      <c r="F119" s="0" t="n">
        <v>50</v>
      </c>
      <c r="G119" s="7" t="str">
        <f aca="false">_xlfn.XLOOKUP(D119,Catalog!$B$2:$B$4102,Catalog!$A$2:$A$4102,"NOT IN CATALOG")</f>
        <v>CARRIAGE</v>
      </c>
      <c r="H119" s="7" t="n">
        <f aca="false">_xlfn.IFNA(VLOOKUP(D119,Catalog!$B$2:$C$4102,2,FALSE()),"")</f>
        <v>50</v>
      </c>
      <c r="I119" s="7" t="str">
        <f aca="false">HLOOKUP(C119,Regions!$B$1:$S$2,2,FALSE())</f>
        <v>EU</v>
      </c>
      <c r="J119" s="7" t="n">
        <f aca="false">E119*F119</f>
        <v>50</v>
      </c>
      <c r="K119" s="8" t="n">
        <f aca="false">IF(H119="","",1-F119/H119)</f>
        <v>0</v>
      </c>
    </row>
    <row r="120" customFormat="false" ht="15" hidden="false" customHeight="false" outlineLevel="0" collapsed="false">
      <c r="A120" s="0" t="s">
        <v>147</v>
      </c>
      <c r="B120" s="6" t="n">
        <v>40879.4118055556</v>
      </c>
      <c r="C120" s="0" t="s">
        <v>81</v>
      </c>
      <c r="D120" s="0" t="s">
        <v>148</v>
      </c>
      <c r="E120" s="0" t="n">
        <v>24</v>
      </c>
      <c r="F120" s="0" t="n">
        <v>1.65</v>
      </c>
      <c r="G120" s="7" t="str">
        <f aca="false">_xlfn.XLOOKUP(D120,Catalog!$B$2:$B$4102,Catalog!$A$2:$A$4102,"NOT IN CATALOG")</f>
        <v>PLASTERS IN TIN VINTAGE PAISLEY</v>
      </c>
      <c r="H120" s="7" t="n">
        <f aca="false">_xlfn.IFNA(VLOOKUP(D120,Catalog!$B$2:$C$4102,2,FALSE()),"")</f>
        <v>1.65</v>
      </c>
      <c r="I120" s="7" t="str">
        <f aca="false">HLOOKUP(C120,Regions!$B$1:$S$2,2,FALSE())</f>
        <v>EU</v>
      </c>
      <c r="J120" s="7" t="n">
        <f aca="false">E120*F120</f>
        <v>39.6</v>
      </c>
      <c r="K120" s="8" t="n">
        <f aca="false">IF(H120="","",1-F120/H120)</f>
        <v>0</v>
      </c>
    </row>
    <row r="121" customFormat="false" ht="15" hidden="false" customHeight="false" outlineLevel="0" collapsed="false">
      <c r="A121" s="0" t="s">
        <v>147</v>
      </c>
      <c r="B121" s="6" t="n">
        <v>40879.4118055556</v>
      </c>
      <c r="C121" s="0" t="s">
        <v>81</v>
      </c>
      <c r="D121" s="0" t="s">
        <v>149</v>
      </c>
      <c r="E121" s="0" t="n">
        <v>24</v>
      </c>
      <c r="F121" s="0" t="n">
        <v>1.65</v>
      </c>
      <c r="G121" s="7" t="str">
        <f aca="false">_xlfn.XLOOKUP(D121,Catalog!$B$2:$B$4102,Catalog!$A$2:$A$4102,"NOT IN CATALOG")</f>
        <v>PLASTERS IN TIN SKULLS</v>
      </c>
      <c r="H121" s="7" t="n">
        <f aca="false">_xlfn.IFNA(VLOOKUP(D121,Catalog!$B$2:$C$4102,2,FALSE()),"")</f>
        <v>1.65</v>
      </c>
      <c r="I121" s="7" t="str">
        <f aca="false">HLOOKUP(C121,Regions!$B$1:$S$2,2,FALSE())</f>
        <v>EU</v>
      </c>
      <c r="J121" s="7" t="n">
        <f aca="false">E121*F121</f>
        <v>39.6</v>
      </c>
      <c r="K121" s="8" t="n">
        <f aca="false">IF(H121="","",1-F121/H121)</f>
        <v>0</v>
      </c>
    </row>
    <row r="122" customFormat="false" ht="15" hidden="false" customHeight="false" outlineLevel="0" collapsed="false">
      <c r="A122" s="0" t="s">
        <v>147</v>
      </c>
      <c r="B122" s="6" t="n">
        <v>40879.4118055556</v>
      </c>
      <c r="C122" s="0" t="s">
        <v>81</v>
      </c>
      <c r="D122" s="0" t="s">
        <v>65</v>
      </c>
      <c r="E122" s="0" t="n">
        <v>12</v>
      </c>
      <c r="F122" s="0" t="n">
        <v>3.75</v>
      </c>
      <c r="G122" s="7" t="str">
        <f aca="false">_xlfn.XLOOKUP(D122,Catalog!$B$2:$B$4102,Catalog!$A$2:$A$4102,"NOT IN CATALOG")</f>
        <v>ALARM CLOCK BAKELIKE PINK</v>
      </c>
      <c r="H122" s="7" t="n">
        <f aca="false">_xlfn.IFNA(VLOOKUP(D122,Catalog!$B$2:$C$4102,2,FALSE()),"")</f>
        <v>3.75</v>
      </c>
      <c r="I122" s="7" t="str">
        <f aca="false">HLOOKUP(C122,Regions!$B$1:$S$2,2,FALSE())</f>
        <v>EU</v>
      </c>
      <c r="J122" s="7" t="n">
        <f aca="false">E122*F122</f>
        <v>45</v>
      </c>
      <c r="K122" s="8" t="n">
        <f aca="false">IF(H122="","",1-F122/H122)</f>
        <v>0</v>
      </c>
    </row>
    <row r="123" customFormat="false" ht="15" hidden="false" customHeight="false" outlineLevel="0" collapsed="false">
      <c r="A123" s="0" t="s">
        <v>147</v>
      </c>
      <c r="B123" s="6" t="n">
        <v>40879.4118055556</v>
      </c>
      <c r="C123" s="0" t="s">
        <v>81</v>
      </c>
      <c r="D123" s="0" t="s">
        <v>150</v>
      </c>
      <c r="E123" s="0" t="n">
        <v>12</v>
      </c>
      <c r="F123" s="0" t="n">
        <v>1.45</v>
      </c>
      <c r="G123" s="7" t="str">
        <f aca="false">_xlfn.XLOOKUP(D123,Catalog!$B$2:$B$4102,Catalog!$A$2:$A$4102,"NOT IN CATALOG")</f>
        <v>4 TRADITIONAL SPINNING TOPS</v>
      </c>
      <c r="H123" s="7" t="n">
        <f aca="false">_xlfn.IFNA(VLOOKUP(D123,Catalog!$B$2:$C$4102,2,FALSE()),"")</f>
        <v>1.25</v>
      </c>
      <c r="I123" s="7" t="str">
        <f aca="false">HLOOKUP(C123,Regions!$B$1:$S$2,2,FALSE())</f>
        <v>EU</v>
      </c>
      <c r="J123" s="7" t="n">
        <f aca="false">E123*F123</f>
        <v>17.4</v>
      </c>
      <c r="K123" s="8" t="n">
        <f aca="false">IF(H123="","",1-F123/H123)</f>
        <v>-0.16</v>
      </c>
    </row>
    <row r="124" customFormat="false" ht="15" hidden="false" customHeight="false" outlineLevel="0" collapsed="false">
      <c r="A124" s="0" t="s">
        <v>147</v>
      </c>
      <c r="B124" s="6" t="n">
        <v>40879.4118055556</v>
      </c>
      <c r="C124" s="0" t="s">
        <v>81</v>
      </c>
      <c r="D124" s="0" t="s">
        <v>151</v>
      </c>
      <c r="E124" s="0" t="n">
        <v>12</v>
      </c>
      <c r="F124" s="0" t="n">
        <v>1.65</v>
      </c>
      <c r="G124" s="7" t="str">
        <f aca="false">_xlfn.XLOOKUP(D124,Catalog!$B$2:$B$4102,Catalog!$A$2:$A$4102,"NOT IN CATALOG")</f>
        <v>PLASTERS IN TIN CIRCUS PARADE</v>
      </c>
      <c r="H124" s="7" t="n">
        <f aca="false">_xlfn.IFNA(VLOOKUP(D124,Catalog!$B$2:$C$4102,2,FALSE()),"")</f>
        <v>1.65</v>
      </c>
      <c r="I124" s="7" t="str">
        <f aca="false">HLOOKUP(C124,Regions!$B$1:$S$2,2,FALSE())</f>
        <v>EU</v>
      </c>
      <c r="J124" s="7" t="n">
        <f aca="false">E124*F124</f>
        <v>19.8</v>
      </c>
      <c r="K124" s="8" t="n">
        <f aca="false">IF(H124="","",1-F124/H124)</f>
        <v>0</v>
      </c>
    </row>
    <row r="125" customFormat="false" ht="15" hidden="false" customHeight="false" outlineLevel="0" collapsed="false">
      <c r="A125" s="0" t="s">
        <v>147</v>
      </c>
      <c r="B125" s="6" t="n">
        <v>40879.4118055556</v>
      </c>
      <c r="C125" s="0" t="s">
        <v>81</v>
      </c>
      <c r="D125" s="0" t="s">
        <v>39</v>
      </c>
      <c r="E125" s="0" t="n">
        <v>1</v>
      </c>
      <c r="F125" s="0" t="n">
        <v>18</v>
      </c>
      <c r="G125" s="7" t="str">
        <f aca="false">_xlfn.XLOOKUP(D125,Catalog!$B$2:$B$4102,Catalog!$A$2:$A$4102,"NOT IN CATALOG")</f>
        <v>POSTAGE</v>
      </c>
      <c r="H125" s="7" t="n">
        <f aca="false">_xlfn.IFNA(VLOOKUP(D125,Catalog!$B$2:$C$4102,2,FALSE()),"")</f>
        <v>18</v>
      </c>
      <c r="I125" s="7" t="str">
        <f aca="false">HLOOKUP(C125,Regions!$B$1:$S$2,2,FALSE())</f>
        <v>EU</v>
      </c>
      <c r="J125" s="7" t="n">
        <f aca="false">E125*F125</f>
        <v>18</v>
      </c>
      <c r="K125" s="8" t="n">
        <f aca="false">IF(H125="","",1-F125/H125)</f>
        <v>0</v>
      </c>
    </row>
    <row r="126" customFormat="false" ht="15" hidden="false" customHeight="false" outlineLevel="0" collapsed="false">
      <c r="A126" s="0" t="s">
        <v>152</v>
      </c>
      <c r="B126" s="6" t="n">
        <v>40879.4319444444</v>
      </c>
      <c r="C126" s="0" t="s">
        <v>153</v>
      </c>
      <c r="D126" s="0" t="s">
        <v>154</v>
      </c>
      <c r="E126" s="0" t="n">
        <v>25</v>
      </c>
      <c r="F126" s="0" t="n">
        <v>0.42</v>
      </c>
      <c r="G126" s="7" t="str">
        <f aca="false">_xlfn.XLOOKUP(D126,Catalog!$B$2:$B$4102,Catalog!$A$2:$A$4102,"NOT IN CATALOG")</f>
        <v>BLUE SPOTS WRAP</v>
      </c>
      <c r="H126" s="7" t="n">
        <f aca="false">_xlfn.IFNA(VLOOKUP(D126,Catalog!$B$2:$C$4102,2,FALSE()),"")</f>
        <v>0.42</v>
      </c>
      <c r="I126" s="7" t="str">
        <f aca="false">HLOOKUP(C126,Regions!$B$1:$S$2,2,FALSE())</f>
        <v>EU</v>
      </c>
      <c r="J126" s="7" t="n">
        <f aca="false">E126*F126</f>
        <v>10.5</v>
      </c>
      <c r="K126" s="8" t="n">
        <f aca="false">IF(H126="","",1-F126/H126)</f>
        <v>0</v>
      </c>
    </row>
    <row r="127" customFormat="false" ht="15" hidden="false" customHeight="false" outlineLevel="0" collapsed="false">
      <c r="A127" s="0" t="s">
        <v>152</v>
      </c>
      <c r="B127" s="6" t="n">
        <v>40879.4319444444</v>
      </c>
      <c r="C127" s="0" t="s">
        <v>153</v>
      </c>
      <c r="D127" s="0" t="s">
        <v>155</v>
      </c>
      <c r="E127" s="0" t="n">
        <v>25</v>
      </c>
      <c r="F127" s="0" t="n">
        <v>0.42</v>
      </c>
      <c r="G127" s="7" t="str">
        <f aca="false">_xlfn.XLOOKUP(D127,Catalog!$B$2:$B$4102,Catalog!$A$2:$A$4102,"NOT IN CATALOG")</f>
        <v>PINK SPOTS WRAP</v>
      </c>
      <c r="H127" s="7" t="n">
        <f aca="false">_xlfn.IFNA(VLOOKUP(D127,Catalog!$B$2:$C$4102,2,FALSE()),"")</f>
        <v>0.42</v>
      </c>
      <c r="I127" s="7" t="str">
        <f aca="false">HLOOKUP(C127,Regions!$B$1:$S$2,2,FALSE())</f>
        <v>EU</v>
      </c>
      <c r="J127" s="7" t="n">
        <f aca="false">E127*F127</f>
        <v>10.5</v>
      </c>
      <c r="K127" s="8" t="n">
        <f aca="false">IF(H127="","",1-F127/H127)</f>
        <v>0</v>
      </c>
    </row>
    <row r="128" customFormat="false" ht="15" hidden="false" customHeight="false" outlineLevel="0" collapsed="false">
      <c r="A128" s="0" t="s">
        <v>152</v>
      </c>
      <c r="B128" s="6" t="n">
        <v>40879.4319444444</v>
      </c>
      <c r="C128" s="0" t="s">
        <v>153</v>
      </c>
      <c r="D128" s="0" t="s">
        <v>156</v>
      </c>
      <c r="E128" s="0" t="n">
        <v>25</v>
      </c>
      <c r="F128" s="0" t="n">
        <v>0.42</v>
      </c>
      <c r="G128" s="7" t="str">
        <f aca="false">_xlfn.XLOOKUP(D128,Catalog!$B$2:$B$4102,Catalog!$A$2:$A$4102,"NOT IN CATALOG")</f>
        <v>WRAP DAISY CARPET</v>
      </c>
      <c r="H128" s="7" t="n">
        <f aca="false">_xlfn.IFNA(VLOOKUP(D128,Catalog!$B$2:$C$4102,2,FALSE()),"")</f>
        <v>0.19</v>
      </c>
      <c r="I128" s="7" t="str">
        <f aca="false">HLOOKUP(C128,Regions!$B$1:$S$2,2,FALSE())</f>
        <v>EU</v>
      </c>
      <c r="J128" s="7" t="n">
        <f aca="false">E128*F128</f>
        <v>10.5</v>
      </c>
      <c r="K128" s="8" t="n">
        <f aca="false">IF(H128="","",1-F128/H128)</f>
        <v>-1.21052631578947</v>
      </c>
    </row>
    <row r="129" customFormat="false" ht="15" hidden="false" customHeight="false" outlineLevel="0" collapsed="false">
      <c r="A129" s="0" t="s">
        <v>152</v>
      </c>
      <c r="B129" s="6" t="n">
        <v>40879.4319444444</v>
      </c>
      <c r="C129" s="0" t="s">
        <v>153</v>
      </c>
      <c r="D129" s="0" t="s">
        <v>157</v>
      </c>
      <c r="E129" s="0" t="n">
        <v>25</v>
      </c>
      <c r="F129" s="0" t="n">
        <v>0.42</v>
      </c>
      <c r="G129" s="7" t="str">
        <f aca="false">_xlfn.XLOOKUP(D129,Catalog!$B$2:$B$4102,Catalog!$A$2:$A$4102,"NOT IN CATALOG")</f>
        <v>RED SPOTS WRAP</v>
      </c>
      <c r="H129" s="7" t="n">
        <f aca="false">_xlfn.IFNA(VLOOKUP(D129,Catalog!$B$2:$C$4102,2,FALSE()),"")</f>
        <v>0.42</v>
      </c>
      <c r="I129" s="7" t="str">
        <f aca="false">HLOOKUP(C129,Regions!$B$1:$S$2,2,FALSE())</f>
        <v>EU</v>
      </c>
      <c r="J129" s="7" t="n">
        <f aca="false">E129*F129</f>
        <v>10.5</v>
      </c>
      <c r="K129" s="8" t="n">
        <f aca="false">IF(H129="","",1-F129/H129)</f>
        <v>0</v>
      </c>
    </row>
    <row r="130" customFormat="false" ht="15" hidden="false" customHeight="false" outlineLevel="0" collapsed="false">
      <c r="A130" s="0" t="s">
        <v>152</v>
      </c>
      <c r="B130" s="6" t="n">
        <v>40879.4319444444</v>
      </c>
      <c r="C130" s="0" t="s">
        <v>153</v>
      </c>
      <c r="D130" s="0" t="s">
        <v>158</v>
      </c>
      <c r="E130" s="0" t="n">
        <v>25</v>
      </c>
      <c r="F130" s="0" t="n">
        <v>0.42</v>
      </c>
      <c r="G130" s="7" t="str">
        <f aca="false">_xlfn.XLOOKUP(D130,Catalog!$B$2:$B$4102,Catalog!$A$2:$A$4102,"NOT IN CATALOG")</f>
        <v>SKULLS WRAP</v>
      </c>
      <c r="H130" s="7" t="n">
        <f aca="false">_xlfn.IFNA(VLOOKUP(D130,Catalog!$B$2:$C$4102,2,FALSE()),"")</f>
        <v>0.42</v>
      </c>
      <c r="I130" s="7" t="str">
        <f aca="false">HLOOKUP(C130,Regions!$B$1:$S$2,2,FALSE())</f>
        <v>EU</v>
      </c>
      <c r="J130" s="7" t="n">
        <f aca="false">E130*F130</f>
        <v>10.5</v>
      </c>
      <c r="K130" s="8" t="n">
        <f aca="false">IF(H130="","",1-F130/H130)</f>
        <v>0</v>
      </c>
    </row>
    <row r="131" customFormat="false" ht="15" hidden="false" customHeight="false" outlineLevel="0" collapsed="false">
      <c r="A131" s="0" t="s">
        <v>152</v>
      </c>
      <c r="B131" s="6" t="n">
        <v>40879.4319444444</v>
      </c>
      <c r="C131" s="0" t="s">
        <v>153</v>
      </c>
      <c r="D131" s="0" t="s">
        <v>159</v>
      </c>
      <c r="E131" s="0" t="n">
        <v>25</v>
      </c>
      <c r="F131" s="0" t="n">
        <v>0.42</v>
      </c>
      <c r="G131" s="7" t="str">
        <f aca="false">_xlfn.XLOOKUP(D131,Catalog!$B$2:$B$4102,Catalog!$A$2:$A$4102,"NOT IN CATALOG")</f>
        <v>WRAP RED APPLES</v>
      </c>
      <c r="H131" s="7" t="n">
        <f aca="false">_xlfn.IFNA(VLOOKUP(D131,Catalog!$B$2:$C$4102,2,FALSE()),"")</f>
        <v>0.42</v>
      </c>
      <c r="I131" s="7" t="str">
        <f aca="false">HLOOKUP(C131,Regions!$B$1:$S$2,2,FALSE())</f>
        <v>EU</v>
      </c>
      <c r="J131" s="7" t="n">
        <f aca="false">E131*F131</f>
        <v>10.5</v>
      </c>
      <c r="K131" s="8" t="n">
        <f aca="false">IF(H131="","",1-F131/H131)</f>
        <v>0</v>
      </c>
    </row>
    <row r="132" customFormat="false" ht="15" hidden="false" customHeight="false" outlineLevel="0" collapsed="false">
      <c r="A132" s="0" t="s">
        <v>152</v>
      </c>
      <c r="B132" s="6" t="n">
        <v>40879.4319444444</v>
      </c>
      <c r="C132" s="0" t="s">
        <v>153</v>
      </c>
      <c r="D132" s="0" t="s">
        <v>160</v>
      </c>
      <c r="E132" s="0" t="n">
        <v>25</v>
      </c>
      <c r="F132" s="0" t="n">
        <v>0.42</v>
      </c>
      <c r="G132" s="7" t="str">
        <f aca="false">_xlfn.XLOOKUP(D132,Catalog!$B$2:$B$4102,Catalog!$A$2:$A$4102,"NOT IN CATALOG")</f>
        <v>TEA PARTY WRAPPING PAPER</v>
      </c>
      <c r="H132" s="7" t="n">
        <f aca="false">_xlfn.IFNA(VLOOKUP(D132,Catalog!$B$2:$C$4102,2,FALSE()),"")</f>
        <v>0.42</v>
      </c>
      <c r="I132" s="7" t="str">
        <f aca="false">HLOOKUP(C132,Regions!$B$1:$S$2,2,FALSE())</f>
        <v>EU</v>
      </c>
      <c r="J132" s="7" t="n">
        <f aca="false">E132*F132</f>
        <v>10.5</v>
      </c>
      <c r="K132" s="8" t="n">
        <f aca="false">IF(H132="","",1-F132/H132)</f>
        <v>0</v>
      </c>
    </row>
    <row r="133" customFormat="false" ht="15" hidden="false" customHeight="false" outlineLevel="0" collapsed="false">
      <c r="A133" s="0" t="s">
        <v>152</v>
      </c>
      <c r="B133" s="6" t="n">
        <v>40879.4319444444</v>
      </c>
      <c r="C133" s="0" t="s">
        <v>153</v>
      </c>
      <c r="D133" s="0" t="s">
        <v>161</v>
      </c>
      <c r="E133" s="0" t="n">
        <v>25</v>
      </c>
      <c r="F133" s="0" t="n">
        <v>0.42</v>
      </c>
      <c r="G133" s="7" t="str">
        <f aca="false">_xlfn.XLOOKUP(D133,Catalog!$B$2:$B$4102,Catalog!$A$2:$A$4102,"NOT IN CATALOG")</f>
        <v>SPACEBOY GIFT WRAP</v>
      </c>
      <c r="H133" s="7" t="n">
        <f aca="false">_xlfn.IFNA(VLOOKUP(D133,Catalog!$B$2:$C$4102,2,FALSE()),"")</f>
        <v>0.42</v>
      </c>
      <c r="I133" s="7" t="str">
        <f aca="false">HLOOKUP(C133,Regions!$B$1:$S$2,2,FALSE())</f>
        <v>EU</v>
      </c>
      <c r="J133" s="7" t="n">
        <f aca="false">E133*F133</f>
        <v>10.5</v>
      </c>
      <c r="K133" s="8" t="n">
        <f aca="false">IF(H133="","",1-F133/H133)</f>
        <v>0</v>
      </c>
    </row>
    <row r="134" customFormat="false" ht="15" hidden="false" customHeight="false" outlineLevel="0" collapsed="false">
      <c r="A134" s="0" t="s">
        <v>152</v>
      </c>
      <c r="B134" s="6" t="n">
        <v>40879.4319444444</v>
      </c>
      <c r="C134" s="0" t="s">
        <v>153</v>
      </c>
      <c r="D134" s="0" t="s">
        <v>162</v>
      </c>
      <c r="E134" s="0" t="n">
        <v>25</v>
      </c>
      <c r="F134" s="0" t="n">
        <v>0.42</v>
      </c>
      <c r="G134" s="7" t="str">
        <f aca="false">_xlfn.XLOOKUP(D134,Catalog!$B$2:$B$4102,Catalog!$A$2:$A$4102,"NOT IN CATALOG")</f>
        <v>WRAP COWBOYS</v>
      </c>
      <c r="H134" s="7" t="n">
        <f aca="false">_xlfn.IFNA(VLOOKUP(D134,Catalog!$B$2:$C$4102,2,FALSE()),"")</f>
        <v>0.42</v>
      </c>
      <c r="I134" s="7" t="str">
        <f aca="false">HLOOKUP(C134,Regions!$B$1:$S$2,2,FALSE())</f>
        <v>EU</v>
      </c>
      <c r="J134" s="7" t="n">
        <f aca="false">E134*F134</f>
        <v>10.5</v>
      </c>
      <c r="K134" s="8" t="n">
        <f aca="false">IF(H134="","",1-F134/H134)</f>
        <v>0</v>
      </c>
    </row>
    <row r="135" customFormat="false" ht="15" hidden="false" customHeight="false" outlineLevel="0" collapsed="false">
      <c r="A135" s="0" t="s">
        <v>152</v>
      </c>
      <c r="B135" s="6" t="n">
        <v>40879.4319444444</v>
      </c>
      <c r="C135" s="0" t="s">
        <v>153</v>
      </c>
      <c r="D135" s="0" t="s">
        <v>163</v>
      </c>
      <c r="E135" s="0" t="n">
        <v>25</v>
      </c>
      <c r="F135" s="0" t="n">
        <v>0.42</v>
      </c>
      <c r="G135" s="7" t="str">
        <f aca="false">_xlfn.XLOOKUP(D135,Catalog!$B$2:$B$4102,Catalog!$A$2:$A$4102,"NOT IN CATALOG")</f>
        <v>WRAP MONSTER FUN</v>
      </c>
      <c r="H135" s="7" t="n">
        <f aca="false">_xlfn.IFNA(VLOOKUP(D135,Catalog!$B$2:$C$4102,2,FALSE()),"")</f>
        <v>0.42</v>
      </c>
      <c r="I135" s="7" t="str">
        <f aca="false">HLOOKUP(C135,Regions!$B$1:$S$2,2,FALSE())</f>
        <v>EU</v>
      </c>
      <c r="J135" s="7" t="n">
        <f aca="false">E135*F135</f>
        <v>10.5</v>
      </c>
      <c r="K135" s="8" t="n">
        <f aca="false">IF(H135="","",1-F135/H135)</f>
        <v>0</v>
      </c>
    </row>
    <row r="136" customFormat="false" ht="15" hidden="false" customHeight="false" outlineLevel="0" collapsed="false">
      <c r="A136" s="0" t="s">
        <v>152</v>
      </c>
      <c r="B136" s="6" t="n">
        <v>40879.4319444444</v>
      </c>
      <c r="C136" s="0" t="s">
        <v>153</v>
      </c>
      <c r="D136" s="0" t="s">
        <v>164</v>
      </c>
      <c r="E136" s="0" t="n">
        <v>25</v>
      </c>
      <c r="F136" s="0" t="n">
        <v>0.42</v>
      </c>
      <c r="G136" s="7" t="str">
        <f aca="false">_xlfn.XLOOKUP(D136,Catalog!$B$2:$B$4102,Catalog!$A$2:$A$4102,"NOT IN CATALOG")</f>
        <v>WRAP DOLLY GIRL</v>
      </c>
      <c r="H136" s="7" t="n">
        <f aca="false">_xlfn.IFNA(VLOOKUP(D136,Catalog!$B$2:$C$4102,2,FALSE()),"")</f>
        <v>0.42</v>
      </c>
      <c r="I136" s="7" t="str">
        <f aca="false">HLOOKUP(C136,Regions!$B$1:$S$2,2,FALSE())</f>
        <v>EU</v>
      </c>
      <c r="J136" s="7" t="n">
        <f aca="false">E136*F136</f>
        <v>10.5</v>
      </c>
      <c r="K136" s="8" t="n">
        <f aca="false">IF(H136="","",1-F136/H136)</f>
        <v>0</v>
      </c>
    </row>
    <row r="137" customFormat="false" ht="15" hidden="false" customHeight="false" outlineLevel="0" collapsed="false">
      <c r="A137" s="0" t="s">
        <v>152</v>
      </c>
      <c r="B137" s="6" t="n">
        <v>40879.4319444444</v>
      </c>
      <c r="C137" s="0" t="s">
        <v>153</v>
      </c>
      <c r="D137" s="0" t="s">
        <v>116</v>
      </c>
      <c r="E137" s="0" t="n">
        <v>25</v>
      </c>
      <c r="F137" s="0" t="n">
        <v>0.42</v>
      </c>
      <c r="G137" s="7" t="str">
        <f aca="false">_xlfn.XLOOKUP(D137,Catalog!$B$2:$B$4102,Catalog!$A$2:$A$4102,"NOT IN CATALOG")</f>
        <v>NOT IN CATALOG</v>
      </c>
      <c r="H137" s="7" t="str">
        <f aca="false">_xlfn.IFNA(VLOOKUP(D137,Catalog!$B$2:$C$4102,2,FALSE()),"")</f>
        <v/>
      </c>
      <c r="I137" s="7" t="str">
        <f aca="false">HLOOKUP(C137,Regions!$B$1:$S$2,2,FALSE())</f>
        <v>EU</v>
      </c>
      <c r="J137" s="7" t="n">
        <f aca="false">E137*F137</f>
        <v>10.5</v>
      </c>
      <c r="K137" s="8" t="str">
        <f aca="false">IF(H137="","",1-F137/H137)</f>
        <v/>
      </c>
    </row>
    <row r="138" customFormat="false" ht="15" hidden="false" customHeight="false" outlineLevel="0" collapsed="false">
      <c r="A138" s="0" t="s">
        <v>152</v>
      </c>
      <c r="B138" s="6" t="n">
        <v>40879.4319444444</v>
      </c>
      <c r="C138" s="0" t="s">
        <v>153</v>
      </c>
      <c r="D138" s="0" t="s">
        <v>165</v>
      </c>
      <c r="E138" s="0" t="n">
        <v>25</v>
      </c>
      <c r="F138" s="0" t="n">
        <v>0.42</v>
      </c>
      <c r="G138" s="7" t="str">
        <f aca="false">_xlfn.XLOOKUP(D138,Catalog!$B$2:$B$4102,Catalog!$A$2:$A$4102,"NOT IN CATALOG")</f>
        <v>WRAP, CAROUSEL</v>
      </c>
      <c r="H138" s="7" t="n">
        <f aca="false">_xlfn.IFNA(VLOOKUP(D138,Catalog!$B$2:$C$4102,2,FALSE()),"")</f>
        <v>0.42</v>
      </c>
      <c r="I138" s="7" t="str">
        <f aca="false">HLOOKUP(C138,Regions!$B$1:$S$2,2,FALSE())</f>
        <v>EU</v>
      </c>
      <c r="J138" s="7" t="n">
        <f aca="false">E138*F138</f>
        <v>10.5</v>
      </c>
      <c r="K138" s="8" t="n">
        <f aca="false">IF(H138="","",1-F138/H138)</f>
        <v>0</v>
      </c>
    </row>
    <row r="139" customFormat="false" ht="15" hidden="false" customHeight="false" outlineLevel="0" collapsed="false">
      <c r="A139" s="0" t="s">
        <v>152</v>
      </c>
      <c r="B139" s="6" t="n">
        <v>40879.4319444444</v>
      </c>
      <c r="C139" s="0" t="s">
        <v>153</v>
      </c>
      <c r="D139" s="0" t="s">
        <v>166</v>
      </c>
      <c r="E139" s="0" t="n">
        <v>25</v>
      </c>
      <c r="F139" s="0" t="n">
        <v>0.42</v>
      </c>
      <c r="G139" s="7" t="str">
        <f aca="false">_xlfn.XLOOKUP(D139,Catalog!$B$2:$B$4102,Catalog!$A$2:$A$4102,"NOT IN CATALOG")</f>
        <v>WRAP PINK FAIRY CAKES</v>
      </c>
      <c r="H139" s="7" t="n">
        <f aca="false">_xlfn.IFNA(VLOOKUP(D139,Catalog!$B$2:$C$4102,2,FALSE()),"")</f>
        <v>0.42</v>
      </c>
      <c r="I139" s="7" t="str">
        <f aca="false">HLOOKUP(C139,Regions!$B$1:$S$2,2,FALSE())</f>
        <v>EU</v>
      </c>
      <c r="J139" s="7" t="n">
        <f aca="false">E139*F139</f>
        <v>10.5</v>
      </c>
      <c r="K139" s="8" t="n">
        <f aca="false">IF(H139="","",1-F139/H139)</f>
        <v>0</v>
      </c>
    </row>
    <row r="140" customFormat="false" ht="15" hidden="false" customHeight="false" outlineLevel="0" collapsed="false">
      <c r="A140" s="0" t="s">
        <v>152</v>
      </c>
      <c r="B140" s="6" t="n">
        <v>40879.4319444444</v>
      </c>
      <c r="C140" s="0" t="s">
        <v>153</v>
      </c>
      <c r="D140" s="0" t="s">
        <v>167</v>
      </c>
      <c r="E140" s="0" t="n">
        <v>25</v>
      </c>
      <c r="F140" s="0" t="n">
        <v>0.42</v>
      </c>
      <c r="G140" s="7" t="str">
        <f aca="false">_xlfn.XLOOKUP(D140,Catalog!$B$2:$B$4102,Catalog!$A$2:$A$4102,"NOT IN CATALOG")</f>
        <v>WRAP,SUKI AND FRIENDS</v>
      </c>
      <c r="H140" s="7" t="n">
        <f aca="false">_xlfn.IFNA(VLOOKUP(D140,Catalog!$B$2:$C$4102,2,FALSE()),"")</f>
        <v>0.42</v>
      </c>
      <c r="I140" s="7" t="str">
        <f aca="false">HLOOKUP(C140,Regions!$B$1:$S$2,2,FALSE())</f>
        <v>EU</v>
      </c>
      <c r="J140" s="7" t="n">
        <f aca="false">E140*F140</f>
        <v>10.5</v>
      </c>
      <c r="K140" s="8" t="n">
        <f aca="false">IF(H140="","",1-F140/H140)</f>
        <v>0</v>
      </c>
    </row>
    <row r="141" customFormat="false" ht="15" hidden="false" customHeight="false" outlineLevel="0" collapsed="false">
      <c r="A141" s="0" t="s">
        <v>152</v>
      </c>
      <c r="B141" s="6" t="n">
        <v>40879.4319444444</v>
      </c>
      <c r="C141" s="0" t="s">
        <v>153</v>
      </c>
      <c r="D141" s="0" t="s">
        <v>168</v>
      </c>
      <c r="E141" s="0" t="n">
        <v>12</v>
      </c>
      <c r="F141" s="0" t="n">
        <v>0.85</v>
      </c>
      <c r="G141" s="7" t="str">
        <f aca="false">_xlfn.XLOOKUP(D141,Catalog!$B$2:$B$4102,Catalog!$A$2:$A$4102,"NOT IN CATALOG")</f>
        <v>PACK OF 20 NAPKINS RED APPLES</v>
      </c>
      <c r="H141" s="7" t="n">
        <f aca="false">_xlfn.IFNA(VLOOKUP(D141,Catalog!$B$2:$C$4102,2,FALSE()),"")</f>
        <v>0.85</v>
      </c>
      <c r="I141" s="7" t="str">
        <f aca="false">HLOOKUP(C141,Regions!$B$1:$S$2,2,FALSE())</f>
        <v>EU</v>
      </c>
      <c r="J141" s="7" t="n">
        <f aca="false">E141*F141</f>
        <v>10.2</v>
      </c>
      <c r="K141" s="8" t="n">
        <f aca="false">IF(H141="","",1-F141/H141)</f>
        <v>0</v>
      </c>
    </row>
    <row r="142" customFormat="false" ht="15" hidden="false" customHeight="false" outlineLevel="0" collapsed="false">
      <c r="A142" s="0" t="s">
        <v>152</v>
      </c>
      <c r="B142" s="6" t="n">
        <v>40879.4319444444</v>
      </c>
      <c r="C142" s="0" t="s">
        <v>153</v>
      </c>
      <c r="D142" s="0" t="s">
        <v>169</v>
      </c>
      <c r="E142" s="0" t="n">
        <v>12</v>
      </c>
      <c r="F142" s="0" t="n">
        <v>0.85</v>
      </c>
      <c r="G142" s="7" t="str">
        <f aca="false">_xlfn.XLOOKUP(D142,Catalog!$B$2:$B$4102,Catalog!$A$2:$A$4102,"NOT IN CATALOG")</f>
        <v>PACK OF 20 SPACEBOY NAPKINS</v>
      </c>
      <c r="H142" s="7" t="n">
        <f aca="false">_xlfn.IFNA(VLOOKUP(D142,Catalog!$B$2:$C$4102,2,FALSE()),"")</f>
        <v>0.85</v>
      </c>
      <c r="I142" s="7" t="str">
        <f aca="false">HLOOKUP(C142,Regions!$B$1:$S$2,2,FALSE())</f>
        <v>EU</v>
      </c>
      <c r="J142" s="7" t="n">
        <f aca="false">E142*F142</f>
        <v>10.2</v>
      </c>
      <c r="K142" s="8" t="n">
        <f aca="false">IF(H142="","",1-F142/H142)</f>
        <v>0</v>
      </c>
    </row>
    <row r="143" customFormat="false" ht="15" hidden="false" customHeight="false" outlineLevel="0" collapsed="false">
      <c r="A143" s="0" t="s">
        <v>152</v>
      </c>
      <c r="B143" s="6" t="n">
        <v>40879.4319444444</v>
      </c>
      <c r="C143" s="0" t="s">
        <v>153</v>
      </c>
      <c r="D143" s="0" t="s">
        <v>170</v>
      </c>
      <c r="E143" s="0" t="n">
        <v>12</v>
      </c>
      <c r="F143" s="0" t="n">
        <v>0.42</v>
      </c>
      <c r="G143" s="7" t="str">
        <f aca="false">_xlfn.XLOOKUP(D143,Catalog!$B$2:$B$4102,Catalog!$A$2:$A$4102,"NOT IN CATALOG")</f>
        <v>CARD DOLLY GIRL</v>
      </c>
      <c r="H143" s="7" t="n">
        <f aca="false">_xlfn.IFNA(VLOOKUP(D143,Catalog!$B$2:$C$4102,2,FALSE()),"")</f>
        <v>0.42</v>
      </c>
      <c r="I143" s="7" t="str">
        <f aca="false">HLOOKUP(C143,Regions!$B$1:$S$2,2,FALSE())</f>
        <v>EU</v>
      </c>
      <c r="J143" s="7" t="n">
        <f aca="false">E143*F143</f>
        <v>5.04</v>
      </c>
      <c r="K143" s="8" t="n">
        <f aca="false">IF(H143="","",1-F143/H143)</f>
        <v>0</v>
      </c>
    </row>
    <row r="144" customFormat="false" ht="15" hidden="false" customHeight="false" outlineLevel="0" collapsed="false">
      <c r="A144" s="0" t="s">
        <v>152</v>
      </c>
      <c r="B144" s="6" t="n">
        <v>40879.4319444444</v>
      </c>
      <c r="C144" s="0" t="s">
        <v>153</v>
      </c>
      <c r="D144" s="0" t="s">
        <v>171</v>
      </c>
      <c r="E144" s="0" t="n">
        <v>12</v>
      </c>
      <c r="F144" s="0" t="n">
        <v>1.65</v>
      </c>
      <c r="G144" s="7" t="str">
        <f aca="false">_xlfn.XLOOKUP(D144,Catalog!$B$2:$B$4102,Catalog!$A$2:$A$4102,"NOT IN CATALOG")</f>
        <v>PINK HEART CONFETTI IN TUBE</v>
      </c>
      <c r="H144" s="7" t="n">
        <f aca="false">_xlfn.IFNA(VLOOKUP(D144,Catalog!$B$2:$C$4102,2,FALSE()),"")</f>
        <v>1.65</v>
      </c>
      <c r="I144" s="7" t="str">
        <f aca="false">HLOOKUP(C144,Regions!$B$1:$S$2,2,FALSE())</f>
        <v>EU</v>
      </c>
      <c r="J144" s="7" t="n">
        <f aca="false">E144*F144</f>
        <v>19.8</v>
      </c>
      <c r="K144" s="8" t="n">
        <f aca="false">IF(H144="","",1-F144/H144)</f>
        <v>0</v>
      </c>
    </row>
    <row r="145" customFormat="false" ht="15" hidden="false" customHeight="false" outlineLevel="0" collapsed="false">
      <c r="A145" s="0" t="s">
        <v>152</v>
      </c>
      <c r="B145" s="6" t="n">
        <v>40879.4319444444</v>
      </c>
      <c r="C145" s="0" t="s">
        <v>153</v>
      </c>
      <c r="D145" s="0" t="s">
        <v>172</v>
      </c>
      <c r="E145" s="0" t="n">
        <v>12</v>
      </c>
      <c r="F145" s="0" t="n">
        <v>0.42</v>
      </c>
      <c r="G145" s="7" t="str">
        <f aca="false">_xlfn.XLOOKUP(D145,Catalog!$B$2:$B$4102,Catalog!$A$2:$A$4102,"NOT IN CATALOG")</f>
        <v>VINTAGE KID DOLLY CARD</v>
      </c>
      <c r="H145" s="7" t="n">
        <f aca="false">_xlfn.IFNA(VLOOKUP(D145,Catalog!$B$2:$C$4102,2,FALSE()),"")</f>
        <v>0.42</v>
      </c>
      <c r="I145" s="7" t="str">
        <f aca="false">HLOOKUP(C145,Regions!$B$1:$S$2,2,FALSE())</f>
        <v>EU</v>
      </c>
      <c r="J145" s="7" t="n">
        <f aca="false">E145*F145</f>
        <v>5.04</v>
      </c>
      <c r="K145" s="8" t="n">
        <f aca="false">IF(H145="","",1-F145/H145)</f>
        <v>0</v>
      </c>
    </row>
    <row r="146" customFormat="false" ht="15" hidden="false" customHeight="false" outlineLevel="0" collapsed="false">
      <c r="A146" s="0" t="s">
        <v>152</v>
      </c>
      <c r="B146" s="6" t="n">
        <v>40879.4319444444</v>
      </c>
      <c r="C146" s="0" t="s">
        <v>153</v>
      </c>
      <c r="D146" s="0" t="s">
        <v>173</v>
      </c>
      <c r="E146" s="0" t="n">
        <v>12</v>
      </c>
      <c r="F146" s="0" t="n">
        <v>0.42</v>
      </c>
      <c r="G146" s="7" t="str">
        <f aca="false">_xlfn.XLOOKUP(D146,Catalog!$B$2:$B$4102,Catalog!$A$2:$A$4102,"NOT IN CATALOG")</f>
        <v>CARD CIRCUS PARADE</v>
      </c>
      <c r="H146" s="7" t="n">
        <f aca="false">_xlfn.IFNA(VLOOKUP(D146,Catalog!$B$2:$C$4102,2,FALSE()),"")</f>
        <v>0.42</v>
      </c>
      <c r="I146" s="7" t="str">
        <f aca="false">HLOOKUP(C146,Regions!$B$1:$S$2,2,FALSE())</f>
        <v>EU</v>
      </c>
      <c r="J146" s="7" t="n">
        <f aca="false">E146*F146</f>
        <v>5.04</v>
      </c>
      <c r="K146" s="8" t="n">
        <f aca="false">IF(H146="","",1-F146/H146)</f>
        <v>0</v>
      </c>
    </row>
    <row r="147" customFormat="false" ht="15" hidden="false" customHeight="false" outlineLevel="0" collapsed="false">
      <c r="A147" s="0" t="s">
        <v>152</v>
      </c>
      <c r="B147" s="6" t="n">
        <v>40879.4319444444</v>
      </c>
      <c r="C147" s="0" t="s">
        <v>153</v>
      </c>
      <c r="D147" s="0" t="s">
        <v>174</v>
      </c>
      <c r="E147" s="0" t="n">
        <v>6</v>
      </c>
      <c r="F147" s="0" t="n">
        <v>2.95</v>
      </c>
      <c r="G147" s="7" t="str">
        <f aca="false">_xlfn.XLOOKUP(D147,Catalog!$B$2:$B$4102,Catalog!$A$2:$A$4102,"NOT IN CATALOG")</f>
        <v>WOODEN HAPPY BIRTHDAY GARLAND</v>
      </c>
      <c r="H147" s="7" t="n">
        <f aca="false">_xlfn.IFNA(VLOOKUP(D147,Catalog!$B$2:$C$4102,2,FALSE()),"")</f>
        <v>2.95</v>
      </c>
      <c r="I147" s="7" t="str">
        <f aca="false">HLOOKUP(C147,Regions!$B$1:$S$2,2,FALSE())</f>
        <v>EU</v>
      </c>
      <c r="J147" s="7" t="n">
        <f aca="false">E147*F147</f>
        <v>17.7</v>
      </c>
      <c r="K147" s="8" t="n">
        <f aca="false">IF(H147="","",1-F147/H147)</f>
        <v>0</v>
      </c>
    </row>
    <row r="148" customFormat="false" ht="15" hidden="false" customHeight="false" outlineLevel="0" collapsed="false">
      <c r="A148" s="0" t="s">
        <v>152</v>
      </c>
      <c r="B148" s="6" t="n">
        <v>40879.4319444444</v>
      </c>
      <c r="C148" s="0" t="s">
        <v>153</v>
      </c>
      <c r="D148" s="0" t="s">
        <v>175</v>
      </c>
      <c r="E148" s="0" t="n">
        <v>12</v>
      </c>
      <c r="F148" s="0" t="n">
        <v>1.65</v>
      </c>
      <c r="G148" s="7" t="str">
        <f aca="false">_xlfn.XLOOKUP(D148,Catalog!$B$2:$B$4102,Catalog!$A$2:$A$4102,"NOT IN CATALOG")</f>
        <v>SKULL AND CROSSBONES GARLAND</v>
      </c>
      <c r="H148" s="7" t="n">
        <f aca="false">_xlfn.IFNA(VLOOKUP(D148,Catalog!$B$2:$C$4102,2,FALSE()),"")</f>
        <v>1.65</v>
      </c>
      <c r="I148" s="7" t="str">
        <f aca="false">HLOOKUP(C148,Regions!$B$1:$S$2,2,FALSE())</f>
        <v>EU</v>
      </c>
      <c r="J148" s="7" t="n">
        <f aca="false">E148*F148</f>
        <v>19.8</v>
      </c>
      <c r="K148" s="8" t="n">
        <f aca="false">IF(H148="","",1-F148/H148)</f>
        <v>0</v>
      </c>
    </row>
    <row r="149" customFormat="false" ht="15" hidden="false" customHeight="false" outlineLevel="0" collapsed="false">
      <c r="A149" s="0" t="s">
        <v>152</v>
      </c>
      <c r="B149" s="6" t="n">
        <v>40879.4319444444</v>
      </c>
      <c r="C149" s="0" t="s">
        <v>153</v>
      </c>
      <c r="D149" s="0" t="s">
        <v>176</v>
      </c>
      <c r="E149" s="0" t="n">
        <v>12</v>
      </c>
      <c r="F149" s="0" t="n">
        <v>1.25</v>
      </c>
      <c r="G149" s="7" t="str">
        <f aca="false">_xlfn.XLOOKUP(D149,Catalog!$B$2:$B$4102,Catalog!$A$2:$A$4102,"NOT IN CATALOG")</f>
        <v>SET OF 6 GIRLS CELEBRATION CANDLES</v>
      </c>
      <c r="H149" s="7" t="n">
        <f aca="false">_xlfn.IFNA(VLOOKUP(D149,Catalog!$B$2:$C$4102,2,FALSE()),"")</f>
        <v>1.25</v>
      </c>
      <c r="I149" s="7" t="str">
        <f aca="false">HLOOKUP(C149,Regions!$B$1:$S$2,2,FALSE())</f>
        <v>EU</v>
      </c>
      <c r="J149" s="7" t="n">
        <f aca="false">E149*F149</f>
        <v>15</v>
      </c>
      <c r="K149" s="8" t="n">
        <f aca="false">IF(H149="","",1-F149/H149)</f>
        <v>0</v>
      </c>
    </row>
    <row r="150" customFormat="false" ht="15" hidden="false" customHeight="false" outlineLevel="0" collapsed="false">
      <c r="A150" s="0" t="s">
        <v>152</v>
      </c>
      <c r="B150" s="6" t="n">
        <v>40879.4319444444</v>
      </c>
      <c r="C150" s="0" t="s">
        <v>153</v>
      </c>
      <c r="D150" s="0" t="s">
        <v>177</v>
      </c>
      <c r="E150" s="0" t="n">
        <v>12</v>
      </c>
      <c r="F150" s="0" t="n">
        <v>1.65</v>
      </c>
      <c r="G150" s="7" t="str">
        <f aca="false">_xlfn.XLOOKUP(D150,Catalog!$B$2:$B$4102,Catalog!$A$2:$A$4102,"NOT IN CATALOG")</f>
        <v>MULTICOLOUR CONFETTI IN TUBE</v>
      </c>
      <c r="H150" s="7" t="n">
        <f aca="false">_xlfn.IFNA(VLOOKUP(D150,Catalog!$B$2:$C$4102,2,FALSE()),"")</f>
        <v>1.65</v>
      </c>
      <c r="I150" s="7" t="str">
        <f aca="false">HLOOKUP(C150,Regions!$B$1:$S$2,2,FALSE())</f>
        <v>EU</v>
      </c>
      <c r="J150" s="7" t="n">
        <f aca="false">E150*F150</f>
        <v>19.8</v>
      </c>
      <c r="K150" s="8" t="n">
        <f aca="false">IF(H150="","",1-F150/H150)</f>
        <v>0</v>
      </c>
    </row>
    <row r="151" customFormat="false" ht="15" hidden="false" customHeight="false" outlineLevel="0" collapsed="false">
      <c r="A151" s="0" t="s">
        <v>152</v>
      </c>
      <c r="B151" s="6" t="n">
        <v>40879.4319444444</v>
      </c>
      <c r="C151" s="0" t="s">
        <v>153</v>
      </c>
      <c r="D151" s="0" t="s">
        <v>178</v>
      </c>
      <c r="E151" s="0" t="n">
        <v>12</v>
      </c>
      <c r="F151" s="0" t="n">
        <v>0.85</v>
      </c>
      <c r="G151" s="7" t="str">
        <f aca="false">_xlfn.XLOOKUP(D151,Catalog!$B$2:$B$4102,Catalog!$A$2:$A$4102,"NOT IN CATALOG")</f>
        <v>PACK OF 20 NAPKINS PANTRY DESIGN</v>
      </c>
      <c r="H151" s="7" t="n">
        <f aca="false">_xlfn.IFNA(VLOOKUP(D151,Catalog!$B$2:$C$4102,2,FALSE()),"")</f>
        <v>0.85</v>
      </c>
      <c r="I151" s="7" t="str">
        <f aca="false">HLOOKUP(C151,Regions!$B$1:$S$2,2,FALSE())</f>
        <v>EU</v>
      </c>
      <c r="J151" s="7" t="n">
        <f aca="false">E151*F151</f>
        <v>10.2</v>
      </c>
      <c r="K151" s="8" t="n">
        <f aca="false">IF(H151="","",1-F151/H151)</f>
        <v>0</v>
      </c>
    </row>
    <row r="152" customFormat="false" ht="15" hidden="false" customHeight="false" outlineLevel="0" collapsed="false">
      <c r="A152" s="0" t="s">
        <v>152</v>
      </c>
      <c r="B152" s="6" t="n">
        <v>40879.4319444444</v>
      </c>
      <c r="C152" s="0" t="s">
        <v>153</v>
      </c>
      <c r="D152" s="0" t="s">
        <v>39</v>
      </c>
      <c r="E152" s="0" t="n">
        <v>1</v>
      </c>
      <c r="F152" s="0" t="n">
        <v>15</v>
      </c>
      <c r="G152" s="7" t="str">
        <f aca="false">_xlfn.XLOOKUP(D152,Catalog!$B$2:$B$4102,Catalog!$A$2:$A$4102,"NOT IN CATALOG")</f>
        <v>POSTAGE</v>
      </c>
      <c r="H152" s="7" t="n">
        <f aca="false">_xlfn.IFNA(VLOOKUP(D152,Catalog!$B$2:$C$4102,2,FALSE()),"")</f>
        <v>18</v>
      </c>
      <c r="I152" s="7" t="str">
        <f aca="false">HLOOKUP(C152,Regions!$B$1:$S$2,2,FALSE())</f>
        <v>EU</v>
      </c>
      <c r="J152" s="7" t="n">
        <f aca="false">E152*F152</f>
        <v>15</v>
      </c>
      <c r="K152" s="8" t="n">
        <f aca="false">IF(H152="","",1-F152/H152)</f>
        <v>0.166666666666667</v>
      </c>
    </row>
    <row r="153" customFormat="false" ht="15" hidden="false" customHeight="false" outlineLevel="0" collapsed="false">
      <c r="A153" s="0" t="s">
        <v>179</v>
      </c>
      <c r="B153" s="6" t="n">
        <v>40879.4326388889</v>
      </c>
      <c r="C153" s="0" t="s">
        <v>180</v>
      </c>
      <c r="D153" s="0" t="s">
        <v>181</v>
      </c>
      <c r="E153" s="0" t="n">
        <v>12</v>
      </c>
      <c r="F153" s="0" t="n">
        <v>1.65</v>
      </c>
      <c r="G153" s="7" t="str">
        <f aca="false">_xlfn.XLOOKUP(D153,Catalog!$B$2:$B$4102,Catalog!$A$2:$A$4102,"NOT IN CATALOG")</f>
        <v>CLOTHES PEGS RETROSPOT PACK 24</v>
      </c>
      <c r="H153" s="7" t="n">
        <f aca="false">_xlfn.IFNA(VLOOKUP(D153,Catalog!$B$2:$C$4102,2,FALSE()),"")</f>
        <v>1.25</v>
      </c>
      <c r="I153" s="7" t="str">
        <f aca="false">HLOOKUP(C153,Regions!$B$1:$S$2,2,FALSE())</f>
        <v>EU</v>
      </c>
      <c r="J153" s="7" t="n">
        <f aca="false">E153*F153</f>
        <v>19.8</v>
      </c>
      <c r="K153" s="8" t="n">
        <f aca="false">IF(H153="","",1-F153/H153)</f>
        <v>-0.32</v>
      </c>
    </row>
    <row r="154" customFormat="false" ht="15" hidden="false" customHeight="false" outlineLevel="0" collapsed="false">
      <c r="A154" s="0" t="s">
        <v>179</v>
      </c>
      <c r="B154" s="6" t="n">
        <v>40879.4326388889</v>
      </c>
      <c r="C154" s="0" t="s">
        <v>180</v>
      </c>
      <c r="D154" s="0" t="s">
        <v>182</v>
      </c>
      <c r="E154" s="0" t="n">
        <v>120</v>
      </c>
      <c r="F154" s="0" t="n">
        <v>0.72</v>
      </c>
      <c r="G154" s="7" t="str">
        <f aca="false">_xlfn.XLOOKUP(D154,Catalog!$B$2:$B$4102,Catalog!$A$2:$A$4102,"NOT IN CATALOG")</f>
        <v>FRIDGE MAGNETS LA VIE EN ROSE</v>
      </c>
      <c r="H154" s="7" t="n">
        <f aca="false">_xlfn.IFNA(VLOOKUP(D154,Catalog!$B$2:$C$4102,2,FALSE()),"")</f>
        <v>0.85</v>
      </c>
      <c r="I154" s="7" t="str">
        <f aca="false">HLOOKUP(C154,Regions!$B$1:$S$2,2,FALSE())</f>
        <v>EU</v>
      </c>
      <c r="J154" s="7" t="n">
        <f aca="false">E154*F154</f>
        <v>86.4</v>
      </c>
      <c r="K154" s="8" t="n">
        <f aca="false">IF(H154="","",1-F154/H154)</f>
        <v>0.152941176470588</v>
      </c>
    </row>
    <row r="155" customFormat="false" ht="15" hidden="false" customHeight="false" outlineLevel="0" collapsed="false">
      <c r="A155" s="0" t="s">
        <v>179</v>
      </c>
      <c r="B155" s="6" t="n">
        <v>40879.4326388889</v>
      </c>
      <c r="C155" s="0" t="s">
        <v>180</v>
      </c>
      <c r="D155" s="0" t="s">
        <v>183</v>
      </c>
      <c r="E155" s="0" t="n">
        <v>120</v>
      </c>
      <c r="F155" s="0" t="n">
        <v>0.72</v>
      </c>
      <c r="G155" s="7" t="str">
        <f aca="false">_xlfn.XLOOKUP(D155,Catalog!$B$2:$B$4102,Catalog!$A$2:$A$4102,"NOT IN CATALOG")</f>
        <v>FRIDGE MAGNETS LES ENFANTS ASSORTED</v>
      </c>
      <c r="H155" s="7" t="n">
        <f aca="false">_xlfn.IFNA(VLOOKUP(D155,Catalog!$B$2:$C$4102,2,FALSE()),"")</f>
        <v>0.85</v>
      </c>
      <c r="I155" s="7" t="str">
        <f aca="false">HLOOKUP(C155,Regions!$B$1:$S$2,2,FALSE())</f>
        <v>EU</v>
      </c>
      <c r="J155" s="7" t="n">
        <f aca="false">E155*F155</f>
        <v>86.4</v>
      </c>
      <c r="K155" s="8" t="n">
        <f aca="false">IF(H155="","",1-F155/H155)</f>
        <v>0.152941176470588</v>
      </c>
    </row>
    <row r="156" customFormat="false" ht="15" hidden="false" customHeight="false" outlineLevel="0" collapsed="false">
      <c r="A156" s="0" t="s">
        <v>179</v>
      </c>
      <c r="B156" s="6" t="n">
        <v>40879.4326388889</v>
      </c>
      <c r="C156" s="0" t="s">
        <v>180</v>
      </c>
      <c r="D156" s="0" t="s">
        <v>184</v>
      </c>
      <c r="E156" s="0" t="n">
        <v>120</v>
      </c>
      <c r="F156" s="0" t="n">
        <v>0.72</v>
      </c>
      <c r="G156" s="7" t="str">
        <f aca="false">_xlfn.XLOOKUP(D156,Catalog!$B$2:$B$4102,Catalog!$A$2:$A$4102,"NOT IN CATALOG")</f>
        <v>FRIDGE MAGNETS US DINER ASSORTED</v>
      </c>
      <c r="H156" s="7" t="n">
        <f aca="false">_xlfn.IFNA(VLOOKUP(D156,Catalog!$B$2:$C$4102,2,FALSE()),"")</f>
        <v>0.85</v>
      </c>
      <c r="I156" s="7" t="str">
        <f aca="false">HLOOKUP(C156,Regions!$B$1:$S$2,2,FALSE())</f>
        <v>EU</v>
      </c>
      <c r="J156" s="7" t="n">
        <f aca="false">E156*F156</f>
        <v>86.4</v>
      </c>
      <c r="K156" s="8" t="n">
        <f aca="false">IF(H156="","",1-F156/H156)</f>
        <v>0.152941176470588</v>
      </c>
    </row>
    <row r="157" customFormat="false" ht="15" hidden="false" customHeight="false" outlineLevel="0" collapsed="false">
      <c r="A157" s="0" t="s">
        <v>179</v>
      </c>
      <c r="B157" s="6" t="n">
        <v>40879.4326388889</v>
      </c>
      <c r="C157" s="0" t="s">
        <v>180</v>
      </c>
      <c r="D157" s="0" t="s">
        <v>185</v>
      </c>
      <c r="E157" s="0" t="n">
        <v>12</v>
      </c>
      <c r="F157" s="0" t="n">
        <v>0.39</v>
      </c>
      <c r="G157" s="7" t="str">
        <f aca="false">_xlfn.XLOOKUP(D157,Catalog!$B$2:$B$4102,Catalog!$A$2:$A$4102,"NOT IN CATALOG")</f>
        <v>MAGNETS PACK OF 4 VINTAGE LABELS</v>
      </c>
      <c r="H157" s="7" t="n">
        <f aca="false">_xlfn.IFNA(VLOOKUP(D157,Catalog!$B$2:$C$4102,2,FALSE()),"")</f>
        <v>1.25</v>
      </c>
      <c r="I157" s="7" t="str">
        <f aca="false">HLOOKUP(C157,Regions!$B$1:$S$2,2,FALSE())</f>
        <v>EU</v>
      </c>
      <c r="J157" s="7" t="n">
        <f aca="false">E157*F157</f>
        <v>4.68</v>
      </c>
      <c r="K157" s="8" t="n">
        <f aca="false">IF(H157="","",1-F157/H157)</f>
        <v>0.688</v>
      </c>
    </row>
    <row r="158" customFormat="false" ht="15" hidden="false" customHeight="false" outlineLevel="0" collapsed="false">
      <c r="A158" s="0" t="s">
        <v>179</v>
      </c>
      <c r="B158" s="6" t="n">
        <v>40879.4326388889</v>
      </c>
      <c r="C158" s="0" t="s">
        <v>180</v>
      </c>
      <c r="D158" s="0" t="s">
        <v>186</v>
      </c>
      <c r="E158" s="0" t="n">
        <v>12</v>
      </c>
      <c r="F158" s="0" t="n">
        <v>0.39</v>
      </c>
      <c r="G158" s="7" t="str">
        <f aca="false">_xlfn.XLOOKUP(D158,Catalog!$B$2:$B$4102,Catalog!$A$2:$A$4102,"NOT IN CATALOG")</f>
        <v>MAGNETS PACK OF 4 VINTAGE COLLAGE</v>
      </c>
      <c r="H158" s="7" t="n">
        <f aca="false">_xlfn.IFNA(VLOOKUP(D158,Catalog!$B$2:$C$4102,2,FALSE()),"")</f>
        <v>1.25</v>
      </c>
      <c r="I158" s="7" t="str">
        <f aca="false">HLOOKUP(C158,Regions!$B$1:$S$2,2,FALSE())</f>
        <v>EU</v>
      </c>
      <c r="J158" s="7" t="n">
        <f aca="false">E158*F158</f>
        <v>4.68</v>
      </c>
      <c r="K158" s="8" t="n">
        <f aca="false">IF(H158="","",1-F158/H158)</f>
        <v>0.688</v>
      </c>
    </row>
    <row r="159" customFormat="false" ht="15" hidden="false" customHeight="false" outlineLevel="0" collapsed="false">
      <c r="A159" s="0" t="s">
        <v>179</v>
      </c>
      <c r="B159" s="6" t="n">
        <v>40879.4326388889</v>
      </c>
      <c r="C159" s="0" t="s">
        <v>180</v>
      </c>
      <c r="D159" s="0" t="s">
        <v>38</v>
      </c>
      <c r="E159" s="0" t="n">
        <v>12</v>
      </c>
      <c r="F159" s="0" t="n">
        <v>0.39</v>
      </c>
      <c r="G159" s="7" t="str">
        <f aca="false">_xlfn.XLOOKUP(D159,Catalog!$B$2:$B$4102,Catalog!$A$2:$A$4102,"NOT IN CATALOG")</f>
        <v>MAGNETS PACK OF 4 SWALLOWS</v>
      </c>
      <c r="H159" s="7" t="n">
        <f aca="false">_xlfn.IFNA(VLOOKUP(D159,Catalog!$B$2:$C$4102,2,FALSE()),"")</f>
        <v>1.25</v>
      </c>
      <c r="I159" s="7" t="str">
        <f aca="false">HLOOKUP(C159,Regions!$B$1:$S$2,2,FALSE())</f>
        <v>EU</v>
      </c>
      <c r="J159" s="7" t="n">
        <f aca="false">E159*F159</f>
        <v>4.68</v>
      </c>
      <c r="K159" s="8" t="n">
        <f aca="false">IF(H159="","",1-F159/H159)</f>
        <v>0.688</v>
      </c>
    </row>
    <row r="160" customFormat="false" ht="15" hidden="false" customHeight="false" outlineLevel="0" collapsed="false">
      <c r="A160" s="0" t="s">
        <v>179</v>
      </c>
      <c r="B160" s="6" t="n">
        <v>40879.4326388889</v>
      </c>
      <c r="C160" s="0" t="s">
        <v>180</v>
      </c>
      <c r="D160" s="0" t="s">
        <v>187</v>
      </c>
      <c r="E160" s="0" t="n">
        <v>12</v>
      </c>
      <c r="F160" s="0" t="n">
        <v>0.39</v>
      </c>
      <c r="G160" s="7" t="str">
        <f aca="false">_xlfn.XLOOKUP(D160,Catalog!$B$2:$B$4102,Catalog!$A$2:$A$4102,"NOT IN CATALOG")</f>
        <v>MAGNETS PACK OF 4 HOME SWEET HOME</v>
      </c>
      <c r="H160" s="7" t="n">
        <f aca="false">_xlfn.IFNA(VLOOKUP(D160,Catalog!$B$2:$C$4102,2,FALSE()),"")</f>
        <v>1.25</v>
      </c>
      <c r="I160" s="7" t="str">
        <f aca="false">HLOOKUP(C160,Regions!$B$1:$S$2,2,FALSE())</f>
        <v>EU</v>
      </c>
      <c r="J160" s="7" t="n">
        <f aca="false">E160*F160</f>
        <v>4.68</v>
      </c>
      <c r="K160" s="8" t="n">
        <f aca="false">IF(H160="","",1-F160/H160)</f>
        <v>0.688</v>
      </c>
    </row>
    <row r="161" customFormat="false" ht="15" hidden="false" customHeight="false" outlineLevel="0" collapsed="false">
      <c r="A161" s="0" t="s">
        <v>179</v>
      </c>
      <c r="B161" s="6" t="n">
        <v>40879.4326388889</v>
      </c>
      <c r="C161" s="0" t="s">
        <v>180</v>
      </c>
      <c r="D161" s="0" t="s">
        <v>188</v>
      </c>
      <c r="E161" s="0" t="n">
        <v>12</v>
      </c>
      <c r="F161" s="0" t="n">
        <v>0.39</v>
      </c>
      <c r="G161" s="7" t="str">
        <f aca="false">_xlfn.XLOOKUP(D161,Catalog!$B$2:$B$4102,Catalog!$A$2:$A$4102,"NOT IN CATALOG")</f>
        <v>MAGNETS PACK OF 4 RETRO PHOTO</v>
      </c>
      <c r="H161" s="7" t="n">
        <f aca="false">_xlfn.IFNA(VLOOKUP(D161,Catalog!$B$2:$C$4102,2,FALSE()),"")</f>
        <v>1.25</v>
      </c>
      <c r="I161" s="7" t="str">
        <f aca="false">HLOOKUP(C161,Regions!$B$1:$S$2,2,FALSE())</f>
        <v>EU</v>
      </c>
      <c r="J161" s="7" t="n">
        <f aca="false">E161*F161</f>
        <v>4.68</v>
      </c>
      <c r="K161" s="8" t="n">
        <f aca="false">IF(H161="","",1-F161/H161)</f>
        <v>0.688</v>
      </c>
    </row>
    <row r="162" customFormat="false" ht="15" hidden="false" customHeight="false" outlineLevel="0" collapsed="false">
      <c r="A162" s="0" t="s">
        <v>179</v>
      </c>
      <c r="B162" s="6" t="n">
        <v>40879.4326388889</v>
      </c>
      <c r="C162" s="0" t="s">
        <v>180</v>
      </c>
      <c r="D162" s="0" t="s">
        <v>189</v>
      </c>
      <c r="E162" s="0" t="n">
        <v>12</v>
      </c>
      <c r="F162" s="0" t="n">
        <v>1.25</v>
      </c>
      <c r="G162" s="7" t="str">
        <f aca="false">_xlfn.XLOOKUP(D162,Catalog!$B$2:$B$4102,Catalog!$A$2:$A$4102,"NOT IN CATALOG")</f>
        <v>MAGNETS PACK OF 4 CHILDHOOD MEMORY</v>
      </c>
      <c r="H162" s="7" t="n">
        <f aca="false">_xlfn.IFNA(VLOOKUP(D162,Catalog!$B$2:$C$4102,2,FALSE()),"")</f>
        <v>1.25</v>
      </c>
      <c r="I162" s="7" t="str">
        <f aca="false">HLOOKUP(C162,Regions!$B$1:$S$2,2,FALSE())</f>
        <v>EU</v>
      </c>
      <c r="J162" s="7" t="n">
        <f aca="false">E162*F162</f>
        <v>15</v>
      </c>
      <c r="K162" s="8" t="n">
        <f aca="false">IF(H162="","",1-F162/H162)</f>
        <v>0</v>
      </c>
    </row>
    <row r="163" customFormat="false" ht="15" hidden="false" customHeight="false" outlineLevel="0" collapsed="false">
      <c r="A163" s="0" t="s">
        <v>179</v>
      </c>
      <c r="B163" s="6" t="n">
        <v>40879.4326388889</v>
      </c>
      <c r="C163" s="0" t="s">
        <v>180</v>
      </c>
      <c r="D163" s="0" t="s">
        <v>190</v>
      </c>
      <c r="E163" s="0" t="n">
        <v>12</v>
      </c>
      <c r="F163" s="0" t="n">
        <v>0.79</v>
      </c>
      <c r="G163" s="7" t="str">
        <f aca="false">_xlfn.XLOOKUP(D163,Catalog!$B$2:$B$4102,Catalog!$A$2:$A$4102,"NOT IN CATALOG")</f>
        <v>METAL SIGN EMPIRE TEA</v>
      </c>
      <c r="H163" s="7" t="n">
        <f aca="false">_xlfn.IFNA(VLOOKUP(D163,Catalog!$B$2:$C$4102,2,FALSE()),"")</f>
        <v>2.95</v>
      </c>
      <c r="I163" s="7" t="str">
        <f aca="false">HLOOKUP(C163,Regions!$B$1:$S$2,2,FALSE())</f>
        <v>EU</v>
      </c>
      <c r="J163" s="7" t="n">
        <f aca="false">E163*F163</f>
        <v>9.48</v>
      </c>
      <c r="K163" s="8" t="n">
        <f aca="false">IF(H163="","",1-F163/H163)</f>
        <v>0.732203389830509</v>
      </c>
    </row>
    <row r="164" customFormat="false" ht="15" hidden="false" customHeight="false" outlineLevel="0" collapsed="false">
      <c r="A164" s="0" t="s">
        <v>179</v>
      </c>
      <c r="B164" s="6" t="n">
        <v>40879.4326388889</v>
      </c>
      <c r="C164" s="0" t="s">
        <v>180</v>
      </c>
      <c r="D164" s="0" t="s">
        <v>191</v>
      </c>
      <c r="E164" s="0" t="n">
        <v>12</v>
      </c>
      <c r="F164" s="0" t="n">
        <v>2.1</v>
      </c>
      <c r="G164" s="7" t="str">
        <f aca="false">_xlfn.XLOOKUP(D164,Catalog!$B$2:$B$4102,Catalog!$A$2:$A$4102,"NOT IN CATALOG")</f>
        <v>AIRLINE LOUNGE,METAL SIGN</v>
      </c>
      <c r="H164" s="7" t="n">
        <f aca="false">_xlfn.IFNA(VLOOKUP(D164,Catalog!$B$2:$C$4102,2,FALSE()),"")</f>
        <v>2.1</v>
      </c>
      <c r="I164" s="7" t="str">
        <f aca="false">HLOOKUP(C164,Regions!$B$1:$S$2,2,FALSE())</f>
        <v>EU</v>
      </c>
      <c r="J164" s="7" t="n">
        <f aca="false">E164*F164</f>
        <v>25.2</v>
      </c>
      <c r="K164" s="8" t="n">
        <f aca="false">IF(H164="","",1-F164/H164)</f>
        <v>0</v>
      </c>
    </row>
    <row r="165" customFormat="false" ht="15" hidden="false" customHeight="false" outlineLevel="0" collapsed="false">
      <c r="A165" s="0" t="s">
        <v>179</v>
      </c>
      <c r="B165" s="6" t="n">
        <v>40879.4326388889</v>
      </c>
      <c r="C165" s="0" t="s">
        <v>180</v>
      </c>
      <c r="D165" s="0" t="s">
        <v>192</v>
      </c>
      <c r="E165" s="0" t="n">
        <v>12</v>
      </c>
      <c r="F165" s="0" t="n">
        <v>1.69</v>
      </c>
      <c r="G165" s="7" t="str">
        <f aca="false">_xlfn.XLOOKUP(D165,Catalog!$B$2:$B$4102,Catalog!$A$2:$A$4102,"NOT IN CATALOG")</f>
        <v>BEWARE OF THE CAT METAL SIGN</v>
      </c>
      <c r="H165" s="7" t="n">
        <f aca="false">_xlfn.IFNA(VLOOKUP(D165,Catalog!$B$2:$C$4102,2,FALSE()),"")</f>
        <v>1.69</v>
      </c>
      <c r="I165" s="7" t="str">
        <f aca="false">HLOOKUP(C165,Regions!$B$1:$S$2,2,FALSE())</f>
        <v>EU</v>
      </c>
      <c r="J165" s="7" t="n">
        <f aca="false">E165*F165</f>
        <v>20.28</v>
      </c>
      <c r="K165" s="8" t="n">
        <f aca="false">IF(H165="","",1-F165/H165)</f>
        <v>0</v>
      </c>
    </row>
    <row r="166" customFormat="false" ht="15" hidden="false" customHeight="false" outlineLevel="0" collapsed="false">
      <c r="A166" s="0" t="s">
        <v>179</v>
      </c>
      <c r="B166" s="6" t="n">
        <v>40879.4326388889</v>
      </c>
      <c r="C166" s="0" t="s">
        <v>180</v>
      </c>
      <c r="D166" s="0" t="s">
        <v>193</v>
      </c>
      <c r="E166" s="0" t="n">
        <v>12</v>
      </c>
      <c r="F166" s="0" t="n">
        <v>2.95</v>
      </c>
      <c r="G166" s="7" t="str">
        <f aca="false">_xlfn.XLOOKUP(D166,Catalog!$B$2:$B$4102,Catalog!$A$2:$A$4102,"NOT IN CATALOG")</f>
        <v>HOME SWEET HOME METAL SIGN</v>
      </c>
      <c r="H166" s="7" t="n">
        <f aca="false">_xlfn.IFNA(VLOOKUP(D166,Catalog!$B$2:$C$4102,2,FALSE()),"")</f>
        <v>2.95</v>
      </c>
      <c r="I166" s="7" t="str">
        <f aca="false">HLOOKUP(C166,Regions!$B$1:$S$2,2,FALSE())</f>
        <v>EU</v>
      </c>
      <c r="J166" s="7" t="n">
        <f aca="false">E166*F166</f>
        <v>35.4</v>
      </c>
      <c r="K166" s="8" t="n">
        <f aca="false">IF(H166="","",1-F166/H166)</f>
        <v>0</v>
      </c>
    </row>
    <row r="167" customFormat="false" ht="15" hidden="false" customHeight="false" outlineLevel="0" collapsed="false">
      <c r="A167" s="0" t="s">
        <v>179</v>
      </c>
      <c r="B167" s="6" t="n">
        <v>40879.4326388889</v>
      </c>
      <c r="C167" s="0" t="s">
        <v>180</v>
      </c>
      <c r="D167" s="0" t="s">
        <v>194</v>
      </c>
      <c r="E167" s="0" t="n">
        <v>48</v>
      </c>
      <c r="F167" s="0" t="n">
        <v>0.85</v>
      </c>
      <c r="G167" s="7" t="str">
        <f aca="false">_xlfn.XLOOKUP(D167,Catalog!$B$2:$B$4102,Catalog!$A$2:$A$4102,"NOT IN CATALOG")</f>
        <v>METAL DECORATION NAUGHTY CHILDREN</v>
      </c>
      <c r="H167" s="7" t="n">
        <f aca="false">_xlfn.IFNA(VLOOKUP(D167,Catalog!$B$2:$C$4102,2,FALSE()),"")</f>
        <v>0.85</v>
      </c>
      <c r="I167" s="7" t="str">
        <f aca="false">HLOOKUP(C167,Regions!$B$1:$S$2,2,FALSE())</f>
        <v>EU</v>
      </c>
      <c r="J167" s="7" t="n">
        <f aca="false">E167*F167</f>
        <v>40.8</v>
      </c>
      <c r="K167" s="8" t="n">
        <f aca="false">IF(H167="","",1-F167/H167)</f>
        <v>0</v>
      </c>
    </row>
    <row r="168" customFormat="false" ht="15" hidden="false" customHeight="false" outlineLevel="0" collapsed="false">
      <c r="A168" s="0" t="s">
        <v>179</v>
      </c>
      <c r="B168" s="6" t="n">
        <v>40879.4326388889</v>
      </c>
      <c r="C168" s="0" t="s">
        <v>180</v>
      </c>
      <c r="D168" s="0" t="s">
        <v>195</v>
      </c>
      <c r="E168" s="0" t="n">
        <v>12</v>
      </c>
      <c r="F168" s="0" t="n">
        <v>1.45</v>
      </c>
      <c r="G168" s="7" t="str">
        <f aca="false">_xlfn.XLOOKUP(D168,Catalog!$B$2:$B$4102,Catalog!$A$2:$A$4102,"NOT IN CATALOG")</f>
        <v>PARTY METAL SIGN</v>
      </c>
      <c r="H168" s="7" t="n">
        <f aca="false">_xlfn.IFNA(VLOOKUP(D168,Catalog!$B$2:$C$4102,2,FALSE()),"")</f>
        <v>1.45</v>
      </c>
      <c r="I168" s="7" t="str">
        <f aca="false">HLOOKUP(C168,Regions!$B$1:$S$2,2,FALSE())</f>
        <v>EU</v>
      </c>
      <c r="J168" s="7" t="n">
        <f aca="false">E168*F168</f>
        <v>17.4</v>
      </c>
      <c r="K168" s="8" t="n">
        <f aca="false">IF(H168="","",1-F168/H168)</f>
        <v>0</v>
      </c>
    </row>
    <row r="169" customFormat="false" ht="15" hidden="false" customHeight="false" outlineLevel="0" collapsed="false">
      <c r="A169" s="0" t="s">
        <v>179</v>
      </c>
      <c r="B169" s="6" t="n">
        <v>40879.4326388889</v>
      </c>
      <c r="C169" s="0" t="s">
        <v>180</v>
      </c>
      <c r="D169" s="0" t="s">
        <v>196</v>
      </c>
      <c r="E169" s="0" t="n">
        <v>12</v>
      </c>
      <c r="F169" s="0" t="n">
        <v>0.55</v>
      </c>
      <c r="G169" s="7" t="str">
        <f aca="false">_xlfn.XLOOKUP(D169,Catalog!$B$2:$B$4102,Catalog!$A$2:$A$4102,"NOT IN CATALOG")</f>
        <v>TOILET METAL SIGN</v>
      </c>
      <c r="H169" s="7" t="n">
        <f aca="false">_xlfn.IFNA(VLOOKUP(D169,Catalog!$B$2:$C$4102,2,FALSE()),"")</f>
        <v>0.55</v>
      </c>
      <c r="I169" s="7" t="str">
        <f aca="false">HLOOKUP(C169,Regions!$B$1:$S$2,2,FALSE())</f>
        <v>EU</v>
      </c>
      <c r="J169" s="7" t="n">
        <f aca="false">E169*F169</f>
        <v>6.6</v>
      </c>
      <c r="K169" s="8" t="n">
        <f aca="false">IF(H169="","",1-F169/H169)</f>
        <v>0</v>
      </c>
    </row>
    <row r="170" customFormat="false" ht="15" hidden="false" customHeight="false" outlineLevel="0" collapsed="false">
      <c r="A170" s="0" t="s">
        <v>179</v>
      </c>
      <c r="B170" s="6" t="n">
        <v>40879.4326388889</v>
      </c>
      <c r="C170" s="0" t="s">
        <v>180</v>
      </c>
      <c r="D170" s="0" t="s">
        <v>197</v>
      </c>
      <c r="E170" s="0" t="n">
        <v>12</v>
      </c>
      <c r="F170" s="0" t="n">
        <v>0.55</v>
      </c>
      <c r="G170" s="7" t="str">
        <f aca="false">_xlfn.XLOOKUP(D170,Catalog!$B$2:$B$4102,Catalog!$A$2:$A$4102,"NOT IN CATALOG")</f>
        <v>BATHROOM METAL SIGN</v>
      </c>
      <c r="H170" s="7" t="n">
        <f aca="false">_xlfn.IFNA(VLOOKUP(D170,Catalog!$B$2:$C$4102,2,FALSE()),"")</f>
        <v>0.55</v>
      </c>
      <c r="I170" s="7" t="str">
        <f aca="false">HLOOKUP(C170,Regions!$B$1:$S$2,2,FALSE())</f>
        <v>EU</v>
      </c>
      <c r="J170" s="7" t="n">
        <f aca="false">E170*F170</f>
        <v>6.6</v>
      </c>
      <c r="K170" s="8" t="n">
        <f aca="false">IF(H170="","",1-F170/H170)</f>
        <v>0</v>
      </c>
    </row>
    <row r="171" customFormat="false" ht="15" hidden="false" customHeight="false" outlineLevel="0" collapsed="false">
      <c r="A171" s="0" t="s">
        <v>179</v>
      </c>
      <c r="B171" s="6" t="n">
        <v>40879.4326388889</v>
      </c>
      <c r="C171" s="0" t="s">
        <v>180</v>
      </c>
      <c r="D171" s="0" t="s">
        <v>198</v>
      </c>
      <c r="E171" s="0" t="n">
        <v>12</v>
      </c>
      <c r="F171" s="0" t="n">
        <v>4.95</v>
      </c>
      <c r="G171" s="7" t="str">
        <f aca="false">_xlfn.XLOOKUP(D171,Catalog!$B$2:$B$4102,Catalog!$A$2:$A$4102,"NOT IN CATALOG")</f>
        <v>OPEN CLOSED METAL SIGN</v>
      </c>
      <c r="H171" s="7" t="n">
        <f aca="false">_xlfn.IFNA(VLOOKUP(D171,Catalog!$B$2:$C$4102,2,FALSE()),"")</f>
        <v>4.95</v>
      </c>
      <c r="I171" s="7" t="str">
        <f aca="false">HLOOKUP(C171,Regions!$B$1:$S$2,2,FALSE())</f>
        <v>EU</v>
      </c>
      <c r="J171" s="7" t="n">
        <f aca="false">E171*F171</f>
        <v>59.4</v>
      </c>
      <c r="K171" s="8" t="n">
        <f aca="false">IF(H171="","",1-F171/H171)</f>
        <v>0</v>
      </c>
    </row>
    <row r="172" customFormat="false" ht="15" hidden="false" customHeight="false" outlineLevel="0" collapsed="false">
      <c r="A172" s="0" t="s">
        <v>179</v>
      </c>
      <c r="B172" s="6" t="n">
        <v>40879.4326388889</v>
      </c>
      <c r="C172" s="0" t="s">
        <v>180</v>
      </c>
      <c r="D172" s="0" t="s">
        <v>199</v>
      </c>
      <c r="E172" s="0" t="n">
        <v>12</v>
      </c>
      <c r="F172" s="0" t="n">
        <v>2.55</v>
      </c>
      <c r="G172" s="7" t="str">
        <f aca="false">_xlfn.XLOOKUP(D172,Catalog!$B$2:$B$4102,Catalog!$A$2:$A$4102,"NOT IN CATALOG")</f>
        <v>GIN + TONIC DIET METAL SIGN</v>
      </c>
      <c r="H172" s="7" t="n">
        <f aca="false">_xlfn.IFNA(VLOOKUP(D172,Catalog!$B$2:$C$4102,2,FALSE()),"")</f>
        <v>2.1</v>
      </c>
      <c r="I172" s="7" t="str">
        <f aca="false">HLOOKUP(C172,Regions!$B$1:$S$2,2,FALSE())</f>
        <v>EU</v>
      </c>
      <c r="J172" s="7" t="n">
        <f aca="false">E172*F172</f>
        <v>30.6</v>
      </c>
      <c r="K172" s="8" t="n">
        <f aca="false">IF(H172="","",1-F172/H172)</f>
        <v>-0.214285714285714</v>
      </c>
    </row>
    <row r="173" customFormat="false" ht="15" hidden="false" customHeight="false" outlineLevel="0" collapsed="false">
      <c r="A173" s="0" t="s">
        <v>179</v>
      </c>
      <c r="B173" s="6" t="n">
        <v>40879.4326388889</v>
      </c>
      <c r="C173" s="0" t="s">
        <v>180</v>
      </c>
      <c r="D173" s="0" t="s">
        <v>200</v>
      </c>
      <c r="E173" s="0" t="n">
        <v>48</v>
      </c>
      <c r="F173" s="0" t="n">
        <v>1.85</v>
      </c>
      <c r="G173" s="7" t="str">
        <f aca="false">_xlfn.XLOOKUP(D173,Catalog!$B$2:$B$4102,Catalog!$A$2:$A$4102,"NOT IN CATALOG")</f>
        <v>CHOCOLATE THIS WAY METAL SIGN</v>
      </c>
      <c r="H173" s="7" t="n">
        <f aca="false">_xlfn.IFNA(VLOOKUP(D173,Catalog!$B$2:$C$4102,2,FALSE()),"")</f>
        <v>2.1</v>
      </c>
      <c r="I173" s="7" t="str">
        <f aca="false">HLOOKUP(C173,Regions!$B$1:$S$2,2,FALSE())</f>
        <v>EU</v>
      </c>
      <c r="J173" s="7" t="n">
        <f aca="false">E173*F173</f>
        <v>88.8</v>
      </c>
      <c r="K173" s="8" t="n">
        <f aca="false">IF(H173="","",1-F173/H173)</f>
        <v>0.119047619047619</v>
      </c>
    </row>
    <row r="174" customFormat="false" ht="15" hidden="false" customHeight="false" outlineLevel="0" collapsed="false">
      <c r="A174" s="0" t="s">
        <v>179</v>
      </c>
      <c r="B174" s="6" t="n">
        <v>40879.4326388889</v>
      </c>
      <c r="C174" s="0" t="s">
        <v>180</v>
      </c>
      <c r="D174" s="0" t="s">
        <v>201</v>
      </c>
      <c r="E174" s="0" t="n">
        <v>12</v>
      </c>
      <c r="F174" s="0" t="n">
        <v>2.89</v>
      </c>
      <c r="G174" s="7" t="str">
        <f aca="false">_xlfn.XLOOKUP(D174,Catalog!$B$2:$B$4102,Catalog!$A$2:$A$4102,"NOT IN CATALOG")</f>
        <v>NOT IN CATALOG</v>
      </c>
      <c r="H174" s="7" t="str">
        <f aca="false">_xlfn.IFNA(VLOOKUP(D174,Catalog!$B$2:$C$4102,2,FALSE()),"")</f>
        <v/>
      </c>
      <c r="I174" s="7" t="str">
        <f aca="false">HLOOKUP(C174,Regions!$B$1:$S$2,2,FALSE())</f>
        <v>EU</v>
      </c>
      <c r="J174" s="7" t="n">
        <f aca="false">E174*F174</f>
        <v>34.68</v>
      </c>
      <c r="K174" s="8" t="str">
        <f aca="false">IF(H174="","",1-F174/H174)</f>
        <v/>
      </c>
    </row>
    <row r="175" customFormat="false" ht="15" hidden="false" customHeight="false" outlineLevel="0" collapsed="false">
      <c r="A175" s="0" t="s">
        <v>179</v>
      </c>
      <c r="B175" s="6" t="n">
        <v>40879.4326388889</v>
      </c>
      <c r="C175" s="0" t="s">
        <v>180</v>
      </c>
      <c r="D175" s="0" t="s">
        <v>202</v>
      </c>
      <c r="E175" s="0" t="n">
        <v>12</v>
      </c>
      <c r="F175" s="0" t="n">
        <v>2.08</v>
      </c>
      <c r="G175" s="7" t="str">
        <f aca="false">_xlfn.XLOOKUP(D175,Catalog!$B$2:$B$4102,Catalog!$A$2:$A$4102,"NOT IN CATALOG")</f>
        <v>COOK WITH WINE METAL SIGN</v>
      </c>
      <c r="H175" s="7" t="n">
        <f aca="false">_xlfn.IFNA(VLOOKUP(D175,Catalog!$B$2:$C$4102,2,FALSE()),"")</f>
        <v>1.95</v>
      </c>
      <c r="I175" s="7" t="str">
        <f aca="false">HLOOKUP(C175,Regions!$B$1:$S$2,2,FALSE())</f>
        <v>EU</v>
      </c>
      <c r="J175" s="7" t="n">
        <f aca="false">E175*F175</f>
        <v>24.96</v>
      </c>
      <c r="K175" s="8" t="n">
        <f aca="false">IF(H175="","",1-F175/H175)</f>
        <v>-0.0666666666666667</v>
      </c>
    </row>
    <row r="176" customFormat="false" ht="15" hidden="false" customHeight="false" outlineLevel="0" collapsed="false">
      <c r="A176" s="0" t="s">
        <v>179</v>
      </c>
      <c r="B176" s="6" t="n">
        <v>40879.4326388889</v>
      </c>
      <c r="C176" s="0" t="s">
        <v>180</v>
      </c>
      <c r="D176" s="0" t="s">
        <v>203</v>
      </c>
      <c r="E176" s="0" t="n">
        <v>12</v>
      </c>
      <c r="F176" s="0" t="n">
        <v>2.1</v>
      </c>
      <c r="G176" s="7" t="str">
        <f aca="false">_xlfn.XLOOKUP(D176,Catalog!$B$2:$B$4102,Catalog!$A$2:$A$4102,"NOT IN CATALOG")</f>
        <v>HAND OVER THE CHOCOLATE SIGN</v>
      </c>
      <c r="H176" s="7" t="n">
        <f aca="false">_xlfn.IFNA(VLOOKUP(D176,Catalog!$B$2:$C$4102,2,FALSE()),"")</f>
        <v>2.1</v>
      </c>
      <c r="I176" s="7" t="str">
        <f aca="false">HLOOKUP(C176,Regions!$B$1:$S$2,2,FALSE())</f>
        <v>EU</v>
      </c>
      <c r="J176" s="7" t="n">
        <f aca="false">E176*F176</f>
        <v>25.2</v>
      </c>
      <c r="K176" s="8" t="n">
        <f aca="false">IF(H176="","",1-F176/H176)</f>
        <v>0</v>
      </c>
    </row>
    <row r="177" customFormat="false" ht="15" hidden="false" customHeight="false" outlineLevel="0" collapsed="false">
      <c r="A177" s="0" t="s">
        <v>179</v>
      </c>
      <c r="B177" s="6" t="n">
        <v>40879.4326388889</v>
      </c>
      <c r="C177" s="0" t="s">
        <v>180</v>
      </c>
      <c r="D177" s="0" t="s">
        <v>204</v>
      </c>
      <c r="E177" s="0" t="n">
        <v>12</v>
      </c>
      <c r="F177" s="0" t="n">
        <v>2.1</v>
      </c>
      <c r="G177" s="7" t="str">
        <f aca="false">_xlfn.XLOOKUP(D177,Catalog!$B$2:$B$4102,Catalog!$A$2:$A$4102,"NOT IN CATALOG")</f>
        <v>PLEASE ONE PERSON METAL SIGN</v>
      </c>
      <c r="H177" s="7" t="n">
        <f aca="false">_xlfn.IFNA(VLOOKUP(D177,Catalog!$B$2:$C$4102,2,FALSE()),"")</f>
        <v>2.1</v>
      </c>
      <c r="I177" s="7" t="str">
        <f aca="false">HLOOKUP(C177,Regions!$B$1:$S$2,2,FALSE())</f>
        <v>EU</v>
      </c>
      <c r="J177" s="7" t="n">
        <f aca="false">E177*F177</f>
        <v>25.2</v>
      </c>
      <c r="K177" s="8" t="n">
        <f aca="false">IF(H177="","",1-F177/H177)</f>
        <v>0</v>
      </c>
    </row>
    <row r="178" customFormat="false" ht="15" hidden="false" customHeight="false" outlineLevel="0" collapsed="false">
      <c r="A178" s="0" t="s">
        <v>179</v>
      </c>
      <c r="B178" s="6" t="n">
        <v>40879.4326388889</v>
      </c>
      <c r="C178" s="0" t="s">
        <v>180</v>
      </c>
      <c r="D178" s="0" t="s">
        <v>205</v>
      </c>
      <c r="E178" s="0" t="n">
        <v>12</v>
      </c>
      <c r="F178" s="0" t="n">
        <v>2.1</v>
      </c>
      <c r="G178" s="7" t="str">
        <f aca="false">_xlfn.XLOOKUP(D178,Catalog!$B$2:$B$4102,Catalog!$A$2:$A$4102,"NOT IN CATALOG")</f>
        <v>NO SINGING METAL SIGN</v>
      </c>
      <c r="H178" s="7" t="n">
        <f aca="false">_xlfn.IFNA(VLOOKUP(D178,Catalog!$B$2:$C$4102,2,FALSE()),"")</f>
        <v>2.1</v>
      </c>
      <c r="I178" s="7" t="str">
        <f aca="false">HLOOKUP(C178,Regions!$B$1:$S$2,2,FALSE())</f>
        <v>EU</v>
      </c>
      <c r="J178" s="7" t="n">
        <f aca="false">E178*F178</f>
        <v>25.2</v>
      </c>
      <c r="K178" s="8" t="n">
        <f aca="false">IF(H178="","",1-F178/H178)</f>
        <v>0</v>
      </c>
    </row>
    <row r="179" customFormat="false" ht="15" hidden="false" customHeight="false" outlineLevel="0" collapsed="false">
      <c r="A179" s="0" t="s">
        <v>179</v>
      </c>
      <c r="B179" s="6" t="n">
        <v>40879.4326388889</v>
      </c>
      <c r="C179" s="0" t="s">
        <v>180</v>
      </c>
      <c r="D179" s="0" t="s">
        <v>206</v>
      </c>
      <c r="E179" s="0" t="n">
        <v>6</v>
      </c>
      <c r="F179" s="0" t="n">
        <v>2.95</v>
      </c>
      <c r="G179" s="7" t="str">
        <f aca="false">_xlfn.XLOOKUP(D179,Catalog!$B$2:$B$4102,Catalog!$A$2:$A$4102,"NOT IN CATALOG")</f>
        <v>METAL SIGN TAKE IT OR LEAVE IT</v>
      </c>
      <c r="H179" s="7" t="n">
        <f aca="false">_xlfn.IFNA(VLOOKUP(D179,Catalog!$B$2:$C$4102,2,FALSE()),"")</f>
        <v>2.95</v>
      </c>
      <c r="I179" s="7" t="str">
        <f aca="false">HLOOKUP(C179,Regions!$B$1:$S$2,2,FALSE())</f>
        <v>EU</v>
      </c>
      <c r="J179" s="7" t="n">
        <f aca="false">E179*F179</f>
        <v>17.7</v>
      </c>
      <c r="K179" s="8" t="n">
        <f aca="false">IF(H179="","",1-F179/H179)</f>
        <v>0</v>
      </c>
    </row>
    <row r="180" customFormat="false" ht="15" hidden="false" customHeight="false" outlineLevel="0" collapsed="false">
      <c r="A180" s="0" t="s">
        <v>179</v>
      </c>
      <c r="B180" s="6" t="n">
        <v>40879.4326388889</v>
      </c>
      <c r="C180" s="0" t="s">
        <v>180</v>
      </c>
      <c r="D180" s="0" t="s">
        <v>207</v>
      </c>
      <c r="E180" s="0" t="n">
        <v>12</v>
      </c>
      <c r="F180" s="0" t="n">
        <v>1.69</v>
      </c>
      <c r="G180" s="7" t="str">
        <f aca="false">_xlfn.XLOOKUP(D180,Catalog!$B$2:$B$4102,Catalog!$A$2:$A$4102,"NOT IN CATALOG")</f>
        <v>YOU'RE CONFUSING ME METAL SIGN</v>
      </c>
      <c r="H180" s="7" t="n">
        <f aca="false">_xlfn.IFNA(VLOOKUP(D180,Catalog!$B$2:$C$4102,2,FALSE()),"")</f>
        <v>1.69</v>
      </c>
      <c r="I180" s="7" t="str">
        <f aca="false">HLOOKUP(C180,Regions!$B$1:$S$2,2,FALSE())</f>
        <v>EU</v>
      </c>
      <c r="J180" s="7" t="n">
        <f aca="false">E180*F180</f>
        <v>20.28</v>
      </c>
      <c r="K180" s="8" t="n">
        <f aca="false">IF(H180="","",1-F180/H180)</f>
        <v>0</v>
      </c>
    </row>
    <row r="181" customFormat="false" ht="15" hidden="false" customHeight="false" outlineLevel="0" collapsed="false">
      <c r="A181" s="0" t="s">
        <v>179</v>
      </c>
      <c r="B181" s="6" t="n">
        <v>40879.4326388889</v>
      </c>
      <c r="C181" s="0" t="s">
        <v>180</v>
      </c>
      <c r="D181" s="0" t="s">
        <v>208</v>
      </c>
      <c r="E181" s="0" t="n">
        <v>12</v>
      </c>
      <c r="F181" s="0" t="n">
        <v>2.1</v>
      </c>
      <c r="G181" s="7" t="str">
        <f aca="false">_xlfn.XLOOKUP(D181,Catalog!$B$2:$B$4102,Catalog!$A$2:$A$4102,"NOT IN CATALOG")</f>
        <v>I'M ON HOLIDAY METAL SIGN</v>
      </c>
      <c r="H181" s="7" t="n">
        <f aca="false">_xlfn.IFNA(VLOOKUP(D181,Catalog!$B$2:$C$4102,2,FALSE()),"")</f>
        <v>2.1</v>
      </c>
      <c r="I181" s="7" t="str">
        <f aca="false">HLOOKUP(C181,Regions!$B$1:$S$2,2,FALSE())</f>
        <v>EU</v>
      </c>
      <c r="J181" s="7" t="n">
        <f aca="false">E181*F181</f>
        <v>25.2</v>
      </c>
      <c r="K181" s="8" t="n">
        <f aca="false">IF(H181="","",1-F181/H181)</f>
        <v>0</v>
      </c>
    </row>
    <row r="182" customFormat="false" ht="15" hidden="false" customHeight="false" outlineLevel="0" collapsed="false">
      <c r="A182" s="0" t="s">
        <v>179</v>
      </c>
      <c r="B182" s="6" t="n">
        <v>40879.4326388889</v>
      </c>
      <c r="C182" s="0" t="s">
        <v>180</v>
      </c>
      <c r="D182" s="0" t="s">
        <v>39</v>
      </c>
      <c r="E182" s="0" t="n">
        <v>5</v>
      </c>
      <c r="F182" s="0" t="n">
        <v>28</v>
      </c>
      <c r="G182" s="7" t="str">
        <f aca="false">_xlfn.XLOOKUP(D182,Catalog!$B$2:$B$4102,Catalog!$A$2:$A$4102,"NOT IN CATALOG")</f>
        <v>POSTAGE</v>
      </c>
      <c r="H182" s="7" t="n">
        <f aca="false">_xlfn.IFNA(VLOOKUP(D182,Catalog!$B$2:$C$4102,2,FALSE()),"")</f>
        <v>18</v>
      </c>
      <c r="I182" s="7" t="str">
        <f aca="false">HLOOKUP(C182,Regions!$B$1:$S$2,2,FALSE())</f>
        <v>EU</v>
      </c>
      <c r="J182" s="7" t="n">
        <f aca="false">E182*F182</f>
        <v>140</v>
      </c>
      <c r="K182" s="8" t="n">
        <f aca="false">IF(H182="","",1-F182/H182)</f>
        <v>-0.555555555555556</v>
      </c>
    </row>
    <row r="183" customFormat="false" ht="15" hidden="false" customHeight="false" outlineLevel="0" collapsed="false">
      <c r="A183" s="0" t="s">
        <v>179</v>
      </c>
      <c r="B183" s="6" t="n">
        <v>40879.4326388889</v>
      </c>
      <c r="C183" s="0" t="s">
        <v>180</v>
      </c>
      <c r="D183" s="0" t="s">
        <v>209</v>
      </c>
      <c r="E183" s="0" t="n">
        <v>6</v>
      </c>
      <c r="F183" s="0" t="n">
        <v>2.08</v>
      </c>
      <c r="G183" s="7" t="str">
        <f aca="false">_xlfn.XLOOKUP(D183,Catalog!$B$2:$B$4102,Catalog!$A$2:$A$4102,"NOT IN CATALOG")</f>
        <v>NOT IN CATALOG</v>
      </c>
      <c r="H183" s="7" t="str">
        <f aca="false">_xlfn.IFNA(VLOOKUP(D183,Catalog!$B$2:$C$4102,2,FALSE()),"")</f>
        <v/>
      </c>
      <c r="I183" s="7" t="str">
        <f aca="false">HLOOKUP(C183,Regions!$B$1:$S$2,2,FALSE())</f>
        <v>EU</v>
      </c>
      <c r="J183" s="7" t="n">
        <f aca="false">E183*F183</f>
        <v>12.48</v>
      </c>
      <c r="K183" s="8" t="str">
        <f aca="false">IF(H183="","",1-F183/H183)</f>
        <v/>
      </c>
    </row>
    <row r="184" customFormat="false" ht="15" hidden="false" customHeight="false" outlineLevel="0" collapsed="false">
      <c r="A184" s="0" t="s">
        <v>179</v>
      </c>
      <c r="B184" s="6" t="n">
        <v>40879.4326388889</v>
      </c>
      <c r="C184" s="0" t="s">
        <v>180</v>
      </c>
      <c r="D184" s="0" t="s">
        <v>210</v>
      </c>
      <c r="E184" s="0" t="n">
        <v>12</v>
      </c>
      <c r="F184" s="0" t="n">
        <v>5.39</v>
      </c>
      <c r="G184" s="7" t="str">
        <f aca="false">_xlfn.XLOOKUP(D184,Catalog!$B$2:$B$4102,Catalog!$A$2:$A$4102,"NOT IN CATALOG")</f>
        <v>NOT IN CATALOG</v>
      </c>
      <c r="H184" s="7" t="str">
        <f aca="false">_xlfn.IFNA(VLOOKUP(D184,Catalog!$B$2:$C$4102,2,FALSE()),"")</f>
        <v/>
      </c>
      <c r="I184" s="7" t="str">
        <f aca="false">HLOOKUP(C184,Regions!$B$1:$S$2,2,FALSE())</f>
        <v>EU</v>
      </c>
      <c r="J184" s="7" t="n">
        <f aca="false">E184*F184</f>
        <v>64.68</v>
      </c>
      <c r="K184" s="8" t="str">
        <f aca="false">IF(H184="","",1-F184/H184)</f>
        <v/>
      </c>
    </row>
    <row r="185" customFormat="false" ht="15" hidden="false" customHeight="false" outlineLevel="0" collapsed="false">
      <c r="A185" s="0" t="s">
        <v>179</v>
      </c>
      <c r="B185" s="6" t="n">
        <v>40879.4326388889</v>
      </c>
      <c r="C185" s="0" t="s">
        <v>180</v>
      </c>
      <c r="D185" s="0" t="s">
        <v>211</v>
      </c>
      <c r="E185" s="0" t="n">
        <v>12</v>
      </c>
      <c r="F185" s="0" t="n">
        <v>1.95</v>
      </c>
      <c r="G185" s="7" t="str">
        <f aca="false">_xlfn.XLOOKUP(D185,Catalog!$B$2:$B$4102,Catalog!$A$2:$A$4102,"NOT IN CATALOG")</f>
        <v>FAIRY TALE COTTAGE NIGHTLIGHT</v>
      </c>
      <c r="H185" s="7" t="n">
        <f aca="false">_xlfn.IFNA(VLOOKUP(D185,Catalog!$B$2:$C$4102,2,FALSE()),"")</f>
        <v>1.95</v>
      </c>
      <c r="I185" s="7" t="str">
        <f aca="false">HLOOKUP(C185,Regions!$B$1:$S$2,2,FALSE())</f>
        <v>EU</v>
      </c>
      <c r="J185" s="7" t="n">
        <f aca="false">E185*F185</f>
        <v>23.4</v>
      </c>
      <c r="K185" s="8" t="n">
        <f aca="false">IF(H185="","",1-F185/H185)</f>
        <v>0</v>
      </c>
    </row>
    <row r="186" customFormat="false" ht="15" hidden="false" customHeight="false" outlineLevel="0" collapsed="false">
      <c r="A186" s="0" t="s">
        <v>179</v>
      </c>
      <c r="B186" s="6" t="n">
        <v>40879.4326388889</v>
      </c>
      <c r="C186" s="0" t="s">
        <v>180</v>
      </c>
      <c r="D186" s="0" t="s">
        <v>83</v>
      </c>
      <c r="E186" s="0" t="n">
        <v>24</v>
      </c>
      <c r="F186" s="0" t="n">
        <v>1.65</v>
      </c>
      <c r="G186" s="7" t="str">
        <f aca="false">_xlfn.XLOOKUP(D186,Catalog!$B$2:$B$4102,Catalog!$A$2:$A$4102,"NOT IN CATALOG")</f>
        <v>RED TOADSTOOL LED NIGHT LIGHT</v>
      </c>
      <c r="H186" s="7" t="n">
        <f aca="false">_xlfn.IFNA(VLOOKUP(D186,Catalog!$B$2:$C$4102,2,FALSE()),"")</f>
        <v>1.65</v>
      </c>
      <c r="I186" s="7" t="str">
        <f aca="false">HLOOKUP(C186,Regions!$B$1:$S$2,2,FALSE())</f>
        <v>EU</v>
      </c>
      <c r="J186" s="7" t="n">
        <f aca="false">E186*F186</f>
        <v>39.6</v>
      </c>
      <c r="K186" s="8" t="n">
        <f aca="false">IF(H186="","",1-F186/H186)</f>
        <v>0</v>
      </c>
    </row>
    <row r="187" customFormat="false" ht="15" hidden="false" customHeight="false" outlineLevel="0" collapsed="false">
      <c r="A187" s="0" t="s">
        <v>179</v>
      </c>
      <c r="B187" s="6" t="n">
        <v>40879.4326388889</v>
      </c>
      <c r="C187" s="0" t="s">
        <v>180</v>
      </c>
      <c r="D187" s="0" t="s">
        <v>82</v>
      </c>
      <c r="E187" s="0" t="n">
        <v>48</v>
      </c>
      <c r="F187" s="0" t="n">
        <v>1.79</v>
      </c>
      <c r="G187" s="7" t="str">
        <f aca="false">_xlfn.XLOOKUP(D187,Catalog!$B$2:$B$4102,Catalog!$A$2:$A$4102,"NOT IN CATALOG")</f>
        <v>NOT IN CATALOG</v>
      </c>
      <c r="H187" s="7" t="str">
        <f aca="false">_xlfn.IFNA(VLOOKUP(D187,Catalog!$B$2:$C$4102,2,FALSE()),"")</f>
        <v/>
      </c>
      <c r="I187" s="7" t="str">
        <f aca="false">HLOOKUP(C187,Regions!$B$1:$S$2,2,FALSE())</f>
        <v>EU</v>
      </c>
      <c r="J187" s="7" t="n">
        <f aca="false">E187*F187</f>
        <v>85.92</v>
      </c>
      <c r="K187" s="8" t="str">
        <f aca="false">IF(H187="","",1-F187/H187)</f>
        <v/>
      </c>
    </row>
    <row r="188" customFormat="false" ht="15" hidden="false" customHeight="false" outlineLevel="0" collapsed="false">
      <c r="A188" s="0" t="s">
        <v>179</v>
      </c>
      <c r="B188" s="6" t="n">
        <v>40879.4326388889</v>
      </c>
      <c r="C188" s="0" t="s">
        <v>180</v>
      </c>
      <c r="D188" s="0" t="s">
        <v>98</v>
      </c>
      <c r="E188" s="0" t="n">
        <v>9</v>
      </c>
      <c r="F188" s="0" t="n">
        <v>4.95</v>
      </c>
      <c r="G188" s="7" t="str">
        <f aca="false">_xlfn.XLOOKUP(D188,Catalog!$B$2:$B$4102,Catalog!$A$2:$A$4102,"NOT IN CATALOG")</f>
        <v>BAKING SET 9 PIECE RETROSPOT</v>
      </c>
      <c r="H188" s="7" t="n">
        <f aca="false">_xlfn.IFNA(VLOOKUP(D188,Catalog!$B$2:$C$4102,2,FALSE()),"")</f>
        <v>4.95</v>
      </c>
      <c r="I188" s="7" t="str">
        <f aca="false">HLOOKUP(C188,Regions!$B$1:$S$2,2,FALSE())</f>
        <v>EU</v>
      </c>
      <c r="J188" s="7" t="n">
        <f aca="false">E188*F188</f>
        <v>44.55</v>
      </c>
      <c r="K188" s="8" t="n">
        <f aca="false">IF(H188="","",1-F188/H188)</f>
        <v>0</v>
      </c>
    </row>
    <row r="189" customFormat="false" ht="15" hidden="false" customHeight="false" outlineLevel="0" collapsed="false">
      <c r="A189" s="0" t="s">
        <v>179</v>
      </c>
      <c r="B189" s="6" t="n">
        <v>40879.4326388889</v>
      </c>
      <c r="C189" s="0" t="s">
        <v>180</v>
      </c>
      <c r="D189" s="0" t="s">
        <v>144</v>
      </c>
      <c r="E189" s="0" t="n">
        <v>12</v>
      </c>
      <c r="F189" s="0" t="n">
        <v>1.25</v>
      </c>
      <c r="G189" s="7" t="str">
        <f aca="false">_xlfn.XLOOKUP(D189,Catalog!$B$2:$B$4102,Catalog!$A$2:$A$4102,"NOT IN CATALOG")</f>
        <v>BLUE HARMONICA IN BOX</v>
      </c>
      <c r="H189" s="7" t="n">
        <f aca="false">_xlfn.IFNA(VLOOKUP(D189,Catalog!$B$2:$C$4102,2,FALSE()),"")</f>
        <v>1.25</v>
      </c>
      <c r="I189" s="7" t="str">
        <f aca="false">HLOOKUP(C189,Regions!$B$1:$S$2,2,FALSE())</f>
        <v>EU</v>
      </c>
      <c r="J189" s="7" t="n">
        <f aca="false">E189*F189</f>
        <v>15</v>
      </c>
      <c r="K189" s="8" t="n">
        <f aca="false">IF(H189="","",1-F189/H189)</f>
        <v>0</v>
      </c>
    </row>
    <row r="190" customFormat="false" ht="15" hidden="false" customHeight="false" outlineLevel="0" collapsed="false">
      <c r="A190" s="0" t="s">
        <v>179</v>
      </c>
      <c r="B190" s="6" t="n">
        <v>40879.4326388889</v>
      </c>
      <c r="C190" s="0" t="s">
        <v>180</v>
      </c>
      <c r="D190" s="0" t="s">
        <v>212</v>
      </c>
      <c r="E190" s="0" t="n">
        <v>12</v>
      </c>
      <c r="F190" s="0" t="n">
        <v>0.83</v>
      </c>
      <c r="G190" s="7" t="str">
        <f aca="false">_xlfn.XLOOKUP(D190,Catalog!$B$2:$B$4102,Catalog!$A$2:$A$4102,"NOT IN CATALOG")</f>
        <v>WOOD STAMP SET BEST WISHES</v>
      </c>
      <c r="H190" s="7" t="n">
        <f aca="false">_xlfn.IFNA(VLOOKUP(D190,Catalog!$B$2:$C$4102,2,FALSE()),"")</f>
        <v>1.65</v>
      </c>
      <c r="I190" s="7" t="str">
        <f aca="false">HLOOKUP(C190,Regions!$B$1:$S$2,2,FALSE())</f>
        <v>EU</v>
      </c>
      <c r="J190" s="7" t="n">
        <f aca="false">E190*F190</f>
        <v>9.96</v>
      </c>
      <c r="K190" s="8" t="n">
        <f aca="false">IF(H190="","",1-F190/H190)</f>
        <v>0.496969696969697</v>
      </c>
    </row>
    <row r="191" customFormat="false" ht="15" hidden="false" customHeight="false" outlineLevel="0" collapsed="false">
      <c r="A191" s="0" t="s">
        <v>179</v>
      </c>
      <c r="B191" s="6" t="n">
        <v>40879.4326388889</v>
      </c>
      <c r="C191" s="0" t="s">
        <v>180</v>
      </c>
      <c r="D191" s="0" t="s">
        <v>213</v>
      </c>
      <c r="E191" s="0" t="n">
        <v>12</v>
      </c>
      <c r="F191" s="0" t="n">
        <v>0.83</v>
      </c>
      <c r="G191" s="7" t="str">
        <f aca="false">_xlfn.XLOOKUP(D191,Catalog!$B$2:$B$4102,Catalog!$A$2:$A$4102,"NOT IN CATALOG")</f>
        <v>WOOD STAMP SET THANK YOU</v>
      </c>
      <c r="H191" s="7" t="n">
        <f aca="false">_xlfn.IFNA(VLOOKUP(D191,Catalog!$B$2:$C$4102,2,FALSE()),"")</f>
        <v>1.65</v>
      </c>
      <c r="I191" s="7" t="str">
        <f aca="false">HLOOKUP(C191,Regions!$B$1:$S$2,2,FALSE())</f>
        <v>EU</v>
      </c>
      <c r="J191" s="7" t="n">
        <f aca="false">E191*F191</f>
        <v>9.96</v>
      </c>
      <c r="K191" s="8" t="n">
        <f aca="false">IF(H191="","",1-F191/H191)</f>
        <v>0.496969696969697</v>
      </c>
    </row>
    <row r="192" customFormat="false" ht="15" hidden="false" customHeight="false" outlineLevel="0" collapsed="false">
      <c r="A192" s="0" t="s">
        <v>179</v>
      </c>
      <c r="B192" s="6" t="n">
        <v>40879.4326388889</v>
      </c>
      <c r="C192" s="0" t="s">
        <v>180</v>
      </c>
      <c r="D192" s="0" t="s">
        <v>214</v>
      </c>
      <c r="E192" s="0" t="n">
        <v>4</v>
      </c>
      <c r="F192" s="0" t="n">
        <v>4.95</v>
      </c>
      <c r="G192" s="7" t="str">
        <f aca="false">_xlfn.XLOOKUP(D192,Catalog!$B$2:$B$4102,Catalog!$A$2:$A$4102,"NOT IN CATALOG")</f>
        <v>NOT IN CATALOG</v>
      </c>
      <c r="H192" s="7" t="str">
        <f aca="false">_xlfn.IFNA(VLOOKUP(D192,Catalog!$B$2:$C$4102,2,FALSE()),"")</f>
        <v/>
      </c>
      <c r="I192" s="7" t="str">
        <f aca="false">HLOOKUP(C192,Regions!$B$1:$S$2,2,FALSE())</f>
        <v>EU</v>
      </c>
      <c r="J192" s="7" t="n">
        <f aca="false">E192*F192</f>
        <v>19.8</v>
      </c>
      <c r="K192" s="8" t="str">
        <f aca="false">IF(H192="","",1-F192/H192)</f>
        <v/>
      </c>
    </row>
    <row r="193" customFormat="false" ht="15" hidden="false" customHeight="false" outlineLevel="0" collapsed="false">
      <c r="A193" s="0" t="s">
        <v>179</v>
      </c>
      <c r="B193" s="6" t="n">
        <v>40879.4326388889</v>
      </c>
      <c r="C193" s="0" t="s">
        <v>180</v>
      </c>
      <c r="D193" s="0" t="s">
        <v>215</v>
      </c>
      <c r="E193" s="0" t="n">
        <v>6</v>
      </c>
      <c r="F193" s="0" t="n">
        <v>2.1</v>
      </c>
      <c r="G193" s="7" t="str">
        <f aca="false">_xlfn.XLOOKUP(D193,Catalog!$B$2:$B$4102,Catalog!$A$2:$A$4102,"NOT IN CATALOG")</f>
        <v>3 PIECE SPACEBOY COOKIE CUTTER SET</v>
      </c>
      <c r="H193" s="7" t="n">
        <f aca="false">_xlfn.IFNA(VLOOKUP(D193,Catalog!$B$2:$C$4102,2,FALSE()),"")</f>
        <v>2.1</v>
      </c>
      <c r="I193" s="7" t="str">
        <f aca="false">HLOOKUP(C193,Regions!$B$1:$S$2,2,FALSE())</f>
        <v>EU</v>
      </c>
      <c r="J193" s="7" t="n">
        <f aca="false">E193*F193</f>
        <v>12.6</v>
      </c>
      <c r="K193" s="8" t="n">
        <f aca="false">IF(H193="","",1-F193/H193)</f>
        <v>0</v>
      </c>
    </row>
    <row r="194" customFormat="false" ht="15" hidden="false" customHeight="false" outlineLevel="0" collapsed="false">
      <c r="A194" s="0" t="s">
        <v>179</v>
      </c>
      <c r="B194" s="6" t="n">
        <v>40879.4326388889</v>
      </c>
      <c r="C194" s="0" t="s">
        <v>180</v>
      </c>
      <c r="D194" s="0" t="s">
        <v>216</v>
      </c>
      <c r="E194" s="0" t="n">
        <v>12</v>
      </c>
      <c r="F194" s="0" t="n">
        <v>1.25</v>
      </c>
      <c r="G194" s="7" t="str">
        <f aca="false">_xlfn.XLOOKUP(D194,Catalog!$B$2:$B$4102,Catalog!$A$2:$A$4102,"NOT IN CATALOG")</f>
        <v>GINGERBREAD MAN COOKIE CUTTER</v>
      </c>
      <c r="H194" s="7" t="n">
        <f aca="false">_xlfn.IFNA(VLOOKUP(D194,Catalog!$B$2:$C$4102,2,FALSE()),"")</f>
        <v>1.25</v>
      </c>
      <c r="I194" s="7" t="str">
        <f aca="false">HLOOKUP(C194,Regions!$B$1:$S$2,2,FALSE())</f>
        <v>EU</v>
      </c>
      <c r="J194" s="7" t="n">
        <f aca="false">E194*F194</f>
        <v>15</v>
      </c>
      <c r="K194" s="8" t="n">
        <f aca="false">IF(H194="","",1-F194/H194)</f>
        <v>0</v>
      </c>
    </row>
    <row r="195" customFormat="false" ht="15" hidden="false" customHeight="false" outlineLevel="0" collapsed="false">
      <c r="A195" s="0" t="s">
        <v>179</v>
      </c>
      <c r="B195" s="6" t="n">
        <v>40879.4326388889</v>
      </c>
      <c r="C195" s="0" t="s">
        <v>180</v>
      </c>
      <c r="D195" s="0" t="s">
        <v>45</v>
      </c>
      <c r="E195" s="0" t="n">
        <v>12</v>
      </c>
      <c r="F195" s="0" t="n">
        <v>1.45</v>
      </c>
      <c r="G195" s="7" t="str">
        <f aca="false">_xlfn.XLOOKUP(D195,Catalog!$B$2:$B$4102,Catalog!$A$2:$A$4102,"NOT IN CATALOG")</f>
        <v>SET OF 3 HEART COOKIE CUTTERS</v>
      </c>
      <c r="H195" s="7" t="n">
        <f aca="false">_xlfn.IFNA(VLOOKUP(D195,Catalog!$B$2:$C$4102,2,FALSE()),"")</f>
        <v>1.25</v>
      </c>
      <c r="I195" s="7" t="str">
        <f aca="false">HLOOKUP(C195,Regions!$B$1:$S$2,2,FALSE())</f>
        <v>EU</v>
      </c>
      <c r="J195" s="7" t="n">
        <f aca="false">E195*F195</f>
        <v>17.4</v>
      </c>
      <c r="K195" s="8" t="n">
        <f aca="false">IF(H195="","",1-F195/H195)</f>
        <v>-0.16</v>
      </c>
    </row>
    <row r="196" customFormat="false" ht="15" hidden="false" customHeight="false" outlineLevel="0" collapsed="false">
      <c r="A196" s="0" t="s">
        <v>179</v>
      </c>
      <c r="B196" s="6" t="n">
        <v>40879.4326388889</v>
      </c>
      <c r="C196" s="0" t="s">
        <v>180</v>
      </c>
      <c r="D196" s="0" t="s">
        <v>217</v>
      </c>
      <c r="E196" s="0" t="n">
        <v>12</v>
      </c>
      <c r="F196" s="0" t="n">
        <v>1.45</v>
      </c>
      <c r="G196" s="7" t="str">
        <f aca="false">_xlfn.XLOOKUP(D196,Catalog!$B$2:$B$4102,Catalog!$A$2:$A$4102,"NOT IN CATALOG")</f>
        <v>36 DOILIES SPACEBOY DESIGN</v>
      </c>
      <c r="H196" s="7" t="n">
        <f aca="false">_xlfn.IFNA(VLOOKUP(D196,Catalog!$B$2:$C$4102,2,FALSE()),"")</f>
        <v>1.45</v>
      </c>
      <c r="I196" s="7" t="str">
        <f aca="false">HLOOKUP(C196,Regions!$B$1:$S$2,2,FALSE())</f>
        <v>EU</v>
      </c>
      <c r="J196" s="7" t="n">
        <f aca="false">E196*F196</f>
        <v>17.4</v>
      </c>
      <c r="K196" s="8" t="n">
        <f aca="false">IF(H196="","",1-F196/H196)</f>
        <v>0</v>
      </c>
    </row>
    <row r="197" customFormat="false" ht="15" hidden="false" customHeight="false" outlineLevel="0" collapsed="false">
      <c r="A197" s="0" t="s">
        <v>179</v>
      </c>
      <c r="B197" s="6" t="n">
        <v>40879.4326388889</v>
      </c>
      <c r="C197" s="0" t="s">
        <v>180</v>
      </c>
      <c r="D197" s="0" t="s">
        <v>218</v>
      </c>
      <c r="E197" s="0" t="n">
        <v>24</v>
      </c>
      <c r="F197" s="0" t="n">
        <v>0.55</v>
      </c>
      <c r="G197" s="7" t="str">
        <f aca="false">_xlfn.XLOOKUP(D197,Catalog!$B$2:$B$4102,Catalog!$A$2:$A$4102,"NOT IN CATALOG")</f>
        <v>PACK OF 60 SPACEBOY CAKE CASES</v>
      </c>
      <c r="H197" s="7" t="n">
        <f aca="false">_xlfn.IFNA(VLOOKUP(D197,Catalog!$B$2:$C$4102,2,FALSE()),"")</f>
        <v>0.55</v>
      </c>
      <c r="I197" s="7" t="str">
        <f aca="false">HLOOKUP(C197,Regions!$B$1:$S$2,2,FALSE())</f>
        <v>EU</v>
      </c>
      <c r="J197" s="7" t="n">
        <f aca="false">E197*F197</f>
        <v>13.2</v>
      </c>
      <c r="K197" s="8" t="n">
        <f aca="false">IF(H197="","",1-F197/H197)</f>
        <v>0</v>
      </c>
    </row>
    <row r="198" customFormat="false" ht="15" hidden="false" customHeight="false" outlineLevel="0" collapsed="false">
      <c r="A198" s="0" t="s">
        <v>179</v>
      </c>
      <c r="B198" s="6" t="n">
        <v>40879.4326388889</v>
      </c>
      <c r="C198" s="0" t="s">
        <v>180</v>
      </c>
      <c r="D198" s="0" t="s">
        <v>219</v>
      </c>
      <c r="E198" s="0" t="n">
        <v>24</v>
      </c>
      <c r="F198" s="0" t="n">
        <v>0.55</v>
      </c>
      <c r="G198" s="7" t="str">
        <f aca="false">_xlfn.XLOOKUP(D198,Catalog!$B$2:$B$4102,Catalog!$A$2:$A$4102,"NOT IN CATALOG")</f>
        <v>72 SWEETHEART FAIRY CAKE CASES</v>
      </c>
      <c r="H198" s="7" t="n">
        <f aca="false">_xlfn.IFNA(VLOOKUP(D198,Catalog!$B$2:$C$4102,2,FALSE()),"")</f>
        <v>0.55</v>
      </c>
      <c r="I198" s="7" t="str">
        <f aca="false">HLOOKUP(C198,Regions!$B$1:$S$2,2,FALSE())</f>
        <v>EU</v>
      </c>
      <c r="J198" s="7" t="n">
        <f aca="false">E198*F198</f>
        <v>13.2</v>
      </c>
      <c r="K198" s="8" t="n">
        <f aca="false">IF(H198="","",1-F198/H198)</f>
        <v>0</v>
      </c>
    </row>
    <row r="199" customFormat="false" ht="15" hidden="false" customHeight="false" outlineLevel="0" collapsed="false">
      <c r="A199" s="0" t="s">
        <v>179</v>
      </c>
      <c r="B199" s="6" t="n">
        <v>40879.4326388889</v>
      </c>
      <c r="C199" s="0" t="s">
        <v>180</v>
      </c>
      <c r="D199" s="0" t="s">
        <v>220</v>
      </c>
      <c r="E199" s="0" t="n">
        <v>24</v>
      </c>
      <c r="F199" s="0" t="n">
        <v>0.55</v>
      </c>
      <c r="G199" s="7" t="str">
        <f aca="false">_xlfn.XLOOKUP(D199,Catalog!$B$2:$B$4102,Catalog!$A$2:$A$4102,"NOT IN CATALOG")</f>
        <v>60 CAKE CASES DOLLY GIRL DESIGN</v>
      </c>
      <c r="H199" s="7" t="n">
        <f aca="false">_xlfn.IFNA(VLOOKUP(D199,Catalog!$B$2:$C$4102,2,FALSE()),"")</f>
        <v>0.55</v>
      </c>
      <c r="I199" s="7" t="str">
        <f aca="false">HLOOKUP(C199,Regions!$B$1:$S$2,2,FALSE())</f>
        <v>EU</v>
      </c>
      <c r="J199" s="7" t="n">
        <f aca="false">E199*F199</f>
        <v>13.2</v>
      </c>
      <c r="K199" s="8" t="n">
        <f aca="false">IF(H199="","",1-F199/H199)</f>
        <v>0</v>
      </c>
    </row>
    <row r="200" customFormat="false" ht="15" hidden="false" customHeight="false" outlineLevel="0" collapsed="false">
      <c r="A200" s="0" t="s">
        <v>179</v>
      </c>
      <c r="B200" s="6" t="n">
        <v>40879.4326388889</v>
      </c>
      <c r="C200" s="0" t="s">
        <v>180</v>
      </c>
      <c r="D200" s="0" t="s">
        <v>44</v>
      </c>
      <c r="E200" s="0" t="n">
        <v>24</v>
      </c>
      <c r="F200" s="0" t="n">
        <v>0.55</v>
      </c>
      <c r="G200" s="7" t="str">
        <f aca="false">_xlfn.XLOOKUP(D200,Catalog!$B$2:$B$4102,Catalog!$A$2:$A$4102,"NOT IN CATALOG")</f>
        <v>PACK OF 72 RETRO SPOT CAKE CASES</v>
      </c>
      <c r="H200" s="7" t="n">
        <f aca="false">_xlfn.IFNA(VLOOKUP(D200,Catalog!$B$2:$C$4102,2,FALSE()),"")</f>
        <v>0.55</v>
      </c>
      <c r="I200" s="7" t="str">
        <f aca="false">HLOOKUP(C200,Regions!$B$1:$S$2,2,FALSE())</f>
        <v>EU</v>
      </c>
      <c r="J200" s="7" t="n">
        <f aca="false">E200*F200</f>
        <v>13.2</v>
      </c>
      <c r="K200" s="8" t="n">
        <f aca="false">IF(H200="","",1-F200/H200)</f>
        <v>0</v>
      </c>
    </row>
    <row r="201" customFormat="false" ht="15" hidden="false" customHeight="false" outlineLevel="0" collapsed="false">
      <c r="A201" s="0" t="s">
        <v>221</v>
      </c>
      <c r="B201" s="6" t="n">
        <v>40879.4333333333</v>
      </c>
      <c r="C201" s="0" t="s">
        <v>29</v>
      </c>
      <c r="D201" s="0" t="s">
        <v>222</v>
      </c>
      <c r="E201" s="0" t="n">
        <v>2</v>
      </c>
      <c r="F201" s="0" t="n">
        <v>8.5</v>
      </c>
      <c r="G201" s="7" t="str">
        <f aca="false">_xlfn.XLOOKUP(D201,Catalog!$B$2:$B$4102,Catalog!$A$2:$A$4102,"NOT IN CATALOG")</f>
        <v>IVORY KITCHEN SCALES</v>
      </c>
      <c r="H201" s="7" t="n">
        <f aca="false">_xlfn.IFNA(VLOOKUP(D201,Catalog!$B$2:$C$4102,2,FALSE()),"")</f>
        <v>8.5</v>
      </c>
      <c r="I201" s="7" t="str">
        <f aca="false">HLOOKUP(C201,Regions!$B$1:$S$2,2,FALSE())</f>
        <v>EU</v>
      </c>
      <c r="J201" s="7" t="n">
        <f aca="false">E201*F201</f>
        <v>17</v>
      </c>
      <c r="K201" s="8" t="n">
        <f aca="false">IF(H201="","",1-F201/H201)</f>
        <v>0</v>
      </c>
    </row>
    <row r="202" customFormat="false" ht="15" hidden="false" customHeight="false" outlineLevel="0" collapsed="false">
      <c r="A202" s="0" t="s">
        <v>221</v>
      </c>
      <c r="B202" s="6" t="n">
        <v>40879.4333333333</v>
      </c>
      <c r="C202" s="0" t="s">
        <v>29</v>
      </c>
      <c r="D202" s="0" t="s">
        <v>223</v>
      </c>
      <c r="E202" s="0" t="n">
        <v>2</v>
      </c>
      <c r="F202" s="0" t="n">
        <v>8.5</v>
      </c>
      <c r="G202" s="7" t="str">
        <f aca="false">_xlfn.XLOOKUP(D202,Catalog!$B$2:$B$4102,Catalog!$A$2:$A$4102,"NOT IN CATALOG")</f>
        <v>BLACK KITCHEN SCALES</v>
      </c>
      <c r="H202" s="7" t="n">
        <f aca="false">_xlfn.IFNA(VLOOKUP(D202,Catalog!$B$2:$C$4102,2,FALSE()),"")</f>
        <v>8.5</v>
      </c>
      <c r="I202" s="7" t="str">
        <f aca="false">HLOOKUP(C202,Regions!$B$1:$S$2,2,FALSE())</f>
        <v>EU</v>
      </c>
      <c r="J202" s="7" t="n">
        <f aca="false">E202*F202</f>
        <v>17</v>
      </c>
      <c r="K202" s="8" t="n">
        <f aca="false">IF(H202="","",1-F202/H202)</f>
        <v>0</v>
      </c>
    </row>
    <row r="203" customFormat="false" ht="15" hidden="false" customHeight="false" outlineLevel="0" collapsed="false">
      <c r="A203" s="0" t="s">
        <v>221</v>
      </c>
      <c r="B203" s="6" t="n">
        <v>40879.4333333333</v>
      </c>
      <c r="C203" s="0" t="s">
        <v>29</v>
      </c>
      <c r="D203" s="0" t="s">
        <v>224</v>
      </c>
      <c r="E203" s="0" t="n">
        <v>4</v>
      </c>
      <c r="F203" s="0" t="n">
        <v>3.75</v>
      </c>
      <c r="G203" s="7" t="str">
        <f aca="false">_xlfn.XLOOKUP(D203,Catalog!$B$2:$B$4102,Catalog!$A$2:$A$4102,"NOT IN CATALOG")</f>
        <v>FAWN BLUE HOT WATER BOTTLE</v>
      </c>
      <c r="H203" s="7" t="n">
        <f aca="false">_xlfn.IFNA(VLOOKUP(D203,Catalog!$B$2:$C$4102,2,FALSE()),"")</f>
        <v>2.95</v>
      </c>
      <c r="I203" s="7" t="str">
        <f aca="false">HLOOKUP(C203,Regions!$B$1:$S$2,2,FALSE())</f>
        <v>EU</v>
      </c>
      <c r="J203" s="7" t="n">
        <f aca="false">E203*F203</f>
        <v>15</v>
      </c>
      <c r="K203" s="8" t="n">
        <f aca="false">IF(H203="","",1-F203/H203)</f>
        <v>-0.271186440677966</v>
      </c>
    </row>
    <row r="204" customFormat="false" ht="15" hidden="false" customHeight="false" outlineLevel="0" collapsed="false">
      <c r="A204" s="0" t="s">
        <v>221</v>
      </c>
      <c r="B204" s="6" t="n">
        <v>40879.4333333333</v>
      </c>
      <c r="C204" s="0" t="s">
        <v>29</v>
      </c>
      <c r="D204" s="0" t="s">
        <v>39</v>
      </c>
      <c r="E204" s="0" t="n">
        <v>1</v>
      </c>
      <c r="F204" s="0" t="n">
        <v>18</v>
      </c>
      <c r="G204" s="7" t="str">
        <f aca="false">_xlfn.XLOOKUP(D204,Catalog!$B$2:$B$4102,Catalog!$A$2:$A$4102,"NOT IN CATALOG")</f>
        <v>POSTAGE</v>
      </c>
      <c r="H204" s="7" t="n">
        <f aca="false">_xlfn.IFNA(VLOOKUP(D204,Catalog!$B$2:$C$4102,2,FALSE()),"")</f>
        <v>18</v>
      </c>
      <c r="I204" s="7" t="str">
        <f aca="false">HLOOKUP(C204,Regions!$B$1:$S$2,2,FALSE())</f>
        <v>EU</v>
      </c>
      <c r="J204" s="7" t="n">
        <f aca="false">E204*F204</f>
        <v>18</v>
      </c>
      <c r="K204" s="8" t="n">
        <f aca="false">IF(H204="","",1-F204/H204)</f>
        <v>0</v>
      </c>
    </row>
    <row r="205" customFormat="false" ht="15" hidden="false" customHeight="false" outlineLevel="0" collapsed="false">
      <c r="A205" s="0" t="s">
        <v>225</v>
      </c>
      <c r="B205" s="6" t="n">
        <v>40879.4451388889</v>
      </c>
      <c r="C205" s="0" t="s">
        <v>226</v>
      </c>
      <c r="D205" s="0" t="s">
        <v>170</v>
      </c>
      <c r="E205" s="0" t="n">
        <v>12</v>
      </c>
      <c r="F205" s="0" t="n">
        <v>0.42</v>
      </c>
      <c r="G205" s="7" t="str">
        <f aca="false">_xlfn.XLOOKUP(D205,Catalog!$B$2:$B$4102,Catalog!$A$2:$A$4102,"NOT IN CATALOG")</f>
        <v>CARD DOLLY GIRL</v>
      </c>
      <c r="H205" s="7" t="n">
        <f aca="false">_xlfn.IFNA(VLOOKUP(D205,Catalog!$B$2:$C$4102,2,FALSE()),"")</f>
        <v>0.42</v>
      </c>
      <c r="I205" s="7" t="str">
        <f aca="false">HLOOKUP(C205,Regions!$B$1:$S$2,2,FALSE())</f>
        <v>Non-EU</v>
      </c>
      <c r="J205" s="7" t="n">
        <f aca="false">E205*F205</f>
        <v>5.04</v>
      </c>
      <c r="K205" s="8" t="n">
        <f aca="false">IF(H205="","",1-F205/H205)</f>
        <v>0</v>
      </c>
    </row>
    <row r="206" customFormat="false" ht="15" hidden="false" customHeight="false" outlineLevel="0" collapsed="false">
      <c r="A206" s="0" t="s">
        <v>225</v>
      </c>
      <c r="B206" s="6" t="n">
        <v>40879.4451388889</v>
      </c>
      <c r="C206" s="0" t="s">
        <v>226</v>
      </c>
      <c r="D206" s="0" t="s">
        <v>227</v>
      </c>
      <c r="E206" s="0" t="n">
        <v>10</v>
      </c>
      <c r="F206" s="0" t="n">
        <v>2.08</v>
      </c>
      <c r="G206" s="7" t="str">
        <f aca="false">_xlfn.XLOOKUP(D206,Catalog!$B$2:$B$4102,Catalog!$A$2:$A$4102,"NOT IN CATALOG")</f>
        <v>NOT IN CATALOG</v>
      </c>
      <c r="H206" s="7" t="str">
        <f aca="false">_xlfn.IFNA(VLOOKUP(D206,Catalog!$B$2:$C$4102,2,FALSE()),"")</f>
        <v/>
      </c>
      <c r="I206" s="7" t="str">
        <f aca="false">HLOOKUP(C206,Regions!$B$1:$S$2,2,FALSE())</f>
        <v>Non-EU</v>
      </c>
      <c r="J206" s="7" t="n">
        <f aca="false">E206*F206</f>
        <v>20.8</v>
      </c>
      <c r="K206" s="8" t="str">
        <f aca="false">IF(H206="","",1-F206/H206)</f>
        <v/>
      </c>
    </row>
    <row r="207" customFormat="false" ht="15" hidden="false" customHeight="false" outlineLevel="0" collapsed="false">
      <c r="A207" s="0" t="s">
        <v>225</v>
      </c>
      <c r="B207" s="6" t="n">
        <v>40879.4451388889</v>
      </c>
      <c r="C207" s="0" t="s">
        <v>226</v>
      </c>
      <c r="D207" s="0" t="s">
        <v>87</v>
      </c>
      <c r="E207" s="0" t="n">
        <v>10</v>
      </c>
      <c r="F207" s="0" t="n">
        <v>2.08</v>
      </c>
      <c r="G207" s="7" t="str">
        <f aca="false">_xlfn.XLOOKUP(D207,Catalog!$B$2:$B$4102,Catalog!$A$2:$A$4102,"NOT IN CATALOG")</f>
        <v>JUMBO BAG RED RETROSPOT</v>
      </c>
      <c r="H207" s="7" t="n">
        <f aca="false">_xlfn.IFNA(VLOOKUP(D207,Catalog!$B$2:$C$4102,2,FALSE()),"")</f>
        <v>1.95</v>
      </c>
      <c r="I207" s="7" t="str">
        <f aca="false">HLOOKUP(C207,Regions!$B$1:$S$2,2,FALSE())</f>
        <v>Non-EU</v>
      </c>
      <c r="J207" s="7" t="n">
        <f aca="false">E207*F207</f>
        <v>20.8</v>
      </c>
      <c r="K207" s="8" t="n">
        <f aca="false">IF(H207="","",1-F207/H207)</f>
        <v>-0.0666666666666667</v>
      </c>
    </row>
    <row r="208" customFormat="false" ht="15" hidden="false" customHeight="false" outlineLevel="0" collapsed="false">
      <c r="A208" s="0" t="s">
        <v>225</v>
      </c>
      <c r="B208" s="6" t="n">
        <v>40879.4451388889</v>
      </c>
      <c r="C208" s="0" t="s">
        <v>226</v>
      </c>
      <c r="D208" s="0" t="s">
        <v>228</v>
      </c>
      <c r="E208" s="0" t="n">
        <v>20</v>
      </c>
      <c r="F208" s="0" t="n">
        <v>1.65</v>
      </c>
      <c r="G208" s="7" t="str">
        <f aca="false">_xlfn.XLOOKUP(D208,Catalog!$B$2:$B$4102,Catalog!$A$2:$A$4102,"NOT IN CATALOG")</f>
        <v>NOT IN CATALOG</v>
      </c>
      <c r="H208" s="7" t="str">
        <f aca="false">_xlfn.IFNA(VLOOKUP(D208,Catalog!$B$2:$C$4102,2,FALSE()),"")</f>
        <v/>
      </c>
      <c r="I208" s="7" t="str">
        <f aca="false">HLOOKUP(C208,Regions!$B$1:$S$2,2,FALSE())</f>
        <v>Non-EU</v>
      </c>
      <c r="J208" s="7" t="n">
        <f aca="false">E208*F208</f>
        <v>33</v>
      </c>
      <c r="K208" s="8" t="str">
        <f aca="false">IF(H208="","",1-F208/H208)</f>
        <v/>
      </c>
    </row>
    <row r="209" customFormat="false" ht="15" hidden="false" customHeight="false" outlineLevel="0" collapsed="false">
      <c r="A209" s="0" t="s">
        <v>225</v>
      </c>
      <c r="B209" s="6" t="n">
        <v>40879.4451388889</v>
      </c>
      <c r="C209" s="0" t="s">
        <v>226</v>
      </c>
      <c r="D209" s="0" t="s">
        <v>229</v>
      </c>
      <c r="E209" s="0" t="n">
        <v>24</v>
      </c>
      <c r="F209" s="0" t="n">
        <v>0.85</v>
      </c>
      <c r="G209" s="7" t="str">
        <f aca="false">_xlfn.XLOOKUP(D209,Catalog!$B$2:$B$4102,Catalog!$A$2:$A$4102,"NOT IN CATALOG")</f>
        <v>RETRO PLASTIC ELEPHANT TRAY</v>
      </c>
      <c r="H209" s="7" t="n">
        <f aca="false">_xlfn.IFNA(VLOOKUP(D209,Catalog!$B$2:$C$4102,2,FALSE()),"")</f>
        <v>0.85</v>
      </c>
      <c r="I209" s="7" t="str">
        <f aca="false">HLOOKUP(C209,Regions!$B$1:$S$2,2,FALSE())</f>
        <v>Non-EU</v>
      </c>
      <c r="J209" s="7" t="n">
        <f aca="false">E209*F209</f>
        <v>20.4</v>
      </c>
      <c r="K209" s="8" t="n">
        <f aca="false">IF(H209="","",1-F209/H209)</f>
        <v>0</v>
      </c>
    </row>
    <row r="210" customFormat="false" ht="15" hidden="false" customHeight="false" outlineLevel="0" collapsed="false">
      <c r="A210" s="0" t="s">
        <v>225</v>
      </c>
      <c r="B210" s="6" t="n">
        <v>40879.4451388889</v>
      </c>
      <c r="C210" s="0" t="s">
        <v>226</v>
      </c>
      <c r="D210" s="0" t="s">
        <v>230</v>
      </c>
      <c r="E210" s="0" t="n">
        <v>24</v>
      </c>
      <c r="F210" s="0" t="n">
        <v>2.08</v>
      </c>
      <c r="G210" s="7" t="str">
        <f aca="false">_xlfn.XLOOKUP(D210,Catalog!$B$2:$B$4102,Catalog!$A$2:$A$4102,"NOT IN CATALOG")</f>
        <v>NOT IN CATALOG</v>
      </c>
      <c r="H210" s="7" t="str">
        <f aca="false">_xlfn.IFNA(VLOOKUP(D210,Catalog!$B$2:$C$4102,2,FALSE()),"")</f>
        <v/>
      </c>
      <c r="I210" s="7" t="str">
        <f aca="false">HLOOKUP(C210,Regions!$B$1:$S$2,2,FALSE())</f>
        <v>Non-EU</v>
      </c>
      <c r="J210" s="7" t="n">
        <f aca="false">E210*F210</f>
        <v>49.92</v>
      </c>
      <c r="K210" s="8" t="str">
        <f aca="false">IF(H210="","",1-F210/H210)</f>
        <v/>
      </c>
    </row>
    <row r="211" customFormat="false" ht="15" hidden="false" customHeight="false" outlineLevel="0" collapsed="false">
      <c r="A211" s="0" t="s">
        <v>225</v>
      </c>
      <c r="B211" s="6" t="n">
        <v>40879.4451388889</v>
      </c>
      <c r="C211" s="0" t="s">
        <v>226</v>
      </c>
      <c r="D211" s="0" t="s">
        <v>231</v>
      </c>
      <c r="E211" s="0" t="n">
        <v>24</v>
      </c>
      <c r="F211" s="0" t="n">
        <v>1.25</v>
      </c>
      <c r="G211" s="7" t="str">
        <f aca="false">_xlfn.XLOOKUP(D211,Catalog!$B$2:$B$4102,Catalog!$A$2:$A$4102,"NOT IN CATALOG")</f>
        <v>JUNGLE POPSICLES ICE LOLLY HOLDERS</v>
      </c>
      <c r="H211" s="7" t="n">
        <f aca="false">_xlfn.IFNA(VLOOKUP(D211,Catalog!$B$2:$C$4102,2,FALSE()),"")</f>
        <v>1.25</v>
      </c>
      <c r="I211" s="7" t="str">
        <f aca="false">HLOOKUP(C211,Regions!$B$1:$S$2,2,FALSE())</f>
        <v>Non-EU</v>
      </c>
      <c r="J211" s="7" t="n">
        <f aca="false">E211*F211</f>
        <v>30</v>
      </c>
      <c r="K211" s="8" t="n">
        <f aca="false">IF(H211="","",1-F211/H211)</f>
        <v>0</v>
      </c>
    </row>
    <row r="212" customFormat="false" ht="15" hidden="false" customHeight="false" outlineLevel="0" collapsed="false">
      <c r="A212" s="0" t="s">
        <v>225</v>
      </c>
      <c r="B212" s="6" t="n">
        <v>40879.4451388889</v>
      </c>
      <c r="C212" s="0" t="s">
        <v>226</v>
      </c>
      <c r="D212" s="0" t="s">
        <v>232</v>
      </c>
      <c r="E212" s="0" t="n">
        <v>36</v>
      </c>
      <c r="F212" s="0" t="n">
        <v>2.08</v>
      </c>
      <c r="G212" s="7" t="str">
        <f aca="false">_xlfn.XLOOKUP(D212,Catalog!$B$2:$B$4102,Catalog!$A$2:$A$4102,"NOT IN CATALOG")</f>
        <v>NOT IN CATALOG</v>
      </c>
      <c r="H212" s="7" t="str">
        <f aca="false">_xlfn.IFNA(VLOOKUP(D212,Catalog!$B$2:$C$4102,2,FALSE()),"")</f>
        <v/>
      </c>
      <c r="I212" s="7" t="str">
        <f aca="false">HLOOKUP(C212,Regions!$B$1:$S$2,2,FALSE())</f>
        <v>Non-EU</v>
      </c>
      <c r="J212" s="7" t="n">
        <f aca="false">E212*F212</f>
        <v>74.88</v>
      </c>
      <c r="K212" s="8" t="str">
        <f aca="false">IF(H212="","",1-F212/H212)</f>
        <v/>
      </c>
    </row>
    <row r="213" customFormat="false" ht="15" hidden="false" customHeight="false" outlineLevel="0" collapsed="false">
      <c r="A213" s="0" t="s">
        <v>225</v>
      </c>
      <c r="B213" s="6" t="n">
        <v>40879.4451388889</v>
      </c>
      <c r="C213" s="0" t="s">
        <v>226</v>
      </c>
      <c r="D213" s="0" t="s">
        <v>233</v>
      </c>
      <c r="E213" s="0" t="n">
        <v>12</v>
      </c>
      <c r="F213" s="0" t="n">
        <v>0.42</v>
      </c>
      <c r="G213" s="7" t="str">
        <f aca="false">_xlfn.XLOOKUP(D213,Catalog!$B$2:$B$4102,Catalog!$A$2:$A$4102,"NOT IN CATALOG")</f>
        <v>ELEPHANT, BIRTHDAY CARD,</v>
      </c>
      <c r="H213" s="7" t="n">
        <f aca="false">_xlfn.IFNA(VLOOKUP(D213,Catalog!$B$2:$C$4102,2,FALSE()),"")</f>
        <v>0.42</v>
      </c>
      <c r="I213" s="7" t="str">
        <f aca="false">HLOOKUP(C213,Regions!$B$1:$S$2,2,FALSE())</f>
        <v>Non-EU</v>
      </c>
      <c r="J213" s="7" t="n">
        <f aca="false">E213*F213</f>
        <v>5.04</v>
      </c>
      <c r="K213" s="8" t="n">
        <f aca="false">IF(H213="","",1-F213/H213)</f>
        <v>0</v>
      </c>
    </row>
    <row r="214" customFormat="false" ht="15" hidden="false" customHeight="false" outlineLevel="0" collapsed="false">
      <c r="A214" s="0" t="s">
        <v>225</v>
      </c>
      <c r="B214" s="6" t="n">
        <v>40879.4451388889</v>
      </c>
      <c r="C214" s="0" t="s">
        <v>226</v>
      </c>
      <c r="D214" s="0" t="s">
        <v>172</v>
      </c>
      <c r="E214" s="0" t="n">
        <v>12</v>
      </c>
      <c r="F214" s="0" t="n">
        <v>0.42</v>
      </c>
      <c r="G214" s="7" t="str">
        <f aca="false">_xlfn.XLOOKUP(D214,Catalog!$B$2:$B$4102,Catalog!$A$2:$A$4102,"NOT IN CATALOG")</f>
        <v>VINTAGE KID DOLLY CARD</v>
      </c>
      <c r="H214" s="7" t="n">
        <f aca="false">_xlfn.IFNA(VLOOKUP(D214,Catalog!$B$2:$C$4102,2,FALSE()),"")</f>
        <v>0.42</v>
      </c>
      <c r="I214" s="7" t="str">
        <f aca="false">HLOOKUP(C214,Regions!$B$1:$S$2,2,FALSE())</f>
        <v>Non-EU</v>
      </c>
      <c r="J214" s="7" t="n">
        <f aca="false">E214*F214</f>
        <v>5.04</v>
      </c>
      <c r="K214" s="8" t="n">
        <f aca="false">IF(H214="","",1-F214/H214)</f>
        <v>0</v>
      </c>
    </row>
    <row r="215" customFormat="false" ht="15" hidden="false" customHeight="false" outlineLevel="0" collapsed="false">
      <c r="A215" s="0" t="s">
        <v>225</v>
      </c>
      <c r="B215" s="6" t="n">
        <v>40879.4451388889</v>
      </c>
      <c r="C215" s="0" t="s">
        <v>226</v>
      </c>
      <c r="D215" s="0" t="s">
        <v>234</v>
      </c>
      <c r="E215" s="0" t="n">
        <v>12</v>
      </c>
      <c r="F215" s="0" t="n">
        <v>0.42</v>
      </c>
      <c r="G215" s="7" t="str">
        <f aca="false">_xlfn.XLOOKUP(D215,Catalog!$B$2:$B$4102,Catalog!$A$2:$A$4102,"NOT IN CATALOG")</f>
        <v>TEA PARTY BIRTHDAY CARD</v>
      </c>
      <c r="H215" s="7" t="n">
        <f aca="false">_xlfn.IFNA(VLOOKUP(D215,Catalog!$B$2:$C$4102,2,FALSE()),"")</f>
        <v>0.42</v>
      </c>
      <c r="I215" s="7" t="str">
        <f aca="false">HLOOKUP(C215,Regions!$B$1:$S$2,2,FALSE())</f>
        <v>Non-EU</v>
      </c>
      <c r="J215" s="7" t="n">
        <f aca="false">E215*F215</f>
        <v>5.04</v>
      </c>
      <c r="K215" s="8" t="n">
        <f aca="false">IF(H215="","",1-F215/H215)</f>
        <v>0</v>
      </c>
    </row>
    <row r="216" customFormat="false" ht="15" hidden="false" customHeight="false" outlineLevel="0" collapsed="false">
      <c r="A216" s="0" t="s">
        <v>235</v>
      </c>
      <c r="B216" s="6" t="n">
        <v>40879.4493055556</v>
      </c>
      <c r="C216" s="0" t="s">
        <v>81</v>
      </c>
      <c r="D216" s="0" t="s">
        <v>236</v>
      </c>
      <c r="E216" s="0" t="n">
        <v>4</v>
      </c>
      <c r="F216" s="0" t="n">
        <v>3.75</v>
      </c>
      <c r="G216" s="7" t="str">
        <f aca="false">_xlfn.XLOOKUP(D216,Catalog!$B$2:$B$4102,Catalog!$A$2:$A$4102,"NOT IN CATALOG")</f>
        <v>NOT IN CATALOG</v>
      </c>
      <c r="H216" s="7" t="str">
        <f aca="false">_xlfn.IFNA(VLOOKUP(D216,Catalog!$B$2:$C$4102,2,FALSE()),"")</f>
        <v/>
      </c>
      <c r="I216" s="7" t="str">
        <f aca="false">HLOOKUP(C216,Regions!$B$1:$S$2,2,FALSE())</f>
        <v>EU</v>
      </c>
      <c r="J216" s="7" t="n">
        <f aca="false">E216*F216</f>
        <v>15</v>
      </c>
      <c r="K216" s="8" t="str">
        <f aca="false">IF(H216="","",1-F216/H216)</f>
        <v/>
      </c>
    </row>
    <row r="217" customFormat="false" ht="15" hidden="false" customHeight="false" outlineLevel="0" collapsed="false">
      <c r="A217" s="0" t="s">
        <v>235</v>
      </c>
      <c r="B217" s="6" t="n">
        <v>40879.4493055556</v>
      </c>
      <c r="C217" s="0" t="s">
        <v>81</v>
      </c>
      <c r="D217" s="0" t="s">
        <v>237</v>
      </c>
      <c r="E217" s="0" t="n">
        <v>12</v>
      </c>
      <c r="F217" s="0" t="n">
        <v>1.65</v>
      </c>
      <c r="G217" s="7" t="str">
        <f aca="false">_xlfn.XLOOKUP(D217,Catalog!$B$2:$B$4102,Catalog!$A$2:$A$4102,"NOT IN CATALOG")</f>
        <v>NOT IN CATALOG</v>
      </c>
      <c r="H217" s="7" t="str">
        <f aca="false">_xlfn.IFNA(VLOOKUP(D217,Catalog!$B$2:$C$4102,2,FALSE()),"")</f>
        <v/>
      </c>
      <c r="I217" s="7" t="str">
        <f aca="false">HLOOKUP(C217,Regions!$B$1:$S$2,2,FALSE())</f>
        <v>EU</v>
      </c>
      <c r="J217" s="7" t="n">
        <f aca="false">E217*F217</f>
        <v>19.8</v>
      </c>
      <c r="K217" s="8" t="str">
        <f aca="false">IF(H217="","",1-F217/H217)</f>
        <v/>
      </c>
    </row>
    <row r="218" customFormat="false" ht="15" hidden="false" customHeight="false" outlineLevel="0" collapsed="false">
      <c r="A218" s="0" t="s">
        <v>235</v>
      </c>
      <c r="B218" s="6" t="n">
        <v>40879.4493055556</v>
      </c>
      <c r="C218" s="0" t="s">
        <v>81</v>
      </c>
      <c r="D218" s="0" t="s">
        <v>238</v>
      </c>
      <c r="E218" s="0" t="n">
        <v>10</v>
      </c>
      <c r="F218" s="0" t="n">
        <v>2.08</v>
      </c>
      <c r="G218" s="7" t="str">
        <f aca="false">_xlfn.XLOOKUP(D218,Catalog!$B$2:$B$4102,Catalog!$A$2:$A$4102,"NOT IN CATALOG")</f>
        <v>NOT IN CATALOG</v>
      </c>
      <c r="H218" s="7" t="str">
        <f aca="false">_xlfn.IFNA(VLOOKUP(D218,Catalog!$B$2:$C$4102,2,FALSE()),"")</f>
        <v/>
      </c>
      <c r="I218" s="7" t="str">
        <f aca="false">HLOOKUP(C218,Regions!$B$1:$S$2,2,FALSE())</f>
        <v>EU</v>
      </c>
      <c r="J218" s="7" t="n">
        <f aca="false">E218*F218</f>
        <v>20.8</v>
      </c>
      <c r="K218" s="8" t="str">
        <f aca="false">IF(H218="","",1-F218/H218)</f>
        <v/>
      </c>
    </row>
    <row r="219" customFormat="false" ht="15" hidden="false" customHeight="false" outlineLevel="0" collapsed="false">
      <c r="A219" s="0" t="s">
        <v>235</v>
      </c>
      <c r="B219" s="6" t="n">
        <v>40879.4493055556</v>
      </c>
      <c r="C219" s="0" t="s">
        <v>81</v>
      </c>
      <c r="D219" s="0" t="s">
        <v>239</v>
      </c>
      <c r="E219" s="0" t="n">
        <v>12</v>
      </c>
      <c r="F219" s="0" t="n">
        <v>0.85</v>
      </c>
      <c r="G219" s="7" t="str">
        <f aca="false">_xlfn.XLOOKUP(D219,Catalog!$B$2:$B$4102,Catalog!$A$2:$A$4102,"NOT IN CATALOG")</f>
        <v>SKULLS WATER TRANSFER TATTOOS</v>
      </c>
      <c r="H219" s="7" t="n">
        <f aca="false">_xlfn.IFNA(VLOOKUP(D219,Catalog!$B$2:$C$4102,2,FALSE()),"")</f>
        <v>0.85</v>
      </c>
      <c r="I219" s="7" t="str">
        <f aca="false">HLOOKUP(C219,Regions!$B$1:$S$2,2,FALSE())</f>
        <v>EU</v>
      </c>
      <c r="J219" s="7" t="n">
        <f aca="false">E219*F219</f>
        <v>10.2</v>
      </c>
      <c r="K219" s="8" t="n">
        <f aca="false">IF(H219="","",1-F219/H219)</f>
        <v>0</v>
      </c>
    </row>
    <row r="220" customFormat="false" ht="15" hidden="false" customHeight="false" outlineLevel="0" collapsed="false">
      <c r="A220" s="0" t="s">
        <v>235</v>
      </c>
      <c r="B220" s="6" t="n">
        <v>40879.4493055556</v>
      </c>
      <c r="C220" s="0" t="s">
        <v>81</v>
      </c>
      <c r="D220" s="0" t="s">
        <v>82</v>
      </c>
      <c r="E220" s="0" t="n">
        <v>48</v>
      </c>
      <c r="F220" s="0" t="n">
        <v>1.79</v>
      </c>
      <c r="G220" s="7" t="str">
        <f aca="false">_xlfn.XLOOKUP(D220,Catalog!$B$2:$B$4102,Catalog!$A$2:$A$4102,"NOT IN CATALOG")</f>
        <v>NOT IN CATALOG</v>
      </c>
      <c r="H220" s="7" t="str">
        <f aca="false">_xlfn.IFNA(VLOOKUP(D220,Catalog!$B$2:$C$4102,2,FALSE()),"")</f>
        <v/>
      </c>
      <c r="I220" s="7" t="str">
        <f aca="false">HLOOKUP(C220,Regions!$B$1:$S$2,2,FALSE())</f>
        <v>EU</v>
      </c>
      <c r="J220" s="7" t="n">
        <f aca="false">E220*F220</f>
        <v>85.92</v>
      </c>
      <c r="K220" s="8" t="str">
        <f aca="false">IF(H220="","",1-F220/H220)</f>
        <v/>
      </c>
    </row>
    <row r="221" customFormat="false" ht="15" hidden="false" customHeight="false" outlineLevel="0" collapsed="false">
      <c r="A221" s="0" t="s">
        <v>235</v>
      </c>
      <c r="B221" s="6" t="n">
        <v>40879.4493055556</v>
      </c>
      <c r="C221" s="0" t="s">
        <v>81</v>
      </c>
      <c r="D221" s="0" t="s">
        <v>83</v>
      </c>
      <c r="E221" s="0" t="n">
        <v>12</v>
      </c>
      <c r="F221" s="0" t="n">
        <v>1.65</v>
      </c>
      <c r="G221" s="7" t="str">
        <f aca="false">_xlfn.XLOOKUP(D221,Catalog!$B$2:$B$4102,Catalog!$A$2:$A$4102,"NOT IN CATALOG")</f>
        <v>RED TOADSTOOL LED NIGHT LIGHT</v>
      </c>
      <c r="H221" s="7" t="n">
        <f aca="false">_xlfn.IFNA(VLOOKUP(D221,Catalog!$B$2:$C$4102,2,FALSE()),"")</f>
        <v>1.65</v>
      </c>
      <c r="I221" s="7" t="str">
        <f aca="false">HLOOKUP(C221,Regions!$B$1:$S$2,2,FALSE())</f>
        <v>EU</v>
      </c>
      <c r="J221" s="7" t="n">
        <f aca="false">E221*F221</f>
        <v>19.8</v>
      </c>
      <c r="K221" s="8" t="n">
        <f aca="false">IF(H221="","",1-F221/H221)</f>
        <v>0</v>
      </c>
    </row>
    <row r="222" customFormat="false" ht="15" hidden="false" customHeight="false" outlineLevel="0" collapsed="false">
      <c r="A222" s="0" t="s">
        <v>235</v>
      </c>
      <c r="B222" s="6" t="n">
        <v>40879.4493055556</v>
      </c>
      <c r="C222" s="0" t="s">
        <v>81</v>
      </c>
      <c r="D222" s="0" t="s">
        <v>102</v>
      </c>
      <c r="E222" s="0" t="n">
        <v>5</v>
      </c>
      <c r="F222" s="0" t="n">
        <v>2.1</v>
      </c>
      <c r="G222" s="7" t="str">
        <f aca="false">_xlfn.XLOOKUP(D222,Catalog!$B$2:$B$4102,Catalog!$A$2:$A$4102,"NOT IN CATALOG")</f>
        <v>RECYCLING BAG RETROSPOT</v>
      </c>
      <c r="H222" s="7" t="n">
        <f aca="false">_xlfn.IFNA(VLOOKUP(D222,Catalog!$B$2:$C$4102,2,FALSE()),"")</f>
        <v>2.1</v>
      </c>
      <c r="I222" s="7" t="str">
        <f aca="false">HLOOKUP(C222,Regions!$B$1:$S$2,2,FALSE())</f>
        <v>EU</v>
      </c>
      <c r="J222" s="7" t="n">
        <f aca="false">E222*F222</f>
        <v>10.5</v>
      </c>
      <c r="K222" s="8" t="n">
        <f aca="false">IF(H222="","",1-F222/H222)</f>
        <v>0</v>
      </c>
    </row>
    <row r="223" customFormat="false" ht="15" hidden="false" customHeight="false" outlineLevel="0" collapsed="false">
      <c r="A223" s="0" t="s">
        <v>235</v>
      </c>
      <c r="B223" s="6" t="n">
        <v>40879.4493055556</v>
      </c>
      <c r="C223" s="0" t="s">
        <v>81</v>
      </c>
      <c r="D223" s="0" t="s">
        <v>240</v>
      </c>
      <c r="E223" s="0" t="n">
        <v>10</v>
      </c>
      <c r="F223" s="0" t="n">
        <v>2.08</v>
      </c>
      <c r="G223" s="7" t="str">
        <f aca="false">_xlfn.XLOOKUP(D223,Catalog!$B$2:$B$4102,Catalog!$A$2:$A$4102,"NOT IN CATALOG")</f>
        <v>JUMBO BAG STRAWBERRY</v>
      </c>
      <c r="H223" s="7" t="n">
        <f aca="false">_xlfn.IFNA(VLOOKUP(D223,Catalog!$B$2:$C$4102,2,FALSE()),"")</f>
        <v>1.95</v>
      </c>
      <c r="I223" s="7" t="str">
        <f aca="false">HLOOKUP(C223,Regions!$B$1:$S$2,2,FALSE())</f>
        <v>EU</v>
      </c>
      <c r="J223" s="7" t="n">
        <f aca="false">E223*F223</f>
        <v>20.8</v>
      </c>
      <c r="K223" s="8" t="n">
        <f aca="false">IF(H223="","",1-F223/H223)</f>
        <v>-0.0666666666666667</v>
      </c>
    </row>
    <row r="224" customFormat="false" ht="15" hidden="false" customHeight="false" outlineLevel="0" collapsed="false">
      <c r="A224" s="0" t="s">
        <v>235</v>
      </c>
      <c r="B224" s="6" t="n">
        <v>40879.4493055556</v>
      </c>
      <c r="C224" s="0" t="s">
        <v>81</v>
      </c>
      <c r="D224" s="0" t="s">
        <v>241</v>
      </c>
      <c r="E224" s="0" t="n">
        <v>10</v>
      </c>
      <c r="F224" s="0" t="n">
        <v>2.08</v>
      </c>
      <c r="G224" s="7" t="str">
        <f aca="false">_xlfn.XLOOKUP(D224,Catalog!$B$2:$B$4102,Catalog!$A$2:$A$4102,"NOT IN CATALOG")</f>
        <v>NOT IN CATALOG</v>
      </c>
      <c r="H224" s="7" t="str">
        <f aca="false">_xlfn.IFNA(VLOOKUP(D224,Catalog!$B$2:$C$4102,2,FALSE()),"")</f>
        <v/>
      </c>
      <c r="I224" s="7" t="str">
        <f aca="false">HLOOKUP(C224,Regions!$B$1:$S$2,2,FALSE())</f>
        <v>EU</v>
      </c>
      <c r="J224" s="7" t="n">
        <f aca="false">E224*F224</f>
        <v>20.8</v>
      </c>
      <c r="K224" s="8" t="str">
        <f aca="false">IF(H224="","",1-F224/H224)</f>
        <v/>
      </c>
    </row>
    <row r="225" customFormat="false" ht="15" hidden="false" customHeight="false" outlineLevel="0" collapsed="false">
      <c r="A225" s="0" t="s">
        <v>235</v>
      </c>
      <c r="B225" s="6" t="n">
        <v>40879.4493055556</v>
      </c>
      <c r="C225" s="0" t="s">
        <v>81</v>
      </c>
      <c r="D225" s="0" t="s">
        <v>227</v>
      </c>
      <c r="E225" s="0" t="n">
        <v>10</v>
      </c>
      <c r="F225" s="0" t="n">
        <v>2.08</v>
      </c>
      <c r="G225" s="7" t="str">
        <f aca="false">_xlfn.XLOOKUP(D225,Catalog!$B$2:$B$4102,Catalog!$A$2:$A$4102,"NOT IN CATALOG")</f>
        <v>NOT IN CATALOG</v>
      </c>
      <c r="H225" s="7" t="str">
        <f aca="false">_xlfn.IFNA(VLOOKUP(D225,Catalog!$B$2:$C$4102,2,FALSE()),"")</f>
        <v/>
      </c>
      <c r="I225" s="7" t="str">
        <f aca="false">HLOOKUP(C225,Regions!$B$1:$S$2,2,FALSE())</f>
        <v>EU</v>
      </c>
      <c r="J225" s="7" t="n">
        <f aca="false">E225*F225</f>
        <v>20.8</v>
      </c>
      <c r="K225" s="8" t="str">
        <f aca="false">IF(H225="","",1-F225/H225)</f>
        <v/>
      </c>
    </row>
    <row r="226" customFormat="false" ht="15" hidden="false" customHeight="false" outlineLevel="0" collapsed="false">
      <c r="A226" s="0" t="s">
        <v>235</v>
      </c>
      <c r="B226" s="6" t="n">
        <v>40879.4493055556</v>
      </c>
      <c r="C226" s="0" t="s">
        <v>81</v>
      </c>
      <c r="D226" s="0" t="s">
        <v>242</v>
      </c>
      <c r="E226" s="0" t="n">
        <v>12</v>
      </c>
      <c r="F226" s="0" t="n">
        <v>1.65</v>
      </c>
      <c r="G226" s="7" t="str">
        <f aca="false">_xlfn.XLOOKUP(D226,Catalog!$B$2:$B$4102,Catalog!$A$2:$A$4102,"NOT IN CATALOG")</f>
        <v>PLASTERS IN TIN SPACEBOY</v>
      </c>
      <c r="H226" s="7" t="n">
        <f aca="false">_xlfn.IFNA(VLOOKUP(D226,Catalog!$B$2:$C$4102,2,FALSE()),"")</f>
        <v>1.65</v>
      </c>
      <c r="I226" s="7" t="str">
        <f aca="false">HLOOKUP(C226,Regions!$B$1:$S$2,2,FALSE())</f>
        <v>EU</v>
      </c>
      <c r="J226" s="7" t="n">
        <f aca="false">E226*F226</f>
        <v>19.8</v>
      </c>
      <c r="K226" s="8" t="n">
        <f aca="false">IF(H226="","",1-F226/H226)</f>
        <v>0</v>
      </c>
    </row>
    <row r="227" customFormat="false" ht="15" hidden="false" customHeight="false" outlineLevel="0" collapsed="false">
      <c r="A227" s="0" t="s">
        <v>235</v>
      </c>
      <c r="B227" s="6" t="n">
        <v>40879.4493055556</v>
      </c>
      <c r="C227" s="0" t="s">
        <v>81</v>
      </c>
      <c r="D227" s="0" t="s">
        <v>243</v>
      </c>
      <c r="E227" s="0" t="n">
        <v>24</v>
      </c>
      <c r="F227" s="0" t="n">
        <v>1.65</v>
      </c>
      <c r="G227" s="7" t="str">
        <f aca="false">_xlfn.XLOOKUP(D227,Catalog!$B$2:$B$4102,Catalog!$A$2:$A$4102,"NOT IN CATALOG")</f>
        <v>PLASTERS IN TIN WOODLAND ANIMALS</v>
      </c>
      <c r="H227" s="7" t="n">
        <f aca="false">_xlfn.IFNA(VLOOKUP(D227,Catalog!$B$2:$C$4102,2,FALSE()),"")</f>
        <v>1.65</v>
      </c>
      <c r="I227" s="7" t="str">
        <f aca="false">HLOOKUP(C227,Regions!$B$1:$S$2,2,FALSE())</f>
        <v>EU</v>
      </c>
      <c r="J227" s="7" t="n">
        <f aca="false">E227*F227</f>
        <v>39.6</v>
      </c>
      <c r="K227" s="8" t="n">
        <f aca="false">IF(H227="","",1-F227/H227)</f>
        <v>0</v>
      </c>
    </row>
    <row r="228" customFormat="false" ht="15" hidden="false" customHeight="false" outlineLevel="0" collapsed="false">
      <c r="A228" s="0" t="s">
        <v>235</v>
      </c>
      <c r="B228" s="6" t="n">
        <v>40879.4493055556</v>
      </c>
      <c r="C228" s="0" t="s">
        <v>81</v>
      </c>
      <c r="D228" s="0" t="s">
        <v>151</v>
      </c>
      <c r="E228" s="0" t="n">
        <v>24</v>
      </c>
      <c r="F228" s="0" t="n">
        <v>1.65</v>
      </c>
      <c r="G228" s="7" t="str">
        <f aca="false">_xlfn.XLOOKUP(D228,Catalog!$B$2:$B$4102,Catalog!$A$2:$A$4102,"NOT IN CATALOG")</f>
        <v>PLASTERS IN TIN CIRCUS PARADE</v>
      </c>
      <c r="H228" s="7" t="n">
        <f aca="false">_xlfn.IFNA(VLOOKUP(D228,Catalog!$B$2:$C$4102,2,FALSE()),"")</f>
        <v>1.65</v>
      </c>
      <c r="I228" s="7" t="str">
        <f aca="false">HLOOKUP(C228,Regions!$B$1:$S$2,2,FALSE())</f>
        <v>EU</v>
      </c>
      <c r="J228" s="7" t="n">
        <f aca="false">E228*F228</f>
        <v>39.6</v>
      </c>
      <c r="K228" s="8" t="n">
        <f aca="false">IF(H228="","",1-F228/H228)</f>
        <v>0</v>
      </c>
    </row>
    <row r="229" customFormat="false" ht="15" hidden="false" customHeight="false" outlineLevel="0" collapsed="false">
      <c r="A229" s="0" t="s">
        <v>235</v>
      </c>
      <c r="B229" s="6" t="n">
        <v>40879.4493055556</v>
      </c>
      <c r="C229" s="0" t="s">
        <v>81</v>
      </c>
      <c r="D229" s="0" t="s">
        <v>148</v>
      </c>
      <c r="E229" s="0" t="n">
        <v>24</v>
      </c>
      <c r="F229" s="0" t="n">
        <v>1.65</v>
      </c>
      <c r="G229" s="7" t="str">
        <f aca="false">_xlfn.XLOOKUP(D229,Catalog!$B$2:$B$4102,Catalog!$A$2:$A$4102,"NOT IN CATALOG")</f>
        <v>PLASTERS IN TIN VINTAGE PAISLEY</v>
      </c>
      <c r="H229" s="7" t="n">
        <f aca="false">_xlfn.IFNA(VLOOKUP(D229,Catalog!$B$2:$C$4102,2,FALSE()),"")</f>
        <v>1.65</v>
      </c>
      <c r="I229" s="7" t="str">
        <f aca="false">HLOOKUP(C229,Regions!$B$1:$S$2,2,FALSE())</f>
        <v>EU</v>
      </c>
      <c r="J229" s="7" t="n">
        <f aca="false">E229*F229</f>
        <v>39.6</v>
      </c>
      <c r="K229" s="8" t="n">
        <f aca="false">IF(H229="","",1-F229/H229)</f>
        <v>0</v>
      </c>
    </row>
    <row r="230" customFormat="false" ht="15" hidden="false" customHeight="false" outlineLevel="0" collapsed="false">
      <c r="A230" s="0" t="s">
        <v>235</v>
      </c>
      <c r="B230" s="6" t="n">
        <v>40879.4493055556</v>
      </c>
      <c r="C230" s="0" t="s">
        <v>81</v>
      </c>
      <c r="D230" s="0" t="s">
        <v>244</v>
      </c>
      <c r="E230" s="0" t="n">
        <v>24</v>
      </c>
      <c r="F230" s="0" t="n">
        <v>1.65</v>
      </c>
      <c r="G230" s="7" t="str">
        <f aca="false">_xlfn.XLOOKUP(D230,Catalog!$B$2:$B$4102,Catalog!$A$2:$A$4102,"NOT IN CATALOG")</f>
        <v>PLASTERS IN TIN STRONGMAN</v>
      </c>
      <c r="H230" s="7" t="n">
        <f aca="false">_xlfn.IFNA(VLOOKUP(D230,Catalog!$B$2:$C$4102,2,FALSE()),"")</f>
        <v>1.65</v>
      </c>
      <c r="I230" s="7" t="str">
        <f aca="false">HLOOKUP(C230,Regions!$B$1:$S$2,2,FALSE())</f>
        <v>EU</v>
      </c>
      <c r="J230" s="7" t="n">
        <f aca="false">E230*F230</f>
        <v>39.6</v>
      </c>
      <c r="K230" s="8" t="n">
        <f aca="false">IF(H230="","",1-F230/H230)</f>
        <v>0</v>
      </c>
    </row>
    <row r="231" customFormat="false" ht="15" hidden="false" customHeight="false" outlineLevel="0" collapsed="false">
      <c r="A231" s="0" t="s">
        <v>235</v>
      </c>
      <c r="B231" s="6" t="n">
        <v>40879.4493055556</v>
      </c>
      <c r="C231" s="0" t="s">
        <v>81</v>
      </c>
      <c r="D231" s="0" t="s">
        <v>149</v>
      </c>
      <c r="E231" s="0" t="n">
        <v>24</v>
      </c>
      <c r="F231" s="0" t="n">
        <v>1.65</v>
      </c>
      <c r="G231" s="7" t="str">
        <f aca="false">_xlfn.XLOOKUP(D231,Catalog!$B$2:$B$4102,Catalog!$A$2:$A$4102,"NOT IN CATALOG")</f>
        <v>PLASTERS IN TIN SKULLS</v>
      </c>
      <c r="H231" s="7" t="n">
        <f aca="false">_xlfn.IFNA(VLOOKUP(D231,Catalog!$B$2:$C$4102,2,FALSE()),"")</f>
        <v>1.65</v>
      </c>
      <c r="I231" s="7" t="str">
        <f aca="false">HLOOKUP(C231,Regions!$B$1:$S$2,2,FALSE())</f>
        <v>EU</v>
      </c>
      <c r="J231" s="7" t="n">
        <f aca="false">E231*F231</f>
        <v>39.6</v>
      </c>
      <c r="K231" s="8" t="n">
        <f aca="false">IF(H231="","",1-F231/H231)</f>
        <v>0</v>
      </c>
    </row>
    <row r="232" customFormat="false" ht="15" hidden="false" customHeight="false" outlineLevel="0" collapsed="false">
      <c r="A232" s="0" t="s">
        <v>235</v>
      </c>
      <c r="B232" s="6" t="n">
        <v>40879.4493055556</v>
      </c>
      <c r="C232" s="0" t="s">
        <v>81</v>
      </c>
      <c r="D232" s="0" t="s">
        <v>64</v>
      </c>
      <c r="E232" s="0" t="n">
        <v>8</v>
      </c>
      <c r="F232" s="0" t="n">
        <v>3.75</v>
      </c>
      <c r="G232" s="7" t="str">
        <f aca="false">_xlfn.XLOOKUP(D232,Catalog!$B$2:$B$4102,Catalog!$A$2:$A$4102,"NOT IN CATALOG")</f>
        <v>ALARM CLOCK BAKELIKE GREEN</v>
      </c>
      <c r="H232" s="7" t="n">
        <f aca="false">_xlfn.IFNA(VLOOKUP(D232,Catalog!$B$2:$C$4102,2,FALSE()),"")</f>
        <v>3.75</v>
      </c>
      <c r="I232" s="7" t="str">
        <f aca="false">HLOOKUP(C232,Regions!$B$1:$S$2,2,FALSE())</f>
        <v>EU</v>
      </c>
      <c r="J232" s="7" t="n">
        <f aca="false">E232*F232</f>
        <v>30</v>
      </c>
      <c r="K232" s="8" t="n">
        <f aca="false">IF(H232="","",1-F232/H232)</f>
        <v>0</v>
      </c>
    </row>
    <row r="233" customFormat="false" ht="15" hidden="false" customHeight="false" outlineLevel="0" collapsed="false">
      <c r="A233" s="0" t="s">
        <v>235</v>
      </c>
      <c r="B233" s="6" t="n">
        <v>40879.4493055556</v>
      </c>
      <c r="C233" s="0" t="s">
        <v>81</v>
      </c>
      <c r="D233" s="0" t="s">
        <v>62</v>
      </c>
      <c r="E233" s="0" t="n">
        <v>8</v>
      </c>
      <c r="F233" s="0" t="n">
        <v>3.75</v>
      </c>
      <c r="G233" s="7" t="str">
        <f aca="false">_xlfn.XLOOKUP(D233,Catalog!$B$2:$B$4102,Catalog!$A$2:$A$4102,"NOT IN CATALOG")</f>
        <v>ALARM CLOCK BAKELIKE CHOCOLATE</v>
      </c>
      <c r="H233" s="7" t="n">
        <f aca="false">_xlfn.IFNA(VLOOKUP(D233,Catalog!$B$2:$C$4102,2,FALSE()),"")</f>
        <v>3.75</v>
      </c>
      <c r="I233" s="7" t="str">
        <f aca="false">HLOOKUP(C233,Regions!$B$1:$S$2,2,FALSE())</f>
        <v>EU</v>
      </c>
      <c r="J233" s="7" t="n">
        <f aca="false">E233*F233</f>
        <v>30</v>
      </c>
      <c r="K233" s="8" t="n">
        <f aca="false">IF(H233="","",1-F233/H233)</f>
        <v>0</v>
      </c>
    </row>
    <row r="234" customFormat="false" ht="15" hidden="false" customHeight="false" outlineLevel="0" collapsed="false">
      <c r="A234" s="0" t="s">
        <v>235</v>
      </c>
      <c r="B234" s="6" t="n">
        <v>40879.4493055556</v>
      </c>
      <c r="C234" s="0" t="s">
        <v>81</v>
      </c>
      <c r="D234" s="0" t="s">
        <v>65</v>
      </c>
      <c r="E234" s="0" t="n">
        <v>8</v>
      </c>
      <c r="F234" s="0" t="n">
        <v>3.75</v>
      </c>
      <c r="G234" s="7" t="str">
        <f aca="false">_xlfn.XLOOKUP(D234,Catalog!$B$2:$B$4102,Catalog!$A$2:$A$4102,"NOT IN CATALOG")</f>
        <v>ALARM CLOCK BAKELIKE PINK</v>
      </c>
      <c r="H234" s="7" t="n">
        <f aca="false">_xlfn.IFNA(VLOOKUP(D234,Catalog!$B$2:$C$4102,2,FALSE()),"")</f>
        <v>3.75</v>
      </c>
      <c r="I234" s="7" t="str">
        <f aca="false">HLOOKUP(C234,Regions!$B$1:$S$2,2,FALSE())</f>
        <v>EU</v>
      </c>
      <c r="J234" s="7" t="n">
        <f aca="false">E234*F234</f>
        <v>30</v>
      </c>
      <c r="K234" s="8" t="n">
        <f aca="false">IF(H234="","",1-F234/H234)</f>
        <v>0</v>
      </c>
    </row>
    <row r="235" customFormat="false" ht="15" hidden="false" customHeight="false" outlineLevel="0" collapsed="false">
      <c r="A235" s="0" t="s">
        <v>235</v>
      </c>
      <c r="B235" s="6" t="n">
        <v>40879.4493055556</v>
      </c>
      <c r="C235" s="0" t="s">
        <v>81</v>
      </c>
      <c r="D235" s="0" t="s">
        <v>63</v>
      </c>
      <c r="E235" s="0" t="n">
        <v>8</v>
      </c>
      <c r="F235" s="0" t="n">
        <v>3.75</v>
      </c>
      <c r="G235" s="7" t="str">
        <f aca="false">_xlfn.XLOOKUP(D235,Catalog!$B$2:$B$4102,Catalog!$A$2:$A$4102,"NOT IN CATALOG")</f>
        <v>ALARM CLOCK BAKELIKE RED</v>
      </c>
      <c r="H235" s="7" t="n">
        <f aca="false">_xlfn.IFNA(VLOOKUP(D235,Catalog!$B$2:$C$4102,2,FALSE()),"")</f>
        <v>3.75</v>
      </c>
      <c r="I235" s="7" t="str">
        <f aca="false">HLOOKUP(C235,Regions!$B$1:$S$2,2,FALSE())</f>
        <v>EU</v>
      </c>
      <c r="J235" s="7" t="n">
        <f aca="false">E235*F235</f>
        <v>30</v>
      </c>
      <c r="K235" s="8" t="n">
        <f aca="false">IF(H235="","",1-F235/H235)</f>
        <v>0</v>
      </c>
    </row>
    <row r="236" customFormat="false" ht="15" hidden="false" customHeight="false" outlineLevel="0" collapsed="false">
      <c r="A236" s="0" t="s">
        <v>235</v>
      </c>
      <c r="B236" s="6" t="n">
        <v>40879.4493055556</v>
      </c>
      <c r="C236" s="0" t="s">
        <v>81</v>
      </c>
      <c r="D236" s="0" t="s">
        <v>66</v>
      </c>
      <c r="E236" s="0" t="n">
        <v>8</v>
      </c>
      <c r="F236" s="0" t="n">
        <v>3.75</v>
      </c>
      <c r="G236" s="7" t="str">
        <f aca="false">_xlfn.XLOOKUP(D236,Catalog!$B$2:$B$4102,Catalog!$A$2:$A$4102,"NOT IN CATALOG")</f>
        <v>ALARM CLOCK BAKELIKE IVORY</v>
      </c>
      <c r="H236" s="7" t="n">
        <f aca="false">_xlfn.IFNA(VLOOKUP(D236,Catalog!$B$2:$C$4102,2,FALSE()),"")</f>
        <v>3.75</v>
      </c>
      <c r="I236" s="7" t="str">
        <f aca="false">HLOOKUP(C236,Regions!$B$1:$S$2,2,FALSE())</f>
        <v>EU</v>
      </c>
      <c r="J236" s="7" t="n">
        <f aca="false">E236*F236</f>
        <v>30</v>
      </c>
      <c r="K236" s="8" t="n">
        <f aca="false">IF(H236="","",1-F236/H236)</f>
        <v>0</v>
      </c>
    </row>
    <row r="237" customFormat="false" ht="15" hidden="false" customHeight="false" outlineLevel="0" collapsed="false">
      <c r="A237" s="0" t="s">
        <v>235</v>
      </c>
      <c r="B237" s="6" t="n">
        <v>40879.4493055556</v>
      </c>
      <c r="C237" s="0" t="s">
        <v>81</v>
      </c>
      <c r="D237" s="0" t="s">
        <v>245</v>
      </c>
      <c r="E237" s="0" t="n">
        <v>2</v>
      </c>
      <c r="F237" s="0" t="n">
        <v>9.95</v>
      </c>
      <c r="G237" s="7" t="str">
        <f aca="false">_xlfn.XLOOKUP(D237,Catalog!$B$2:$B$4102,Catalog!$A$2:$A$4102,"NOT IN CATALOG")</f>
        <v>CHILDS BREAKFAST SET DOLLY GIRL</v>
      </c>
      <c r="H237" s="7" t="n">
        <f aca="false">_xlfn.IFNA(VLOOKUP(D237,Catalog!$B$2:$C$4102,2,FALSE()),"")</f>
        <v>9.95</v>
      </c>
      <c r="I237" s="7" t="str">
        <f aca="false">HLOOKUP(C237,Regions!$B$1:$S$2,2,FALSE())</f>
        <v>EU</v>
      </c>
      <c r="J237" s="7" t="n">
        <f aca="false">E237*F237</f>
        <v>19.9</v>
      </c>
      <c r="K237" s="8" t="n">
        <f aca="false">IF(H237="","",1-F237/H237)</f>
        <v>0</v>
      </c>
    </row>
    <row r="238" customFormat="false" ht="15" hidden="false" customHeight="false" outlineLevel="0" collapsed="false">
      <c r="A238" s="0" t="s">
        <v>235</v>
      </c>
      <c r="B238" s="6" t="n">
        <v>40879.4493055556</v>
      </c>
      <c r="C238" s="0" t="s">
        <v>81</v>
      </c>
      <c r="D238" s="0" t="s">
        <v>246</v>
      </c>
      <c r="E238" s="0" t="n">
        <v>20</v>
      </c>
      <c r="F238" s="0" t="n">
        <v>0.42</v>
      </c>
      <c r="G238" s="7" t="str">
        <f aca="false">_xlfn.XLOOKUP(D238,Catalog!$B$2:$B$4102,Catalog!$A$2:$A$4102,"NOT IN CATALOG")</f>
        <v>NOT IN CATALOG</v>
      </c>
      <c r="H238" s="7" t="str">
        <f aca="false">_xlfn.IFNA(VLOOKUP(D238,Catalog!$B$2:$C$4102,2,FALSE()),"")</f>
        <v/>
      </c>
      <c r="I238" s="7" t="str">
        <f aca="false">HLOOKUP(C238,Regions!$B$1:$S$2,2,FALSE())</f>
        <v>EU</v>
      </c>
      <c r="J238" s="7" t="n">
        <f aca="false">E238*F238</f>
        <v>8.4</v>
      </c>
      <c r="K238" s="8" t="str">
        <f aca="false">IF(H238="","",1-F238/H238)</f>
        <v/>
      </c>
    </row>
    <row r="239" customFormat="false" ht="15" hidden="false" customHeight="false" outlineLevel="0" collapsed="false">
      <c r="A239" s="0" t="s">
        <v>235</v>
      </c>
      <c r="B239" s="6" t="n">
        <v>40879.4493055556</v>
      </c>
      <c r="C239" s="0" t="s">
        <v>81</v>
      </c>
      <c r="D239" s="0" t="s">
        <v>247</v>
      </c>
      <c r="E239" s="0" t="n">
        <v>24</v>
      </c>
      <c r="F239" s="0" t="n">
        <v>1.25</v>
      </c>
      <c r="G239" s="7" t="str">
        <f aca="false">_xlfn.XLOOKUP(D239,Catalog!$B$2:$B$4102,Catalog!$A$2:$A$4102,"NOT IN CATALOG")</f>
        <v>NOT IN CATALOG</v>
      </c>
      <c r="H239" s="7" t="str">
        <f aca="false">_xlfn.IFNA(VLOOKUP(D239,Catalog!$B$2:$C$4102,2,FALSE()),"")</f>
        <v/>
      </c>
      <c r="I239" s="7" t="str">
        <f aca="false">HLOOKUP(C239,Regions!$B$1:$S$2,2,FALSE())</f>
        <v>EU</v>
      </c>
      <c r="J239" s="7" t="n">
        <f aca="false">E239*F239</f>
        <v>30</v>
      </c>
      <c r="K239" s="8" t="str">
        <f aca="false">IF(H239="","",1-F239/H239)</f>
        <v/>
      </c>
    </row>
    <row r="240" customFormat="false" ht="15" hidden="false" customHeight="false" outlineLevel="0" collapsed="false">
      <c r="A240" s="0" t="s">
        <v>235</v>
      </c>
      <c r="B240" s="6" t="n">
        <v>40879.4493055556</v>
      </c>
      <c r="C240" s="0" t="s">
        <v>81</v>
      </c>
      <c r="D240" s="0" t="s">
        <v>248</v>
      </c>
      <c r="E240" s="0" t="n">
        <v>2</v>
      </c>
      <c r="F240" s="0" t="n">
        <v>8.5</v>
      </c>
      <c r="G240" s="7" t="str">
        <f aca="false">_xlfn.XLOOKUP(D240,Catalog!$B$2:$B$4102,Catalog!$A$2:$A$4102,"NOT IN CATALOG")</f>
        <v>CHILDS BREAKFAST SET CIRCUS PARADE</v>
      </c>
      <c r="H240" s="7" t="n">
        <f aca="false">_xlfn.IFNA(VLOOKUP(D240,Catalog!$B$2:$C$4102,2,FALSE()),"")</f>
        <v>8.5</v>
      </c>
      <c r="I240" s="7" t="str">
        <f aca="false">HLOOKUP(C240,Regions!$B$1:$S$2,2,FALSE())</f>
        <v>EU</v>
      </c>
      <c r="J240" s="7" t="n">
        <f aca="false">E240*F240</f>
        <v>17</v>
      </c>
      <c r="K240" s="8" t="n">
        <f aca="false">IF(H240="","",1-F240/H240)</f>
        <v>0</v>
      </c>
    </row>
    <row r="241" customFormat="false" ht="15" hidden="false" customHeight="false" outlineLevel="0" collapsed="false">
      <c r="A241" s="0" t="s">
        <v>235</v>
      </c>
      <c r="B241" s="6" t="n">
        <v>40879.4493055556</v>
      </c>
      <c r="C241" s="0" t="s">
        <v>81</v>
      </c>
      <c r="D241" s="0" t="s">
        <v>127</v>
      </c>
      <c r="E241" s="0" t="n">
        <v>6</v>
      </c>
      <c r="F241" s="0" t="n">
        <v>2.55</v>
      </c>
      <c r="G241" s="7" t="str">
        <f aca="false">_xlfn.XLOOKUP(D241,Catalog!$B$2:$B$4102,Catalog!$A$2:$A$4102,"NOT IN CATALOG")</f>
        <v>COFFEE MUG CAT + BIRD DESIGN</v>
      </c>
      <c r="H241" s="7" t="n">
        <f aca="false">_xlfn.IFNA(VLOOKUP(D241,Catalog!$B$2:$C$4102,2,FALSE()),"")</f>
        <v>2.55</v>
      </c>
      <c r="I241" s="7" t="str">
        <f aca="false">HLOOKUP(C241,Regions!$B$1:$S$2,2,FALSE())</f>
        <v>EU</v>
      </c>
      <c r="J241" s="7" t="n">
        <f aca="false">E241*F241</f>
        <v>15.3</v>
      </c>
      <c r="K241" s="8" t="n">
        <f aca="false">IF(H241="","",1-F241/H241)</f>
        <v>0</v>
      </c>
    </row>
    <row r="242" customFormat="false" ht="15" hidden="false" customHeight="false" outlineLevel="0" collapsed="false">
      <c r="A242" s="0" t="s">
        <v>235</v>
      </c>
      <c r="B242" s="6" t="n">
        <v>40879.4493055556</v>
      </c>
      <c r="C242" s="0" t="s">
        <v>81</v>
      </c>
      <c r="D242" s="0" t="s">
        <v>249</v>
      </c>
      <c r="E242" s="0" t="n">
        <v>6</v>
      </c>
      <c r="F242" s="0" t="n">
        <v>2.55</v>
      </c>
      <c r="G242" s="7" t="str">
        <f aca="false">_xlfn.XLOOKUP(D242,Catalog!$B$2:$B$4102,Catalog!$A$2:$A$4102,"NOT IN CATALOG")</f>
        <v>COFFEE MUG PEARS DESIGN</v>
      </c>
      <c r="H242" s="7" t="n">
        <f aca="false">_xlfn.IFNA(VLOOKUP(D242,Catalog!$B$2:$C$4102,2,FALSE()),"")</f>
        <v>2.55</v>
      </c>
      <c r="I242" s="7" t="str">
        <f aca="false">HLOOKUP(C242,Regions!$B$1:$S$2,2,FALSE())</f>
        <v>EU</v>
      </c>
      <c r="J242" s="7" t="n">
        <f aca="false">E242*F242</f>
        <v>15.3</v>
      </c>
      <c r="K242" s="8" t="n">
        <f aca="false">IF(H242="","",1-F242/H242)</f>
        <v>0</v>
      </c>
    </row>
    <row r="243" customFormat="false" ht="15" hidden="false" customHeight="false" outlineLevel="0" collapsed="false">
      <c r="A243" s="0" t="s">
        <v>235</v>
      </c>
      <c r="B243" s="6" t="n">
        <v>40879.4493055556</v>
      </c>
      <c r="C243" s="0" t="s">
        <v>81</v>
      </c>
      <c r="D243" s="0" t="s">
        <v>250</v>
      </c>
      <c r="E243" s="0" t="n">
        <v>6</v>
      </c>
      <c r="F243" s="0" t="n">
        <v>2.55</v>
      </c>
      <c r="G243" s="7" t="str">
        <f aca="false">_xlfn.XLOOKUP(D243,Catalog!$B$2:$B$4102,Catalog!$A$2:$A$4102,"NOT IN CATALOG")</f>
        <v>COFFEE MUG APPLES DESIGN</v>
      </c>
      <c r="H243" s="7" t="n">
        <f aca="false">_xlfn.IFNA(VLOOKUP(D243,Catalog!$B$2:$C$4102,2,FALSE()),"")</f>
        <v>2.55</v>
      </c>
      <c r="I243" s="7" t="str">
        <f aca="false">HLOOKUP(C243,Regions!$B$1:$S$2,2,FALSE())</f>
        <v>EU</v>
      </c>
      <c r="J243" s="7" t="n">
        <f aca="false">E243*F243</f>
        <v>15.3</v>
      </c>
      <c r="K243" s="8" t="n">
        <f aca="false">IF(H243="","",1-F243/H243)</f>
        <v>0</v>
      </c>
    </row>
    <row r="244" customFormat="false" ht="15" hidden="false" customHeight="false" outlineLevel="0" collapsed="false">
      <c r="A244" s="0" t="s">
        <v>235</v>
      </c>
      <c r="B244" s="6" t="n">
        <v>40879.4493055556</v>
      </c>
      <c r="C244" s="0" t="s">
        <v>81</v>
      </c>
      <c r="D244" s="0" t="s">
        <v>251</v>
      </c>
      <c r="E244" s="0" t="n">
        <v>12</v>
      </c>
      <c r="F244" s="0" t="n">
        <v>1.06</v>
      </c>
      <c r="G244" s="7" t="str">
        <f aca="false">_xlfn.XLOOKUP(D244,Catalog!$B$2:$B$4102,Catalog!$A$2:$A$4102,"NOT IN CATALOG")</f>
        <v>SILVER MUG BONE CHINA TREE OF LIFE</v>
      </c>
      <c r="H244" s="7" t="n">
        <f aca="false">_xlfn.IFNA(VLOOKUP(D244,Catalog!$B$2:$C$4102,2,FALSE()),"")</f>
        <v>1.95</v>
      </c>
      <c r="I244" s="7" t="str">
        <f aca="false">HLOOKUP(C244,Regions!$B$1:$S$2,2,FALSE())</f>
        <v>EU</v>
      </c>
      <c r="J244" s="7" t="n">
        <f aca="false">E244*F244</f>
        <v>12.72</v>
      </c>
      <c r="K244" s="8" t="n">
        <f aca="false">IF(H244="","",1-F244/H244)</f>
        <v>0.456410256410256</v>
      </c>
    </row>
    <row r="245" customFormat="false" ht="15" hidden="false" customHeight="false" outlineLevel="0" collapsed="false">
      <c r="A245" s="0" t="s">
        <v>235</v>
      </c>
      <c r="B245" s="6" t="n">
        <v>40879.4493055556</v>
      </c>
      <c r="C245" s="0" t="s">
        <v>81</v>
      </c>
      <c r="D245" s="0" t="s">
        <v>252</v>
      </c>
      <c r="E245" s="0" t="n">
        <v>24</v>
      </c>
      <c r="F245" s="0" t="n">
        <v>1.65</v>
      </c>
      <c r="G245" s="7" t="str">
        <f aca="false">_xlfn.XLOOKUP(D245,Catalog!$B$2:$B$4102,Catalog!$A$2:$A$4102,"NOT IN CATALOG")</f>
        <v>NOT IN CATALOG</v>
      </c>
      <c r="H245" s="7" t="str">
        <f aca="false">_xlfn.IFNA(VLOOKUP(D245,Catalog!$B$2:$C$4102,2,FALSE()),"")</f>
        <v/>
      </c>
      <c r="I245" s="7" t="str">
        <f aca="false">HLOOKUP(C245,Regions!$B$1:$S$2,2,FALSE())</f>
        <v>EU</v>
      </c>
      <c r="J245" s="7" t="n">
        <f aca="false">E245*F245</f>
        <v>39.6</v>
      </c>
      <c r="K245" s="8" t="str">
        <f aca="false">IF(H245="","",1-F245/H245)</f>
        <v/>
      </c>
    </row>
    <row r="246" customFormat="false" ht="15" hidden="false" customHeight="false" outlineLevel="0" collapsed="false">
      <c r="A246" s="0" t="s">
        <v>235</v>
      </c>
      <c r="B246" s="6" t="n">
        <v>40879.4493055556</v>
      </c>
      <c r="C246" s="0" t="s">
        <v>81</v>
      </c>
      <c r="D246" s="0" t="s">
        <v>253</v>
      </c>
      <c r="E246" s="0" t="n">
        <v>24</v>
      </c>
      <c r="F246" s="0" t="n">
        <v>1.65</v>
      </c>
      <c r="G246" s="7" t="str">
        <f aca="false">_xlfn.XLOOKUP(D246,Catalog!$B$2:$B$4102,Catalog!$A$2:$A$4102,"NOT IN CATALOG")</f>
        <v>NOT IN CATALOG</v>
      </c>
      <c r="H246" s="7" t="str">
        <f aca="false">_xlfn.IFNA(VLOOKUP(D246,Catalog!$B$2:$C$4102,2,FALSE()),"")</f>
        <v/>
      </c>
      <c r="I246" s="7" t="str">
        <f aca="false">HLOOKUP(C246,Regions!$B$1:$S$2,2,FALSE())</f>
        <v>EU</v>
      </c>
      <c r="J246" s="7" t="n">
        <f aca="false">E246*F246</f>
        <v>39.6</v>
      </c>
      <c r="K246" s="8" t="str">
        <f aca="false">IF(H246="","",1-F246/H246)</f>
        <v/>
      </c>
    </row>
    <row r="247" customFormat="false" ht="15" hidden="false" customHeight="false" outlineLevel="0" collapsed="false">
      <c r="A247" s="0" t="s">
        <v>235</v>
      </c>
      <c r="B247" s="6" t="n">
        <v>40879.4493055556</v>
      </c>
      <c r="C247" s="0" t="s">
        <v>81</v>
      </c>
      <c r="D247" s="0" t="s">
        <v>254</v>
      </c>
      <c r="E247" s="0" t="n">
        <v>10</v>
      </c>
      <c r="F247" s="0" t="n">
        <v>0.85</v>
      </c>
      <c r="G247" s="7" t="str">
        <f aca="false">_xlfn.XLOOKUP(D247,Catalog!$B$2:$B$4102,Catalog!$A$2:$A$4102,"NOT IN CATALOG")</f>
        <v>RED SPOTTY CHARLOTTE BAG</v>
      </c>
      <c r="H247" s="7" t="n">
        <f aca="false">_xlfn.IFNA(VLOOKUP(D247,Catalog!$B$2:$C$4102,2,FALSE()),"")</f>
        <v>0.85</v>
      </c>
      <c r="I247" s="7" t="str">
        <f aca="false">HLOOKUP(C247,Regions!$B$1:$S$2,2,FALSE())</f>
        <v>EU</v>
      </c>
      <c r="J247" s="7" t="n">
        <f aca="false">E247*F247</f>
        <v>8.5</v>
      </c>
      <c r="K247" s="8" t="n">
        <f aca="false">IF(H247="","",1-F247/H247)</f>
        <v>0</v>
      </c>
    </row>
    <row r="248" customFormat="false" ht="15" hidden="false" customHeight="false" outlineLevel="0" collapsed="false">
      <c r="A248" s="0" t="s">
        <v>235</v>
      </c>
      <c r="B248" s="6" t="n">
        <v>40879.4493055556</v>
      </c>
      <c r="C248" s="0" t="s">
        <v>81</v>
      </c>
      <c r="D248" s="0" t="s">
        <v>255</v>
      </c>
      <c r="E248" s="0" t="n">
        <v>10</v>
      </c>
      <c r="F248" s="0" t="n">
        <v>0.85</v>
      </c>
      <c r="G248" s="7" t="str">
        <f aca="false">_xlfn.XLOOKUP(D248,Catalog!$B$2:$B$4102,Catalog!$A$2:$A$4102,"NOT IN CATALOG")</f>
        <v>CHARLOTTE BAG DOLLY GIRL DESIGN</v>
      </c>
      <c r="H248" s="7" t="n">
        <f aca="false">_xlfn.IFNA(VLOOKUP(D248,Catalog!$B$2:$C$4102,2,FALSE()),"")</f>
        <v>0.85</v>
      </c>
      <c r="I248" s="7" t="str">
        <f aca="false">HLOOKUP(C248,Regions!$B$1:$S$2,2,FALSE())</f>
        <v>EU</v>
      </c>
      <c r="J248" s="7" t="n">
        <f aca="false">E248*F248</f>
        <v>8.5</v>
      </c>
      <c r="K248" s="8" t="n">
        <f aca="false">IF(H248="","",1-F248/H248)</f>
        <v>0</v>
      </c>
    </row>
    <row r="249" customFormat="false" ht="15" hidden="false" customHeight="false" outlineLevel="0" collapsed="false">
      <c r="A249" s="0" t="s">
        <v>235</v>
      </c>
      <c r="B249" s="6" t="n">
        <v>40879.4493055556</v>
      </c>
      <c r="C249" s="0" t="s">
        <v>81</v>
      </c>
      <c r="D249" s="0" t="s">
        <v>84</v>
      </c>
      <c r="E249" s="0" t="n">
        <v>10</v>
      </c>
      <c r="F249" s="0" t="n">
        <v>0.85</v>
      </c>
      <c r="G249" s="7" t="str">
        <f aca="false">_xlfn.XLOOKUP(D249,Catalog!$B$2:$B$4102,Catalog!$A$2:$A$4102,"NOT IN CATALOG")</f>
        <v>CHARLOTTE BAG SUKI DESIGN</v>
      </c>
      <c r="H249" s="7" t="n">
        <f aca="false">_xlfn.IFNA(VLOOKUP(D249,Catalog!$B$2:$C$4102,2,FALSE()),"")</f>
        <v>0.85</v>
      </c>
      <c r="I249" s="7" t="str">
        <f aca="false">HLOOKUP(C249,Regions!$B$1:$S$2,2,FALSE())</f>
        <v>EU</v>
      </c>
      <c r="J249" s="7" t="n">
        <f aca="false">E249*F249</f>
        <v>8.5</v>
      </c>
      <c r="K249" s="8" t="n">
        <f aca="false">IF(H249="","",1-F249/H249)</f>
        <v>0</v>
      </c>
    </row>
    <row r="250" customFormat="false" ht="15" hidden="false" customHeight="false" outlineLevel="0" collapsed="false">
      <c r="A250" s="0" t="s">
        <v>235</v>
      </c>
      <c r="B250" s="6" t="n">
        <v>40879.4493055556</v>
      </c>
      <c r="C250" s="0" t="s">
        <v>81</v>
      </c>
      <c r="D250" s="0" t="s">
        <v>256</v>
      </c>
      <c r="E250" s="0" t="n">
        <v>10</v>
      </c>
      <c r="F250" s="0" t="n">
        <v>0.85</v>
      </c>
      <c r="G250" s="7" t="str">
        <f aca="false">_xlfn.XLOOKUP(D250,Catalog!$B$2:$B$4102,Catalog!$A$2:$A$4102,"NOT IN CATALOG")</f>
        <v>STRAWBERRY CHARLOTTE BAG</v>
      </c>
      <c r="H250" s="7" t="n">
        <f aca="false">_xlfn.IFNA(VLOOKUP(D250,Catalog!$B$2:$C$4102,2,FALSE()),"")</f>
        <v>0.85</v>
      </c>
      <c r="I250" s="7" t="str">
        <f aca="false">HLOOKUP(C250,Regions!$B$1:$S$2,2,FALSE())</f>
        <v>EU</v>
      </c>
      <c r="J250" s="7" t="n">
        <f aca="false">E250*F250</f>
        <v>8.5</v>
      </c>
      <c r="K250" s="8" t="n">
        <f aca="false">IF(H250="","",1-F250/H250)</f>
        <v>0</v>
      </c>
    </row>
    <row r="251" customFormat="false" ht="15" hidden="false" customHeight="false" outlineLevel="0" collapsed="false">
      <c r="A251" s="0" t="s">
        <v>235</v>
      </c>
      <c r="B251" s="6" t="n">
        <v>40879.4493055556</v>
      </c>
      <c r="C251" s="0" t="s">
        <v>81</v>
      </c>
      <c r="D251" s="0" t="s">
        <v>257</v>
      </c>
      <c r="E251" s="0" t="n">
        <v>8</v>
      </c>
      <c r="F251" s="0" t="n">
        <v>1.95</v>
      </c>
      <c r="G251" s="7" t="str">
        <f aca="false">_xlfn.XLOOKUP(D251,Catalog!$B$2:$B$4102,Catalog!$A$2:$A$4102,"NOT IN CATALOG")</f>
        <v>RETROSPOT CHILDRENS APRON</v>
      </c>
      <c r="H251" s="7" t="n">
        <f aca="false">_xlfn.IFNA(VLOOKUP(D251,Catalog!$B$2:$C$4102,2,FALSE()),"")</f>
        <v>1.95</v>
      </c>
      <c r="I251" s="7" t="str">
        <f aca="false">HLOOKUP(C251,Regions!$B$1:$S$2,2,FALSE())</f>
        <v>EU</v>
      </c>
      <c r="J251" s="7" t="n">
        <f aca="false">E251*F251</f>
        <v>15.6</v>
      </c>
      <c r="K251" s="8" t="n">
        <f aca="false">IF(H251="","",1-F251/H251)</f>
        <v>0</v>
      </c>
    </row>
    <row r="252" customFormat="false" ht="15" hidden="false" customHeight="false" outlineLevel="0" collapsed="false">
      <c r="A252" s="0" t="s">
        <v>235</v>
      </c>
      <c r="B252" s="6" t="n">
        <v>40879.4493055556</v>
      </c>
      <c r="C252" s="0" t="s">
        <v>81</v>
      </c>
      <c r="D252" s="0" t="s">
        <v>258</v>
      </c>
      <c r="E252" s="0" t="n">
        <v>8</v>
      </c>
      <c r="F252" s="0" t="n">
        <v>1.95</v>
      </c>
      <c r="G252" s="7" t="str">
        <f aca="false">_xlfn.XLOOKUP(D252,Catalog!$B$2:$B$4102,Catalog!$A$2:$A$4102,"NOT IN CATALOG")</f>
        <v>CHILDRENS APRON APPLES DESIGN</v>
      </c>
      <c r="H252" s="7" t="n">
        <f aca="false">_xlfn.IFNA(VLOOKUP(D252,Catalog!$B$2:$C$4102,2,FALSE()),"")</f>
        <v>1.95</v>
      </c>
      <c r="I252" s="7" t="str">
        <f aca="false">HLOOKUP(C252,Regions!$B$1:$S$2,2,FALSE())</f>
        <v>EU</v>
      </c>
      <c r="J252" s="7" t="n">
        <f aca="false">E252*F252</f>
        <v>15.6</v>
      </c>
      <c r="K252" s="8" t="n">
        <f aca="false">IF(H252="","",1-F252/H252)</f>
        <v>0</v>
      </c>
    </row>
    <row r="253" customFormat="false" ht="15" hidden="false" customHeight="false" outlineLevel="0" collapsed="false">
      <c r="A253" s="0" t="s">
        <v>235</v>
      </c>
      <c r="B253" s="6" t="n">
        <v>40879.4493055556</v>
      </c>
      <c r="C253" s="0" t="s">
        <v>81</v>
      </c>
      <c r="D253" s="0" t="s">
        <v>259</v>
      </c>
      <c r="E253" s="0" t="n">
        <v>48</v>
      </c>
      <c r="F253" s="0" t="n">
        <v>1.25</v>
      </c>
      <c r="G253" s="7" t="str">
        <f aca="false">_xlfn.XLOOKUP(D253,Catalog!$B$2:$B$4102,Catalog!$A$2:$A$4102,"NOT IN CATALOG")</f>
        <v>PIG KEYRING WITH LIGHT &amp; SOUND</v>
      </c>
      <c r="H253" s="7" t="n">
        <f aca="false">_xlfn.IFNA(VLOOKUP(D253,Catalog!$B$2:$C$4102,2,FALSE()),"")</f>
        <v>1.25</v>
      </c>
      <c r="I253" s="7" t="str">
        <f aca="false">HLOOKUP(C253,Regions!$B$1:$S$2,2,FALSE())</f>
        <v>EU</v>
      </c>
      <c r="J253" s="7" t="n">
        <f aca="false">E253*F253</f>
        <v>60</v>
      </c>
      <c r="K253" s="8" t="n">
        <f aca="false">IF(H253="","",1-F253/H253)</f>
        <v>0</v>
      </c>
    </row>
    <row r="254" customFormat="false" ht="15" hidden="false" customHeight="false" outlineLevel="0" collapsed="false">
      <c r="A254" s="0" t="s">
        <v>235</v>
      </c>
      <c r="B254" s="6" t="n">
        <v>40879.4493055556</v>
      </c>
      <c r="C254" s="0" t="s">
        <v>81</v>
      </c>
      <c r="D254" s="0" t="s">
        <v>260</v>
      </c>
      <c r="E254" s="0" t="n">
        <v>12</v>
      </c>
      <c r="F254" s="0" t="n">
        <v>1.45</v>
      </c>
      <c r="G254" s="7" t="str">
        <f aca="false">_xlfn.XLOOKUP(D254,Catalog!$B$2:$B$4102,Catalog!$A$2:$A$4102,"NOT IN CATALOG")</f>
        <v>CERAMIC STRAWBERRY CAKE MONEY BANK</v>
      </c>
      <c r="H254" s="7" t="n">
        <f aca="false">_xlfn.IFNA(VLOOKUP(D254,Catalog!$B$2:$C$4102,2,FALSE()),"")</f>
        <v>1.45</v>
      </c>
      <c r="I254" s="7" t="str">
        <f aca="false">HLOOKUP(C254,Regions!$B$1:$S$2,2,FALSE())</f>
        <v>EU</v>
      </c>
      <c r="J254" s="7" t="n">
        <f aca="false">E254*F254</f>
        <v>17.4</v>
      </c>
      <c r="K254" s="8" t="n">
        <f aca="false">IF(H254="","",1-F254/H254)</f>
        <v>0</v>
      </c>
    </row>
    <row r="255" customFormat="false" ht="15" hidden="false" customHeight="false" outlineLevel="0" collapsed="false">
      <c r="A255" s="0" t="s">
        <v>235</v>
      </c>
      <c r="B255" s="6" t="n">
        <v>40879.4493055556</v>
      </c>
      <c r="C255" s="0" t="s">
        <v>81</v>
      </c>
      <c r="D255" s="0" t="s">
        <v>38</v>
      </c>
      <c r="E255" s="0" t="n">
        <v>12</v>
      </c>
      <c r="F255" s="0" t="n">
        <v>0.39</v>
      </c>
      <c r="G255" s="7" t="str">
        <f aca="false">_xlfn.XLOOKUP(D255,Catalog!$B$2:$B$4102,Catalog!$A$2:$A$4102,"NOT IN CATALOG")</f>
        <v>MAGNETS PACK OF 4 SWALLOWS</v>
      </c>
      <c r="H255" s="7" t="n">
        <f aca="false">_xlfn.IFNA(VLOOKUP(D255,Catalog!$B$2:$C$4102,2,FALSE()),"")</f>
        <v>1.25</v>
      </c>
      <c r="I255" s="7" t="str">
        <f aca="false">HLOOKUP(C255,Regions!$B$1:$S$2,2,FALSE())</f>
        <v>EU</v>
      </c>
      <c r="J255" s="7" t="n">
        <f aca="false">E255*F255</f>
        <v>4.68</v>
      </c>
      <c r="K255" s="8" t="n">
        <f aca="false">IF(H255="","",1-F255/H255)</f>
        <v>0.688</v>
      </c>
    </row>
    <row r="256" customFormat="false" ht="15" hidden="false" customHeight="false" outlineLevel="0" collapsed="false">
      <c r="A256" s="0" t="s">
        <v>235</v>
      </c>
      <c r="B256" s="6" t="n">
        <v>40879.4493055556</v>
      </c>
      <c r="C256" s="0" t="s">
        <v>81</v>
      </c>
      <c r="D256" s="0" t="s">
        <v>189</v>
      </c>
      <c r="E256" s="0" t="n">
        <v>12</v>
      </c>
      <c r="F256" s="0" t="n">
        <v>1.25</v>
      </c>
      <c r="G256" s="7" t="str">
        <f aca="false">_xlfn.XLOOKUP(D256,Catalog!$B$2:$B$4102,Catalog!$A$2:$A$4102,"NOT IN CATALOG")</f>
        <v>MAGNETS PACK OF 4 CHILDHOOD MEMORY</v>
      </c>
      <c r="H256" s="7" t="n">
        <f aca="false">_xlfn.IFNA(VLOOKUP(D256,Catalog!$B$2:$C$4102,2,FALSE()),"")</f>
        <v>1.25</v>
      </c>
      <c r="I256" s="7" t="str">
        <f aca="false">HLOOKUP(C256,Regions!$B$1:$S$2,2,FALSE())</f>
        <v>EU</v>
      </c>
      <c r="J256" s="7" t="n">
        <f aca="false">E256*F256</f>
        <v>15</v>
      </c>
      <c r="K256" s="8" t="n">
        <f aca="false">IF(H256="","",1-F256/H256)</f>
        <v>0</v>
      </c>
    </row>
    <row r="257" customFormat="false" ht="15" hidden="false" customHeight="false" outlineLevel="0" collapsed="false">
      <c r="A257" s="0" t="s">
        <v>235</v>
      </c>
      <c r="B257" s="6" t="n">
        <v>40879.4493055556</v>
      </c>
      <c r="C257" s="0" t="s">
        <v>81</v>
      </c>
      <c r="D257" s="0" t="s">
        <v>188</v>
      </c>
      <c r="E257" s="0" t="n">
        <v>12</v>
      </c>
      <c r="F257" s="0" t="n">
        <v>0.39</v>
      </c>
      <c r="G257" s="7" t="str">
        <f aca="false">_xlfn.XLOOKUP(D257,Catalog!$B$2:$B$4102,Catalog!$A$2:$A$4102,"NOT IN CATALOG")</f>
        <v>MAGNETS PACK OF 4 RETRO PHOTO</v>
      </c>
      <c r="H257" s="7" t="n">
        <f aca="false">_xlfn.IFNA(VLOOKUP(D257,Catalog!$B$2:$C$4102,2,FALSE()),"")</f>
        <v>1.25</v>
      </c>
      <c r="I257" s="7" t="str">
        <f aca="false">HLOOKUP(C257,Regions!$B$1:$S$2,2,FALSE())</f>
        <v>EU</v>
      </c>
      <c r="J257" s="7" t="n">
        <f aca="false">E257*F257</f>
        <v>4.68</v>
      </c>
      <c r="K257" s="8" t="n">
        <f aca="false">IF(H257="","",1-F257/H257)</f>
        <v>0.688</v>
      </c>
    </row>
    <row r="258" customFormat="false" ht="15" hidden="false" customHeight="false" outlineLevel="0" collapsed="false">
      <c r="A258" s="0" t="s">
        <v>235</v>
      </c>
      <c r="B258" s="6" t="n">
        <v>40879.4493055556</v>
      </c>
      <c r="C258" s="0" t="s">
        <v>81</v>
      </c>
      <c r="D258" s="0" t="s">
        <v>187</v>
      </c>
      <c r="E258" s="0" t="n">
        <v>12</v>
      </c>
      <c r="F258" s="0" t="n">
        <v>0.39</v>
      </c>
      <c r="G258" s="7" t="str">
        <f aca="false">_xlfn.XLOOKUP(D258,Catalog!$B$2:$B$4102,Catalog!$A$2:$A$4102,"NOT IN CATALOG")</f>
        <v>MAGNETS PACK OF 4 HOME SWEET HOME</v>
      </c>
      <c r="H258" s="7" t="n">
        <f aca="false">_xlfn.IFNA(VLOOKUP(D258,Catalog!$B$2:$C$4102,2,FALSE()),"")</f>
        <v>1.25</v>
      </c>
      <c r="I258" s="7" t="str">
        <f aca="false">HLOOKUP(C258,Regions!$B$1:$S$2,2,FALSE())</f>
        <v>EU</v>
      </c>
      <c r="J258" s="7" t="n">
        <f aca="false">E258*F258</f>
        <v>4.68</v>
      </c>
      <c r="K258" s="8" t="n">
        <f aca="false">IF(H258="","",1-F258/H258)</f>
        <v>0.688</v>
      </c>
    </row>
    <row r="259" customFormat="false" ht="15" hidden="false" customHeight="false" outlineLevel="0" collapsed="false">
      <c r="A259" s="0" t="s">
        <v>235</v>
      </c>
      <c r="B259" s="6" t="n">
        <v>40879.4493055556</v>
      </c>
      <c r="C259" s="0" t="s">
        <v>81</v>
      </c>
      <c r="D259" s="0" t="s">
        <v>186</v>
      </c>
      <c r="E259" s="0" t="n">
        <v>12</v>
      </c>
      <c r="F259" s="0" t="n">
        <v>0.39</v>
      </c>
      <c r="G259" s="7" t="str">
        <f aca="false">_xlfn.XLOOKUP(D259,Catalog!$B$2:$B$4102,Catalog!$A$2:$A$4102,"NOT IN CATALOG")</f>
        <v>MAGNETS PACK OF 4 VINTAGE COLLAGE</v>
      </c>
      <c r="H259" s="7" t="n">
        <f aca="false">_xlfn.IFNA(VLOOKUP(D259,Catalog!$B$2:$C$4102,2,FALSE()),"")</f>
        <v>1.25</v>
      </c>
      <c r="I259" s="7" t="str">
        <f aca="false">HLOOKUP(C259,Regions!$B$1:$S$2,2,FALSE())</f>
        <v>EU</v>
      </c>
      <c r="J259" s="7" t="n">
        <f aca="false">E259*F259</f>
        <v>4.68</v>
      </c>
      <c r="K259" s="8" t="n">
        <f aca="false">IF(H259="","",1-F259/H259)</f>
        <v>0.688</v>
      </c>
    </row>
    <row r="260" customFormat="false" ht="15" hidden="false" customHeight="false" outlineLevel="0" collapsed="false">
      <c r="A260" s="0" t="s">
        <v>235</v>
      </c>
      <c r="B260" s="6" t="n">
        <v>40879.4493055556</v>
      </c>
      <c r="C260" s="0" t="s">
        <v>81</v>
      </c>
      <c r="D260" s="0" t="s">
        <v>261</v>
      </c>
      <c r="E260" s="0" t="n">
        <v>12</v>
      </c>
      <c r="F260" s="0" t="n">
        <v>1.45</v>
      </c>
      <c r="G260" s="7" t="str">
        <f aca="false">_xlfn.XLOOKUP(D260,Catalog!$B$2:$B$4102,Catalog!$A$2:$A$4102,"NOT IN CATALOG")</f>
        <v>NOT IN CATALOG</v>
      </c>
      <c r="H260" s="7" t="str">
        <f aca="false">_xlfn.IFNA(VLOOKUP(D260,Catalog!$B$2:$C$4102,2,FALSE()),"")</f>
        <v/>
      </c>
      <c r="I260" s="7" t="str">
        <f aca="false">HLOOKUP(C260,Regions!$B$1:$S$2,2,FALSE())</f>
        <v>EU</v>
      </c>
      <c r="J260" s="7" t="n">
        <f aca="false">E260*F260</f>
        <v>17.4</v>
      </c>
      <c r="K260" s="8" t="str">
        <f aca="false">IF(H260="","",1-F260/H260)</f>
        <v/>
      </c>
    </row>
    <row r="261" customFormat="false" ht="15" hidden="false" customHeight="false" outlineLevel="0" collapsed="false">
      <c r="A261" s="0" t="s">
        <v>235</v>
      </c>
      <c r="B261" s="6" t="n">
        <v>40879.4493055556</v>
      </c>
      <c r="C261" s="0" t="s">
        <v>81</v>
      </c>
      <c r="D261" s="0" t="s">
        <v>262</v>
      </c>
      <c r="E261" s="0" t="n">
        <v>6</v>
      </c>
      <c r="F261" s="0" t="n">
        <v>2.55</v>
      </c>
      <c r="G261" s="7" t="str">
        <f aca="false">_xlfn.XLOOKUP(D261,Catalog!$B$2:$B$4102,Catalog!$A$2:$A$4102,"NOT IN CATALOG")</f>
        <v>LUNCH BOX WITH CUTLERY RETROSPOT</v>
      </c>
      <c r="H261" s="7" t="n">
        <f aca="false">_xlfn.IFNA(VLOOKUP(D261,Catalog!$B$2:$C$4102,2,FALSE()),"")</f>
        <v>2.55</v>
      </c>
      <c r="I261" s="7" t="str">
        <f aca="false">HLOOKUP(C261,Regions!$B$1:$S$2,2,FALSE())</f>
        <v>EU</v>
      </c>
      <c r="J261" s="7" t="n">
        <f aca="false">E261*F261</f>
        <v>15.3</v>
      </c>
      <c r="K261" s="8" t="n">
        <f aca="false">IF(H261="","",1-F261/H261)</f>
        <v>0</v>
      </c>
    </row>
    <row r="262" customFormat="false" ht="15" hidden="false" customHeight="false" outlineLevel="0" collapsed="false">
      <c r="A262" s="0" t="s">
        <v>235</v>
      </c>
      <c r="B262" s="6" t="n">
        <v>40879.4493055556</v>
      </c>
      <c r="C262" s="0" t="s">
        <v>81</v>
      </c>
      <c r="D262" s="0" t="s">
        <v>263</v>
      </c>
      <c r="E262" s="0" t="n">
        <v>6</v>
      </c>
      <c r="F262" s="0" t="n">
        <v>2.55</v>
      </c>
      <c r="G262" s="7" t="str">
        <f aca="false">_xlfn.XLOOKUP(D262,Catalog!$B$2:$B$4102,Catalog!$A$2:$A$4102,"NOT IN CATALOG")</f>
        <v>SKULL LUNCH BOX WITH CUTLERY</v>
      </c>
      <c r="H262" s="7" t="n">
        <f aca="false">_xlfn.IFNA(VLOOKUP(D262,Catalog!$B$2:$C$4102,2,FALSE()),"")</f>
        <v>2.55</v>
      </c>
      <c r="I262" s="7" t="str">
        <f aca="false">HLOOKUP(C262,Regions!$B$1:$S$2,2,FALSE())</f>
        <v>EU</v>
      </c>
      <c r="J262" s="7" t="n">
        <f aca="false">E262*F262</f>
        <v>15.3</v>
      </c>
      <c r="K262" s="8" t="n">
        <f aca="false">IF(H262="","",1-F262/H262)</f>
        <v>0</v>
      </c>
    </row>
    <row r="263" customFormat="false" ht="15" hidden="false" customHeight="false" outlineLevel="0" collapsed="false">
      <c r="A263" s="0" t="s">
        <v>235</v>
      </c>
      <c r="B263" s="6" t="n">
        <v>40879.4493055556</v>
      </c>
      <c r="C263" s="0" t="s">
        <v>81</v>
      </c>
      <c r="D263" s="0" t="s">
        <v>264</v>
      </c>
      <c r="E263" s="0" t="n">
        <v>6</v>
      </c>
      <c r="F263" s="0" t="n">
        <v>2.55</v>
      </c>
      <c r="G263" s="7" t="str">
        <f aca="false">_xlfn.XLOOKUP(D263,Catalog!$B$2:$B$4102,Catalog!$A$2:$A$4102,"NOT IN CATALOG")</f>
        <v>STRAWBERRY LUNCH BOX WITH CUTLERY</v>
      </c>
      <c r="H263" s="7" t="n">
        <f aca="false">_xlfn.IFNA(VLOOKUP(D263,Catalog!$B$2:$C$4102,2,FALSE()),"")</f>
        <v>2.55</v>
      </c>
      <c r="I263" s="7" t="str">
        <f aca="false">HLOOKUP(C263,Regions!$B$1:$S$2,2,FALSE())</f>
        <v>EU</v>
      </c>
      <c r="J263" s="7" t="n">
        <f aca="false">E263*F263</f>
        <v>15.3</v>
      </c>
      <c r="K263" s="8" t="n">
        <f aca="false">IF(H263="","",1-F263/H263)</f>
        <v>0</v>
      </c>
    </row>
    <row r="264" customFormat="false" ht="15" hidden="false" customHeight="false" outlineLevel="0" collapsed="false">
      <c r="A264" s="0" t="s">
        <v>235</v>
      </c>
      <c r="B264" s="6" t="n">
        <v>40879.4493055556</v>
      </c>
      <c r="C264" s="0" t="s">
        <v>81</v>
      </c>
      <c r="D264" s="0" t="s">
        <v>265</v>
      </c>
      <c r="E264" s="0" t="n">
        <v>6</v>
      </c>
      <c r="F264" s="0" t="n">
        <v>2.55</v>
      </c>
      <c r="G264" s="7" t="str">
        <f aca="false">_xlfn.XLOOKUP(D264,Catalog!$B$2:$B$4102,Catalog!$A$2:$A$4102,"NOT IN CATALOG")</f>
        <v>DINOSAUR LUNCH BOX WITH CUTLERY</v>
      </c>
      <c r="H264" s="7" t="n">
        <f aca="false">_xlfn.IFNA(VLOOKUP(D264,Catalog!$B$2:$C$4102,2,FALSE()),"")</f>
        <v>2.55</v>
      </c>
      <c r="I264" s="7" t="str">
        <f aca="false">HLOOKUP(C264,Regions!$B$1:$S$2,2,FALSE())</f>
        <v>EU</v>
      </c>
      <c r="J264" s="7" t="n">
        <f aca="false">E264*F264</f>
        <v>15.3</v>
      </c>
      <c r="K264" s="8" t="n">
        <f aca="false">IF(H264="","",1-F264/H264)</f>
        <v>0</v>
      </c>
    </row>
    <row r="265" customFormat="false" ht="15" hidden="false" customHeight="false" outlineLevel="0" collapsed="false">
      <c r="A265" s="0" t="s">
        <v>235</v>
      </c>
      <c r="B265" s="6" t="n">
        <v>40879.4493055556</v>
      </c>
      <c r="C265" s="0" t="s">
        <v>81</v>
      </c>
      <c r="D265" s="0" t="s">
        <v>266</v>
      </c>
      <c r="E265" s="0" t="n">
        <v>8</v>
      </c>
      <c r="F265" s="0" t="n">
        <v>1.25</v>
      </c>
      <c r="G265" s="7" t="str">
        <f aca="false">_xlfn.XLOOKUP(D265,Catalog!$B$2:$B$4102,Catalog!$A$2:$A$4102,"NOT IN CATALOG")</f>
        <v>NOT IN CATALOG</v>
      </c>
      <c r="H265" s="7" t="str">
        <f aca="false">_xlfn.IFNA(VLOOKUP(D265,Catalog!$B$2:$C$4102,2,FALSE()),"")</f>
        <v/>
      </c>
      <c r="I265" s="7" t="str">
        <f aca="false">HLOOKUP(C265,Regions!$B$1:$S$2,2,FALSE())</f>
        <v>EU</v>
      </c>
      <c r="J265" s="7" t="n">
        <f aca="false">E265*F265</f>
        <v>10</v>
      </c>
      <c r="K265" s="8" t="str">
        <f aca="false">IF(H265="","",1-F265/H265)</f>
        <v/>
      </c>
    </row>
    <row r="266" customFormat="false" ht="15" hidden="false" customHeight="false" outlineLevel="0" collapsed="false">
      <c r="A266" s="0" t="s">
        <v>235</v>
      </c>
      <c r="B266" s="6" t="n">
        <v>40879.4493055556</v>
      </c>
      <c r="C266" s="0" t="s">
        <v>81</v>
      </c>
      <c r="D266" s="0" t="s">
        <v>267</v>
      </c>
      <c r="E266" s="0" t="n">
        <v>12</v>
      </c>
      <c r="F266" s="0" t="n">
        <v>1.65</v>
      </c>
      <c r="G266" s="7" t="str">
        <f aca="false">_xlfn.XLOOKUP(D266,Catalog!$B$2:$B$4102,Catalog!$A$2:$A$4102,"NOT IN CATALOG")</f>
        <v>WOODEN SCHOOL COLOURING SET</v>
      </c>
      <c r="H266" s="7" t="n">
        <f aca="false">_xlfn.IFNA(VLOOKUP(D266,Catalog!$B$2:$C$4102,2,FALSE()),"")</f>
        <v>1.65</v>
      </c>
      <c r="I266" s="7" t="str">
        <f aca="false">HLOOKUP(C266,Regions!$B$1:$S$2,2,FALSE())</f>
        <v>EU</v>
      </c>
      <c r="J266" s="7" t="n">
        <f aca="false">E266*F266</f>
        <v>19.8</v>
      </c>
      <c r="K266" s="8" t="n">
        <f aca="false">IF(H266="","",1-F266/H266)</f>
        <v>0</v>
      </c>
    </row>
    <row r="267" customFormat="false" ht="15" hidden="false" customHeight="false" outlineLevel="0" collapsed="false">
      <c r="A267" s="0" t="s">
        <v>235</v>
      </c>
      <c r="B267" s="6" t="n">
        <v>40879.4493055556</v>
      </c>
      <c r="C267" s="0" t="s">
        <v>81</v>
      </c>
      <c r="D267" s="0" t="s">
        <v>144</v>
      </c>
      <c r="E267" s="0" t="n">
        <v>12</v>
      </c>
      <c r="F267" s="0" t="n">
        <v>1.25</v>
      </c>
      <c r="G267" s="7" t="str">
        <f aca="false">_xlfn.XLOOKUP(D267,Catalog!$B$2:$B$4102,Catalog!$A$2:$A$4102,"NOT IN CATALOG")</f>
        <v>BLUE HARMONICA IN BOX</v>
      </c>
      <c r="H267" s="7" t="n">
        <f aca="false">_xlfn.IFNA(VLOOKUP(D267,Catalog!$B$2:$C$4102,2,FALSE()),"")</f>
        <v>1.25</v>
      </c>
      <c r="I267" s="7" t="str">
        <f aca="false">HLOOKUP(C267,Regions!$B$1:$S$2,2,FALSE())</f>
        <v>EU</v>
      </c>
      <c r="J267" s="7" t="n">
        <f aca="false">E267*F267</f>
        <v>15</v>
      </c>
      <c r="K267" s="8" t="n">
        <f aca="false">IF(H267="","",1-F267/H267)</f>
        <v>0</v>
      </c>
    </row>
    <row r="268" customFormat="false" ht="15" hidden="false" customHeight="false" outlineLevel="0" collapsed="false">
      <c r="A268" s="0" t="s">
        <v>235</v>
      </c>
      <c r="B268" s="6" t="n">
        <v>40879.4493055556</v>
      </c>
      <c r="C268" s="0" t="s">
        <v>81</v>
      </c>
      <c r="D268" s="0" t="s">
        <v>268</v>
      </c>
      <c r="E268" s="0" t="n">
        <v>6</v>
      </c>
      <c r="F268" s="0" t="n">
        <v>2.89</v>
      </c>
      <c r="G268" s="7" t="str">
        <f aca="false">_xlfn.XLOOKUP(D268,Catalog!$B$2:$B$4102,Catalog!$A$2:$A$4102,"NOT IN CATALOG")</f>
        <v>NOT IN CATALOG</v>
      </c>
      <c r="H268" s="7" t="str">
        <f aca="false">_xlfn.IFNA(VLOOKUP(D268,Catalog!$B$2:$C$4102,2,FALSE()),"")</f>
        <v/>
      </c>
      <c r="I268" s="7" t="str">
        <f aca="false">HLOOKUP(C268,Regions!$B$1:$S$2,2,FALSE())</f>
        <v>EU</v>
      </c>
      <c r="J268" s="7" t="n">
        <f aca="false">E268*F268</f>
        <v>17.34</v>
      </c>
      <c r="K268" s="8" t="str">
        <f aca="false">IF(H268="","",1-F268/H268)</f>
        <v/>
      </c>
    </row>
    <row r="269" customFormat="false" ht="15" hidden="false" customHeight="false" outlineLevel="0" collapsed="false">
      <c r="A269" s="0" t="s">
        <v>235</v>
      </c>
      <c r="B269" s="6" t="n">
        <v>40879.4493055556</v>
      </c>
      <c r="C269" s="0" t="s">
        <v>81</v>
      </c>
      <c r="D269" s="0" t="s">
        <v>269</v>
      </c>
      <c r="E269" s="0" t="n">
        <v>6</v>
      </c>
      <c r="F269" s="0" t="n">
        <v>1.95</v>
      </c>
      <c r="G269" s="7" t="str">
        <f aca="false">_xlfn.XLOOKUP(D269,Catalog!$B$2:$B$4102,Catalog!$A$2:$A$4102,"NOT IN CATALOG")</f>
        <v>NOT IN CATALOG</v>
      </c>
      <c r="H269" s="7" t="str">
        <f aca="false">_xlfn.IFNA(VLOOKUP(D269,Catalog!$B$2:$C$4102,2,FALSE()),"")</f>
        <v/>
      </c>
      <c r="I269" s="7" t="str">
        <f aca="false">HLOOKUP(C269,Regions!$B$1:$S$2,2,FALSE())</f>
        <v>EU</v>
      </c>
      <c r="J269" s="7" t="n">
        <f aca="false">E269*F269</f>
        <v>11.7</v>
      </c>
      <c r="K269" s="8" t="str">
        <f aca="false">IF(H269="","",1-F269/H269)</f>
        <v/>
      </c>
    </row>
    <row r="270" customFormat="false" ht="15" hidden="false" customHeight="false" outlineLevel="0" collapsed="false">
      <c r="A270" s="0" t="s">
        <v>235</v>
      </c>
      <c r="B270" s="6" t="n">
        <v>40879.4493055556</v>
      </c>
      <c r="C270" s="0" t="s">
        <v>81</v>
      </c>
      <c r="D270" s="0" t="s">
        <v>270</v>
      </c>
      <c r="E270" s="0" t="n">
        <v>3</v>
      </c>
      <c r="F270" s="0" t="n">
        <v>4.95</v>
      </c>
      <c r="G270" s="7" t="str">
        <f aca="false">_xlfn.XLOOKUP(D270,Catalog!$B$2:$B$4102,Catalog!$A$2:$A$4102,"NOT IN CATALOG")</f>
        <v>NOT IN CATALOG</v>
      </c>
      <c r="H270" s="7" t="str">
        <f aca="false">_xlfn.IFNA(VLOOKUP(D270,Catalog!$B$2:$C$4102,2,FALSE()),"")</f>
        <v/>
      </c>
      <c r="I270" s="7" t="str">
        <f aca="false">HLOOKUP(C270,Regions!$B$1:$S$2,2,FALSE())</f>
        <v>EU</v>
      </c>
      <c r="J270" s="7" t="n">
        <f aca="false">E270*F270</f>
        <v>14.85</v>
      </c>
      <c r="K270" s="8" t="str">
        <f aca="false">IF(H270="","",1-F270/H270)</f>
        <v/>
      </c>
    </row>
    <row r="271" customFormat="false" ht="15" hidden="false" customHeight="false" outlineLevel="0" collapsed="false">
      <c r="A271" s="0" t="s">
        <v>235</v>
      </c>
      <c r="B271" s="6" t="n">
        <v>40879.4493055556</v>
      </c>
      <c r="C271" s="0" t="s">
        <v>81</v>
      </c>
      <c r="D271" s="0" t="s">
        <v>271</v>
      </c>
      <c r="E271" s="0" t="n">
        <v>4</v>
      </c>
      <c r="F271" s="0" t="n">
        <v>4.95</v>
      </c>
      <c r="G271" s="7" t="str">
        <f aca="false">_xlfn.XLOOKUP(D271,Catalog!$B$2:$B$4102,Catalog!$A$2:$A$4102,"NOT IN CATALOG")</f>
        <v>PARTY BUNTING</v>
      </c>
      <c r="H271" s="7" t="n">
        <f aca="false">_xlfn.IFNA(VLOOKUP(D271,Catalog!$B$2:$C$4102,2,FALSE()),"")</f>
        <v>4.65</v>
      </c>
      <c r="I271" s="7" t="str">
        <f aca="false">HLOOKUP(C271,Regions!$B$1:$S$2,2,FALSE())</f>
        <v>EU</v>
      </c>
      <c r="J271" s="7" t="n">
        <f aca="false">E271*F271</f>
        <v>19.8</v>
      </c>
      <c r="K271" s="8" t="n">
        <f aca="false">IF(H271="","",1-F271/H271)</f>
        <v>-0.064516129032258</v>
      </c>
    </row>
    <row r="272" customFormat="false" ht="15" hidden="false" customHeight="false" outlineLevel="0" collapsed="false">
      <c r="A272" s="0" t="s">
        <v>235</v>
      </c>
      <c r="B272" s="6" t="n">
        <v>40879.4493055556</v>
      </c>
      <c r="C272" s="0" t="s">
        <v>81</v>
      </c>
      <c r="D272" s="0" t="s">
        <v>39</v>
      </c>
      <c r="E272" s="0" t="n">
        <v>7</v>
      </c>
      <c r="F272" s="0" t="n">
        <v>18</v>
      </c>
      <c r="G272" s="7" t="str">
        <f aca="false">_xlfn.XLOOKUP(D272,Catalog!$B$2:$B$4102,Catalog!$A$2:$A$4102,"NOT IN CATALOG")</f>
        <v>POSTAGE</v>
      </c>
      <c r="H272" s="7" t="n">
        <f aca="false">_xlfn.IFNA(VLOOKUP(D272,Catalog!$B$2:$C$4102,2,FALSE()),"")</f>
        <v>18</v>
      </c>
      <c r="I272" s="7" t="str">
        <f aca="false">HLOOKUP(C272,Regions!$B$1:$S$2,2,FALSE())</f>
        <v>EU</v>
      </c>
      <c r="J272" s="7" t="n">
        <f aca="false">E272*F272</f>
        <v>126</v>
      </c>
      <c r="K272" s="8" t="n">
        <f aca="false">IF(H272="","",1-F272/H272)</f>
        <v>0</v>
      </c>
    </row>
    <row r="273" customFormat="false" ht="15" hidden="false" customHeight="false" outlineLevel="0" collapsed="false">
      <c r="A273" s="0" t="s">
        <v>272</v>
      </c>
      <c r="B273" s="6" t="n">
        <v>40879.5326388889</v>
      </c>
      <c r="C273" s="0" t="s">
        <v>92</v>
      </c>
      <c r="D273" s="0" t="s">
        <v>273</v>
      </c>
      <c r="E273" s="0" t="n">
        <v>10</v>
      </c>
      <c r="F273" s="0" t="n">
        <v>2.08</v>
      </c>
      <c r="G273" s="7" t="str">
        <f aca="false">_xlfn.XLOOKUP(D273,Catalog!$B$2:$B$4102,Catalog!$A$2:$A$4102,"NOT IN CATALOG")</f>
        <v>JUMBO BAG OWLS</v>
      </c>
      <c r="H273" s="7" t="n">
        <f aca="false">_xlfn.IFNA(VLOOKUP(D273,Catalog!$B$2:$C$4102,2,FALSE()),"")</f>
        <v>1.95</v>
      </c>
      <c r="I273" s="7" t="str">
        <f aca="false">HLOOKUP(C273,Regions!$B$1:$S$2,2,FALSE())</f>
        <v>EU</v>
      </c>
      <c r="J273" s="7" t="n">
        <f aca="false">E273*F273</f>
        <v>20.8</v>
      </c>
      <c r="K273" s="8" t="n">
        <f aca="false">IF(H273="","",1-F273/H273)</f>
        <v>-0.0666666666666667</v>
      </c>
    </row>
    <row r="274" customFormat="false" ht="15" hidden="false" customHeight="false" outlineLevel="0" collapsed="false">
      <c r="A274" s="0" t="s">
        <v>272</v>
      </c>
      <c r="B274" s="6" t="n">
        <v>40879.5326388889</v>
      </c>
      <c r="C274" s="0" t="s">
        <v>92</v>
      </c>
      <c r="D274" s="0" t="s">
        <v>274</v>
      </c>
      <c r="E274" s="0" t="n">
        <v>20</v>
      </c>
      <c r="F274" s="0" t="n">
        <v>2.08</v>
      </c>
      <c r="G274" s="7" t="str">
        <f aca="false">_xlfn.XLOOKUP(D274,Catalog!$B$2:$B$4102,Catalog!$A$2:$A$4102,"NOT IN CATALOG")</f>
        <v>NOT IN CATALOG</v>
      </c>
      <c r="H274" s="7" t="str">
        <f aca="false">_xlfn.IFNA(VLOOKUP(D274,Catalog!$B$2:$C$4102,2,FALSE()),"")</f>
        <v/>
      </c>
      <c r="I274" s="7" t="str">
        <f aca="false">HLOOKUP(C274,Regions!$B$1:$S$2,2,FALSE())</f>
        <v>EU</v>
      </c>
      <c r="J274" s="7" t="n">
        <f aca="false">E274*F274</f>
        <v>41.6</v>
      </c>
      <c r="K274" s="8" t="str">
        <f aca="false">IF(H274="","",1-F274/H274)</f>
        <v/>
      </c>
    </row>
    <row r="275" customFormat="false" ht="15" hidden="false" customHeight="false" outlineLevel="0" collapsed="false">
      <c r="A275" s="0" t="s">
        <v>272</v>
      </c>
      <c r="B275" s="6" t="n">
        <v>40879.5326388889</v>
      </c>
      <c r="C275" s="0" t="s">
        <v>92</v>
      </c>
      <c r="D275" s="0" t="s">
        <v>275</v>
      </c>
      <c r="E275" s="0" t="n">
        <v>20</v>
      </c>
      <c r="F275" s="0" t="n">
        <v>2.08</v>
      </c>
      <c r="G275" s="7" t="str">
        <f aca="false">_xlfn.XLOOKUP(D275,Catalog!$B$2:$B$4102,Catalog!$A$2:$A$4102,"NOT IN CATALOG")</f>
        <v>JUMBO BAG PINK WITH WHITE SPOTS</v>
      </c>
      <c r="H275" s="7" t="n">
        <f aca="false">_xlfn.IFNA(VLOOKUP(D275,Catalog!$B$2:$C$4102,2,FALSE()),"")</f>
        <v>1.95</v>
      </c>
      <c r="I275" s="7" t="str">
        <f aca="false">HLOOKUP(C275,Regions!$B$1:$S$2,2,FALSE())</f>
        <v>EU</v>
      </c>
      <c r="J275" s="7" t="n">
        <f aca="false">E275*F275</f>
        <v>41.6</v>
      </c>
      <c r="K275" s="8" t="n">
        <f aca="false">IF(H275="","",1-F275/H275)</f>
        <v>-0.0666666666666667</v>
      </c>
    </row>
    <row r="276" customFormat="false" ht="15" hidden="false" customHeight="false" outlineLevel="0" collapsed="false">
      <c r="A276" s="0" t="s">
        <v>272</v>
      </c>
      <c r="B276" s="6" t="n">
        <v>40879.5326388889</v>
      </c>
      <c r="C276" s="0" t="s">
        <v>92</v>
      </c>
      <c r="D276" s="0" t="s">
        <v>39</v>
      </c>
      <c r="E276" s="0" t="n">
        <v>1</v>
      </c>
      <c r="F276" s="0" t="n">
        <v>40</v>
      </c>
      <c r="G276" s="7" t="str">
        <f aca="false">_xlfn.XLOOKUP(D276,Catalog!$B$2:$B$4102,Catalog!$A$2:$A$4102,"NOT IN CATALOG")</f>
        <v>POSTAGE</v>
      </c>
      <c r="H276" s="7" t="n">
        <f aca="false">_xlfn.IFNA(VLOOKUP(D276,Catalog!$B$2:$C$4102,2,FALSE()),"")</f>
        <v>18</v>
      </c>
      <c r="I276" s="7" t="str">
        <f aca="false">HLOOKUP(C276,Regions!$B$1:$S$2,2,FALSE())</f>
        <v>EU</v>
      </c>
      <c r="J276" s="7" t="n">
        <f aca="false">E276*F276</f>
        <v>40</v>
      </c>
      <c r="K276" s="8" t="n">
        <f aca="false">IF(H276="","",1-F276/H276)</f>
        <v>-1.22222222222222</v>
      </c>
    </row>
    <row r="277" customFormat="false" ht="15" hidden="false" customHeight="false" outlineLevel="0" collapsed="false">
      <c r="A277" s="0" t="s">
        <v>276</v>
      </c>
      <c r="B277" s="6" t="n">
        <v>40879.5520833333</v>
      </c>
      <c r="C277" s="0" t="s">
        <v>92</v>
      </c>
      <c r="D277" s="0" t="s">
        <v>82</v>
      </c>
      <c r="E277" s="0" t="n">
        <v>48</v>
      </c>
      <c r="F277" s="0" t="n">
        <v>1.79</v>
      </c>
      <c r="G277" s="7" t="str">
        <f aca="false">_xlfn.XLOOKUP(D277,Catalog!$B$2:$B$4102,Catalog!$A$2:$A$4102,"NOT IN CATALOG")</f>
        <v>NOT IN CATALOG</v>
      </c>
      <c r="H277" s="7" t="str">
        <f aca="false">_xlfn.IFNA(VLOOKUP(D277,Catalog!$B$2:$C$4102,2,FALSE()),"")</f>
        <v/>
      </c>
      <c r="I277" s="7" t="str">
        <f aca="false">HLOOKUP(C277,Regions!$B$1:$S$2,2,FALSE())</f>
        <v>EU</v>
      </c>
      <c r="J277" s="7" t="n">
        <f aca="false">E277*F277</f>
        <v>85.92</v>
      </c>
      <c r="K277" s="8" t="str">
        <f aca="false">IF(H277="","",1-F277/H277)</f>
        <v/>
      </c>
    </row>
    <row r="278" customFormat="false" ht="15" hidden="false" customHeight="false" outlineLevel="0" collapsed="false">
      <c r="A278" s="0" t="s">
        <v>276</v>
      </c>
      <c r="B278" s="6" t="n">
        <v>40879.5520833333</v>
      </c>
      <c r="C278" s="0" t="s">
        <v>92</v>
      </c>
      <c r="D278" s="0" t="s">
        <v>277</v>
      </c>
      <c r="E278" s="0" t="n">
        <v>6</v>
      </c>
      <c r="F278" s="0" t="n">
        <v>2.89</v>
      </c>
      <c r="G278" s="7" t="str">
        <f aca="false">_xlfn.XLOOKUP(D278,Catalog!$B$2:$B$4102,Catalog!$A$2:$A$4102,"NOT IN CATALOG")</f>
        <v>NOT IN CATALOG</v>
      </c>
      <c r="H278" s="7" t="str">
        <f aca="false">_xlfn.IFNA(VLOOKUP(D278,Catalog!$B$2:$C$4102,2,FALSE()),"")</f>
        <v/>
      </c>
      <c r="I278" s="7" t="str">
        <f aca="false">HLOOKUP(C278,Regions!$B$1:$S$2,2,FALSE())</f>
        <v>EU</v>
      </c>
      <c r="J278" s="7" t="n">
        <f aca="false">E278*F278</f>
        <v>17.34</v>
      </c>
      <c r="K278" s="8" t="str">
        <f aca="false">IF(H278="","",1-F278/H278)</f>
        <v/>
      </c>
    </row>
    <row r="279" customFormat="false" ht="15" hidden="false" customHeight="false" outlineLevel="0" collapsed="false">
      <c r="A279" s="0" t="s">
        <v>276</v>
      </c>
      <c r="B279" s="6" t="n">
        <v>40879.5520833333</v>
      </c>
      <c r="C279" s="0" t="s">
        <v>92</v>
      </c>
      <c r="D279" s="0" t="s">
        <v>83</v>
      </c>
      <c r="E279" s="0" t="n">
        <v>24</v>
      </c>
      <c r="F279" s="0" t="n">
        <v>1.65</v>
      </c>
      <c r="G279" s="7" t="str">
        <f aca="false">_xlfn.XLOOKUP(D279,Catalog!$B$2:$B$4102,Catalog!$A$2:$A$4102,"NOT IN CATALOG")</f>
        <v>RED TOADSTOOL LED NIGHT LIGHT</v>
      </c>
      <c r="H279" s="7" t="n">
        <f aca="false">_xlfn.IFNA(VLOOKUP(D279,Catalog!$B$2:$C$4102,2,FALSE()),"")</f>
        <v>1.65</v>
      </c>
      <c r="I279" s="7" t="str">
        <f aca="false">HLOOKUP(C279,Regions!$B$1:$S$2,2,FALSE())</f>
        <v>EU</v>
      </c>
      <c r="J279" s="7" t="n">
        <f aca="false">E279*F279</f>
        <v>39.6</v>
      </c>
      <c r="K279" s="8" t="n">
        <f aca="false">IF(H279="","",1-F279/H279)</f>
        <v>0</v>
      </c>
    </row>
    <row r="280" customFormat="false" ht="15" hidden="false" customHeight="false" outlineLevel="0" collapsed="false">
      <c r="A280" s="0" t="s">
        <v>276</v>
      </c>
      <c r="B280" s="6" t="n">
        <v>40879.5520833333</v>
      </c>
      <c r="C280" s="0" t="s">
        <v>92</v>
      </c>
      <c r="D280" s="0" t="s">
        <v>47</v>
      </c>
      <c r="E280" s="0" t="n">
        <v>2</v>
      </c>
      <c r="F280" s="0" t="n">
        <v>7.95</v>
      </c>
      <c r="G280" s="7" t="str">
        <f aca="false">_xlfn.XLOOKUP(D280,Catalog!$B$2:$B$4102,Catalog!$A$2:$A$4102,"NOT IN CATALOG")</f>
        <v>RED/WHITE DOT MINI CASES</v>
      </c>
      <c r="H280" s="7" t="n">
        <f aca="false">_xlfn.IFNA(VLOOKUP(D280,Catalog!$B$2:$C$4102,2,FALSE()),"")</f>
        <v>7.95</v>
      </c>
      <c r="I280" s="7" t="str">
        <f aca="false">HLOOKUP(C280,Regions!$B$1:$S$2,2,FALSE())</f>
        <v>EU</v>
      </c>
      <c r="J280" s="7" t="n">
        <f aca="false">E280*F280</f>
        <v>15.9</v>
      </c>
      <c r="K280" s="8" t="n">
        <f aca="false">IF(H280="","",1-F280/H280)</f>
        <v>0</v>
      </c>
    </row>
    <row r="281" customFormat="false" ht="15" hidden="false" customHeight="false" outlineLevel="0" collapsed="false">
      <c r="A281" s="0" t="s">
        <v>276</v>
      </c>
      <c r="B281" s="6" t="n">
        <v>40879.5520833333</v>
      </c>
      <c r="C281" s="0" t="s">
        <v>92</v>
      </c>
      <c r="D281" s="0" t="s">
        <v>39</v>
      </c>
      <c r="E281" s="0" t="n">
        <v>1</v>
      </c>
      <c r="F281" s="0" t="n">
        <v>40</v>
      </c>
      <c r="G281" s="7" t="str">
        <f aca="false">_xlfn.XLOOKUP(D281,Catalog!$B$2:$B$4102,Catalog!$A$2:$A$4102,"NOT IN CATALOG")</f>
        <v>POSTAGE</v>
      </c>
      <c r="H281" s="7" t="n">
        <f aca="false">_xlfn.IFNA(VLOOKUP(D281,Catalog!$B$2:$C$4102,2,FALSE()),"")</f>
        <v>18</v>
      </c>
      <c r="I281" s="7" t="str">
        <f aca="false">HLOOKUP(C281,Regions!$B$1:$S$2,2,FALSE())</f>
        <v>EU</v>
      </c>
      <c r="J281" s="7" t="n">
        <f aca="false">E281*F281</f>
        <v>40</v>
      </c>
      <c r="K281" s="8" t="n">
        <f aca="false">IF(H281="","",1-F281/H281)</f>
        <v>-1.22222222222222</v>
      </c>
    </row>
    <row r="282" customFormat="false" ht="15" hidden="false" customHeight="false" outlineLevel="0" collapsed="false">
      <c r="A282" s="0" t="s">
        <v>278</v>
      </c>
      <c r="B282" s="6" t="n">
        <v>40879.5569444444</v>
      </c>
      <c r="C282" s="0" t="s">
        <v>81</v>
      </c>
      <c r="D282" s="0" t="s">
        <v>279</v>
      </c>
      <c r="E282" s="0" t="n">
        <v>6</v>
      </c>
      <c r="F282" s="0" t="n">
        <v>8.25</v>
      </c>
      <c r="G282" s="7" t="str">
        <f aca="false">_xlfn.XLOOKUP(D282,Catalog!$B$2:$B$4102,Catalog!$A$2:$A$4102,"NOT IN CATALOG")</f>
        <v>NOT IN CATALOG</v>
      </c>
      <c r="H282" s="7" t="str">
        <f aca="false">_xlfn.IFNA(VLOOKUP(D282,Catalog!$B$2:$C$4102,2,FALSE()),"")</f>
        <v/>
      </c>
      <c r="I282" s="7" t="str">
        <f aca="false">HLOOKUP(C282,Regions!$B$1:$S$2,2,FALSE())</f>
        <v>EU</v>
      </c>
      <c r="J282" s="7" t="n">
        <f aca="false">E282*F282</f>
        <v>49.5</v>
      </c>
      <c r="K282" s="8" t="str">
        <f aca="false">IF(H282="","",1-F282/H282)</f>
        <v/>
      </c>
    </row>
    <row r="283" customFormat="false" ht="15" hidden="false" customHeight="false" outlineLevel="0" collapsed="false">
      <c r="A283" s="0" t="s">
        <v>278</v>
      </c>
      <c r="B283" s="6" t="n">
        <v>40879.5569444444</v>
      </c>
      <c r="C283" s="0" t="s">
        <v>81</v>
      </c>
      <c r="D283" s="0" t="s">
        <v>280</v>
      </c>
      <c r="E283" s="0" t="n">
        <v>4</v>
      </c>
      <c r="F283" s="0" t="n">
        <v>4.65</v>
      </c>
      <c r="G283" s="7" t="str">
        <f aca="false">_xlfn.XLOOKUP(D283,Catalog!$B$2:$B$4102,Catalog!$A$2:$A$4102,"NOT IN CATALOG")</f>
        <v>MINT GREEN ROSE TOWEL</v>
      </c>
      <c r="H283" s="7" t="n">
        <f aca="false">_xlfn.IFNA(VLOOKUP(D283,Catalog!$B$2:$C$4102,2,FALSE()),"")</f>
        <v>3.36</v>
      </c>
      <c r="I283" s="7" t="str">
        <f aca="false">HLOOKUP(C283,Regions!$B$1:$S$2,2,FALSE())</f>
        <v>EU</v>
      </c>
      <c r="J283" s="7" t="n">
        <f aca="false">E283*F283</f>
        <v>18.6</v>
      </c>
      <c r="K283" s="8" t="n">
        <f aca="false">IF(H283="","",1-F283/H283)</f>
        <v>-0.383928571428572</v>
      </c>
    </row>
    <row r="284" customFormat="false" ht="15" hidden="false" customHeight="false" outlineLevel="0" collapsed="false">
      <c r="A284" s="0" t="s">
        <v>278</v>
      </c>
      <c r="B284" s="6" t="n">
        <v>40879.5569444444</v>
      </c>
      <c r="C284" s="0" t="s">
        <v>81</v>
      </c>
      <c r="D284" s="0" t="s">
        <v>281</v>
      </c>
      <c r="E284" s="0" t="n">
        <v>4</v>
      </c>
      <c r="F284" s="0" t="n">
        <v>4.25</v>
      </c>
      <c r="G284" s="7" t="str">
        <f aca="false">_xlfn.XLOOKUP(D284,Catalog!$B$2:$B$4102,Catalog!$A$2:$A$4102,"NOT IN CATALOG")</f>
        <v>KINGS CHOICE BISCUIT TIN</v>
      </c>
      <c r="H284" s="7" t="n">
        <f aca="false">_xlfn.IFNA(VLOOKUP(D284,Catalog!$B$2:$C$4102,2,FALSE()),"")</f>
        <v>4.25</v>
      </c>
      <c r="I284" s="7" t="str">
        <f aca="false">HLOOKUP(C284,Regions!$B$1:$S$2,2,FALSE())</f>
        <v>EU</v>
      </c>
      <c r="J284" s="7" t="n">
        <f aca="false">E284*F284</f>
        <v>17</v>
      </c>
      <c r="K284" s="8" t="n">
        <f aca="false">IF(H284="","",1-F284/H284)</f>
        <v>0</v>
      </c>
    </row>
    <row r="285" customFormat="false" ht="15" hidden="false" customHeight="false" outlineLevel="0" collapsed="false">
      <c r="A285" s="0" t="s">
        <v>282</v>
      </c>
      <c r="B285" s="6" t="n">
        <v>40881.5729166667</v>
      </c>
      <c r="C285" s="0" t="s">
        <v>81</v>
      </c>
      <c r="D285" s="0" t="s">
        <v>283</v>
      </c>
      <c r="E285" s="0" t="n">
        <v>4</v>
      </c>
      <c r="F285" s="0" t="n">
        <v>4.25</v>
      </c>
      <c r="G285" s="7" t="str">
        <f aca="false">_xlfn.XLOOKUP(D285,Catalog!$B$2:$B$4102,Catalog!$A$2:$A$4102,"NOT IN CATALOG")</f>
        <v>AIRLINE BAG VINTAGE JET SET WHITE</v>
      </c>
      <c r="H285" s="7" t="n">
        <f aca="false">_xlfn.IFNA(VLOOKUP(D285,Catalog!$B$2:$C$4102,2,FALSE()),"")</f>
        <v>6.35</v>
      </c>
      <c r="I285" s="7" t="str">
        <f aca="false">HLOOKUP(C285,Regions!$B$1:$S$2,2,FALSE())</f>
        <v>EU</v>
      </c>
      <c r="J285" s="7" t="n">
        <f aca="false">E285*F285</f>
        <v>17</v>
      </c>
      <c r="K285" s="8" t="n">
        <f aca="false">IF(H285="","",1-F285/H285)</f>
        <v>0.330708661417323</v>
      </c>
    </row>
    <row r="286" customFormat="false" ht="15" hidden="false" customHeight="false" outlineLevel="0" collapsed="false">
      <c r="A286" s="0" t="s">
        <v>282</v>
      </c>
      <c r="B286" s="6" t="n">
        <v>40881.5729166667</v>
      </c>
      <c r="C286" s="0" t="s">
        <v>81</v>
      </c>
      <c r="D286" s="0" t="s">
        <v>284</v>
      </c>
      <c r="E286" s="0" t="n">
        <v>3</v>
      </c>
      <c r="F286" s="0" t="n">
        <v>12.5</v>
      </c>
      <c r="G286" s="7" t="str">
        <f aca="false">_xlfn.XLOOKUP(D286,Catalog!$B$2:$B$4102,Catalog!$A$2:$A$4102,"NOT IN CATALOG")</f>
        <v>NOT IN CATALOG</v>
      </c>
      <c r="H286" s="7" t="str">
        <f aca="false">_xlfn.IFNA(VLOOKUP(D286,Catalog!$B$2:$C$4102,2,FALSE()),"")</f>
        <v/>
      </c>
      <c r="I286" s="7" t="str">
        <f aca="false">HLOOKUP(C286,Regions!$B$1:$S$2,2,FALSE())</f>
        <v>EU</v>
      </c>
      <c r="J286" s="7" t="n">
        <f aca="false">E286*F286</f>
        <v>37.5</v>
      </c>
      <c r="K286" s="8" t="str">
        <f aca="false">IF(H286="","",1-F286/H286)</f>
        <v/>
      </c>
    </row>
    <row r="287" customFormat="false" ht="15" hidden="false" customHeight="false" outlineLevel="0" collapsed="false">
      <c r="A287" s="0" t="s">
        <v>282</v>
      </c>
      <c r="B287" s="6" t="n">
        <v>40881.5729166667</v>
      </c>
      <c r="C287" s="0" t="s">
        <v>81</v>
      </c>
      <c r="D287" s="0" t="s">
        <v>285</v>
      </c>
      <c r="E287" s="0" t="n">
        <v>6</v>
      </c>
      <c r="F287" s="0" t="n">
        <v>2.95</v>
      </c>
      <c r="G287" s="7" t="str">
        <f aca="false">_xlfn.XLOOKUP(D287,Catalog!$B$2:$B$4102,Catalog!$A$2:$A$4102,"NOT IN CATALOG")</f>
        <v>BLACK ENAMEL FLOWER RING</v>
      </c>
      <c r="H287" s="7" t="n">
        <f aca="false">_xlfn.IFNA(VLOOKUP(D287,Catalog!$B$2:$C$4102,2,FALSE()),"")</f>
        <v>2.96</v>
      </c>
      <c r="I287" s="7" t="str">
        <f aca="false">HLOOKUP(C287,Regions!$B$1:$S$2,2,FALSE())</f>
        <v>EU</v>
      </c>
      <c r="J287" s="7" t="n">
        <f aca="false">E287*F287</f>
        <v>17.7</v>
      </c>
      <c r="K287" s="8" t="n">
        <f aca="false">IF(H287="","",1-F287/H287)</f>
        <v>0.00337837837837829</v>
      </c>
    </row>
    <row r="288" customFormat="false" ht="15" hidden="false" customHeight="false" outlineLevel="0" collapsed="false">
      <c r="A288" s="0" t="s">
        <v>282</v>
      </c>
      <c r="B288" s="6" t="n">
        <v>40881.5729166667</v>
      </c>
      <c r="C288" s="0" t="s">
        <v>81</v>
      </c>
      <c r="D288" s="0" t="s">
        <v>220</v>
      </c>
      <c r="E288" s="0" t="n">
        <v>24</v>
      </c>
      <c r="F288" s="0" t="n">
        <v>0.55</v>
      </c>
      <c r="G288" s="7" t="str">
        <f aca="false">_xlfn.XLOOKUP(D288,Catalog!$B$2:$B$4102,Catalog!$A$2:$A$4102,"NOT IN CATALOG")</f>
        <v>60 CAKE CASES DOLLY GIRL DESIGN</v>
      </c>
      <c r="H288" s="7" t="n">
        <f aca="false">_xlfn.IFNA(VLOOKUP(D288,Catalog!$B$2:$C$4102,2,FALSE()),"")</f>
        <v>0.55</v>
      </c>
      <c r="I288" s="7" t="str">
        <f aca="false">HLOOKUP(C288,Regions!$B$1:$S$2,2,FALSE())</f>
        <v>EU</v>
      </c>
      <c r="J288" s="7" t="n">
        <f aca="false">E288*F288</f>
        <v>13.2</v>
      </c>
      <c r="K288" s="8" t="n">
        <f aca="false">IF(H288="","",1-F288/H288)</f>
        <v>0</v>
      </c>
    </row>
    <row r="289" customFormat="false" ht="15" hidden="false" customHeight="false" outlineLevel="0" collapsed="false">
      <c r="A289" s="0" t="s">
        <v>282</v>
      </c>
      <c r="B289" s="6" t="n">
        <v>40881.5729166667</v>
      </c>
      <c r="C289" s="0" t="s">
        <v>81</v>
      </c>
      <c r="D289" s="0" t="s">
        <v>286</v>
      </c>
      <c r="E289" s="0" t="n">
        <v>10</v>
      </c>
      <c r="F289" s="0" t="n">
        <v>0.85</v>
      </c>
      <c r="G289" s="7" t="str">
        <f aca="false">_xlfn.XLOOKUP(D289,Catalog!$B$2:$B$4102,Catalog!$A$2:$A$4102,"NOT IN CATALOG")</f>
        <v>ENGLISH ROSE SMALL SCENTED FLOWER</v>
      </c>
      <c r="H289" s="7" t="n">
        <f aca="false">_xlfn.IFNA(VLOOKUP(D289,Catalog!$B$2:$C$4102,2,FALSE()),"")</f>
        <v>0.85</v>
      </c>
      <c r="I289" s="7" t="str">
        <f aca="false">HLOOKUP(C289,Regions!$B$1:$S$2,2,FALSE())</f>
        <v>EU</v>
      </c>
      <c r="J289" s="7" t="n">
        <f aca="false">E289*F289</f>
        <v>8.5</v>
      </c>
      <c r="K289" s="8" t="n">
        <f aca="false">IF(H289="","",1-F289/H289)</f>
        <v>0</v>
      </c>
    </row>
    <row r="290" customFormat="false" ht="15" hidden="false" customHeight="false" outlineLevel="0" collapsed="false">
      <c r="A290" s="0" t="s">
        <v>282</v>
      </c>
      <c r="B290" s="6" t="n">
        <v>40881.5729166667</v>
      </c>
      <c r="C290" s="0" t="s">
        <v>81</v>
      </c>
      <c r="D290" s="0" t="s">
        <v>287</v>
      </c>
      <c r="E290" s="0" t="n">
        <v>16</v>
      </c>
      <c r="F290" s="0" t="n">
        <v>0.65</v>
      </c>
      <c r="G290" s="7" t="str">
        <f aca="false">_xlfn.XLOOKUP(D290,Catalog!$B$2:$B$4102,Catalog!$A$2:$A$4102,"NOT IN CATALOG")</f>
        <v>NOT IN CATALOG</v>
      </c>
      <c r="H290" s="7" t="str">
        <f aca="false">_xlfn.IFNA(VLOOKUP(D290,Catalog!$B$2:$C$4102,2,FALSE()),"")</f>
        <v/>
      </c>
      <c r="I290" s="7" t="str">
        <f aca="false">HLOOKUP(C290,Regions!$B$1:$S$2,2,FALSE())</f>
        <v>EU</v>
      </c>
      <c r="J290" s="7" t="n">
        <f aca="false">E290*F290</f>
        <v>10.4</v>
      </c>
      <c r="K290" s="8" t="str">
        <f aca="false">IF(H290="","",1-F290/H290)</f>
        <v/>
      </c>
    </row>
    <row r="291" customFormat="false" ht="15" hidden="false" customHeight="false" outlineLevel="0" collapsed="false">
      <c r="A291" s="0" t="s">
        <v>282</v>
      </c>
      <c r="B291" s="6" t="n">
        <v>40881.5729166667</v>
      </c>
      <c r="C291" s="0" t="s">
        <v>81</v>
      </c>
      <c r="D291" s="0" t="s">
        <v>288</v>
      </c>
      <c r="E291" s="0" t="n">
        <v>16</v>
      </c>
      <c r="F291" s="0" t="n">
        <v>0.65</v>
      </c>
      <c r="G291" s="7" t="str">
        <f aca="false">_xlfn.XLOOKUP(D291,Catalog!$B$2:$B$4102,Catalog!$A$2:$A$4102,"NOT IN CATALOG")</f>
        <v>NOT IN CATALOG</v>
      </c>
      <c r="H291" s="7" t="str">
        <f aca="false">_xlfn.IFNA(VLOOKUP(D291,Catalog!$B$2:$C$4102,2,FALSE()),"")</f>
        <v/>
      </c>
      <c r="I291" s="7" t="str">
        <f aca="false">HLOOKUP(C291,Regions!$B$1:$S$2,2,FALSE())</f>
        <v>EU</v>
      </c>
      <c r="J291" s="7" t="n">
        <f aca="false">E291*F291</f>
        <v>10.4</v>
      </c>
      <c r="K291" s="8" t="str">
        <f aca="false">IF(H291="","",1-F291/H291)</f>
        <v/>
      </c>
    </row>
    <row r="292" customFormat="false" ht="15" hidden="false" customHeight="false" outlineLevel="0" collapsed="false">
      <c r="A292" s="0" t="s">
        <v>282</v>
      </c>
      <c r="B292" s="6" t="n">
        <v>40881.5729166667</v>
      </c>
      <c r="C292" s="0" t="s">
        <v>81</v>
      </c>
      <c r="D292" s="0" t="s">
        <v>289</v>
      </c>
      <c r="E292" s="0" t="n">
        <v>4</v>
      </c>
      <c r="F292" s="0" t="n">
        <v>3.75</v>
      </c>
      <c r="G292" s="7" t="str">
        <f aca="false">_xlfn.XLOOKUP(D292,Catalog!$B$2:$B$4102,Catalog!$A$2:$A$4102,"NOT IN CATALOG")</f>
        <v>MOUSE TOY WITH PINK T-SHIRT</v>
      </c>
      <c r="H292" s="7" t="n">
        <f aca="false">_xlfn.IFNA(VLOOKUP(D292,Catalog!$B$2:$C$4102,2,FALSE()),"")</f>
        <v>3.75</v>
      </c>
      <c r="I292" s="7" t="str">
        <f aca="false">HLOOKUP(C292,Regions!$B$1:$S$2,2,FALSE())</f>
        <v>EU</v>
      </c>
      <c r="J292" s="7" t="n">
        <f aca="false">E292*F292</f>
        <v>15</v>
      </c>
      <c r="K292" s="8" t="n">
        <f aca="false">IF(H292="","",1-F292/H292)</f>
        <v>0</v>
      </c>
    </row>
    <row r="293" customFormat="false" ht="15" hidden="false" customHeight="false" outlineLevel="0" collapsed="false">
      <c r="A293" s="0" t="s">
        <v>282</v>
      </c>
      <c r="B293" s="6" t="n">
        <v>40881.5729166667</v>
      </c>
      <c r="C293" s="0" t="s">
        <v>81</v>
      </c>
      <c r="D293" s="0" t="s">
        <v>98</v>
      </c>
      <c r="E293" s="0" t="n">
        <v>3</v>
      </c>
      <c r="F293" s="0" t="n">
        <v>4.95</v>
      </c>
      <c r="G293" s="7" t="str">
        <f aca="false">_xlfn.XLOOKUP(D293,Catalog!$B$2:$B$4102,Catalog!$A$2:$A$4102,"NOT IN CATALOG")</f>
        <v>BAKING SET 9 PIECE RETROSPOT</v>
      </c>
      <c r="H293" s="7" t="n">
        <f aca="false">_xlfn.IFNA(VLOOKUP(D293,Catalog!$B$2:$C$4102,2,FALSE()),"")</f>
        <v>4.95</v>
      </c>
      <c r="I293" s="7" t="str">
        <f aca="false">HLOOKUP(C293,Regions!$B$1:$S$2,2,FALSE())</f>
        <v>EU</v>
      </c>
      <c r="J293" s="7" t="n">
        <f aca="false">E293*F293</f>
        <v>14.85</v>
      </c>
      <c r="K293" s="8" t="n">
        <f aca="false">IF(H293="","",1-F293/H293)</f>
        <v>0</v>
      </c>
    </row>
    <row r="294" customFormat="false" ht="15" hidden="false" customHeight="false" outlineLevel="0" collapsed="false">
      <c r="A294" s="0" t="s">
        <v>282</v>
      </c>
      <c r="B294" s="6" t="n">
        <v>40881.5729166667</v>
      </c>
      <c r="C294" s="0" t="s">
        <v>81</v>
      </c>
      <c r="D294" s="0" t="s">
        <v>290</v>
      </c>
      <c r="E294" s="0" t="n">
        <v>12</v>
      </c>
      <c r="F294" s="0" t="n">
        <v>1.25</v>
      </c>
      <c r="G294" s="7" t="str">
        <f aca="false">_xlfn.XLOOKUP(D294,Catalog!$B$2:$B$4102,Catalog!$A$2:$A$4102,"NOT IN CATALOG")</f>
        <v>NOT IN CATALOG</v>
      </c>
      <c r="H294" s="7" t="str">
        <f aca="false">_xlfn.IFNA(VLOOKUP(D294,Catalog!$B$2:$C$4102,2,FALSE()),"")</f>
        <v/>
      </c>
      <c r="I294" s="7" t="str">
        <f aca="false">HLOOKUP(C294,Regions!$B$1:$S$2,2,FALSE())</f>
        <v>EU</v>
      </c>
      <c r="J294" s="7" t="n">
        <f aca="false">E294*F294</f>
        <v>15</v>
      </c>
      <c r="K294" s="8" t="str">
        <f aca="false">IF(H294="","",1-F294/H294)</f>
        <v/>
      </c>
    </row>
    <row r="295" customFormat="false" ht="15" hidden="false" customHeight="false" outlineLevel="0" collapsed="false">
      <c r="A295" s="0" t="s">
        <v>282</v>
      </c>
      <c r="B295" s="6" t="n">
        <v>40881.5729166667</v>
      </c>
      <c r="C295" s="0" t="s">
        <v>81</v>
      </c>
      <c r="D295" s="0" t="s">
        <v>139</v>
      </c>
      <c r="E295" s="0" t="n">
        <v>12</v>
      </c>
      <c r="F295" s="0" t="n">
        <v>0.85</v>
      </c>
      <c r="G295" s="7" t="str">
        <f aca="false">_xlfn.XLOOKUP(D295,Catalog!$B$2:$B$4102,Catalog!$A$2:$A$4102,"NOT IN CATALOG")</f>
        <v>VINTAGE SNAP CARDS</v>
      </c>
      <c r="H295" s="7" t="n">
        <f aca="false">_xlfn.IFNA(VLOOKUP(D295,Catalog!$B$2:$C$4102,2,FALSE()),"")</f>
        <v>0.85</v>
      </c>
      <c r="I295" s="7" t="str">
        <f aca="false">HLOOKUP(C295,Regions!$B$1:$S$2,2,FALSE())</f>
        <v>EU</v>
      </c>
      <c r="J295" s="7" t="n">
        <f aca="false">E295*F295</f>
        <v>10.2</v>
      </c>
      <c r="K295" s="8" t="n">
        <f aca="false">IF(H295="","",1-F295/H295)</f>
        <v>0</v>
      </c>
    </row>
    <row r="296" customFormat="false" ht="15" hidden="false" customHeight="false" outlineLevel="0" collapsed="false">
      <c r="A296" s="0" t="s">
        <v>282</v>
      </c>
      <c r="B296" s="6" t="n">
        <v>40881.5729166667</v>
      </c>
      <c r="C296" s="0" t="s">
        <v>81</v>
      </c>
      <c r="D296" s="0" t="s">
        <v>291</v>
      </c>
      <c r="E296" s="0" t="n">
        <v>12</v>
      </c>
      <c r="F296" s="0" t="n">
        <v>1.25</v>
      </c>
      <c r="G296" s="7" t="str">
        <f aca="false">_xlfn.XLOOKUP(D296,Catalog!$B$2:$B$4102,Catalog!$A$2:$A$4102,"NOT IN CATALOG")</f>
        <v>TRADITIONAL WOODEN CATCH CUP GAME</v>
      </c>
      <c r="H296" s="7" t="n">
        <f aca="false">_xlfn.IFNA(VLOOKUP(D296,Catalog!$B$2:$C$4102,2,FALSE()),"")</f>
        <v>1.25</v>
      </c>
      <c r="I296" s="7" t="str">
        <f aca="false">HLOOKUP(C296,Regions!$B$1:$S$2,2,FALSE())</f>
        <v>EU</v>
      </c>
      <c r="J296" s="7" t="n">
        <f aca="false">E296*F296</f>
        <v>15</v>
      </c>
      <c r="K296" s="8" t="n">
        <f aca="false">IF(H296="","",1-F296/H296)</f>
        <v>0</v>
      </c>
    </row>
    <row r="297" customFormat="false" ht="15" hidden="false" customHeight="false" outlineLevel="0" collapsed="false">
      <c r="A297" s="0" t="s">
        <v>282</v>
      </c>
      <c r="B297" s="6" t="n">
        <v>40881.5729166667</v>
      </c>
      <c r="C297" s="0" t="s">
        <v>81</v>
      </c>
      <c r="D297" s="0" t="s">
        <v>144</v>
      </c>
      <c r="E297" s="0" t="n">
        <v>12</v>
      </c>
      <c r="F297" s="0" t="n">
        <v>1.25</v>
      </c>
      <c r="G297" s="7" t="str">
        <f aca="false">_xlfn.XLOOKUP(D297,Catalog!$B$2:$B$4102,Catalog!$A$2:$A$4102,"NOT IN CATALOG")</f>
        <v>BLUE HARMONICA IN BOX</v>
      </c>
      <c r="H297" s="7" t="n">
        <f aca="false">_xlfn.IFNA(VLOOKUP(D297,Catalog!$B$2:$C$4102,2,FALSE()),"")</f>
        <v>1.25</v>
      </c>
      <c r="I297" s="7" t="str">
        <f aca="false">HLOOKUP(C297,Regions!$B$1:$S$2,2,FALSE())</f>
        <v>EU</v>
      </c>
      <c r="J297" s="7" t="n">
        <f aca="false">E297*F297</f>
        <v>15</v>
      </c>
      <c r="K297" s="8" t="n">
        <f aca="false">IF(H297="","",1-F297/H297)</f>
        <v>0</v>
      </c>
    </row>
    <row r="298" customFormat="false" ht="15" hidden="false" customHeight="false" outlineLevel="0" collapsed="false">
      <c r="A298" s="0" t="s">
        <v>282</v>
      </c>
      <c r="B298" s="6" t="n">
        <v>40881.5729166667</v>
      </c>
      <c r="C298" s="0" t="s">
        <v>81</v>
      </c>
      <c r="D298" s="0" t="s">
        <v>292</v>
      </c>
      <c r="E298" s="0" t="n">
        <v>12</v>
      </c>
      <c r="F298" s="0" t="n">
        <v>1.45</v>
      </c>
      <c r="G298" s="7" t="str">
        <f aca="false">_xlfn.XLOOKUP(D298,Catalog!$B$2:$B$4102,Catalog!$A$2:$A$4102,"NOT IN CATALOG")</f>
        <v>PICTURE DOMINOES</v>
      </c>
      <c r="H298" s="7" t="n">
        <f aca="false">_xlfn.IFNA(VLOOKUP(D298,Catalog!$B$2:$C$4102,2,FALSE()),"")</f>
        <v>1.45</v>
      </c>
      <c r="I298" s="7" t="str">
        <f aca="false">HLOOKUP(C298,Regions!$B$1:$S$2,2,FALSE())</f>
        <v>EU</v>
      </c>
      <c r="J298" s="7" t="n">
        <f aca="false">E298*F298</f>
        <v>17.4</v>
      </c>
      <c r="K298" s="8" t="n">
        <f aca="false">IF(H298="","",1-F298/H298)</f>
        <v>0</v>
      </c>
    </row>
    <row r="299" customFormat="false" ht="15" hidden="false" customHeight="false" outlineLevel="0" collapsed="false">
      <c r="A299" s="0" t="s">
        <v>282</v>
      </c>
      <c r="B299" s="6" t="n">
        <v>40881.5729166667</v>
      </c>
      <c r="C299" s="0" t="s">
        <v>81</v>
      </c>
      <c r="D299" s="0" t="s">
        <v>293</v>
      </c>
      <c r="E299" s="0" t="n">
        <v>12</v>
      </c>
      <c r="F299" s="0" t="n">
        <v>1.25</v>
      </c>
      <c r="G299" s="7" t="str">
        <f aca="false">_xlfn.XLOOKUP(D299,Catalog!$B$2:$B$4102,Catalog!$A$2:$A$4102,"NOT IN CATALOG")</f>
        <v>VINTAGE HEADS AND TAILS CARD GAME</v>
      </c>
      <c r="H299" s="7" t="n">
        <f aca="false">_xlfn.IFNA(VLOOKUP(D299,Catalog!$B$2:$C$4102,2,FALSE()),"")</f>
        <v>1.25</v>
      </c>
      <c r="I299" s="7" t="str">
        <f aca="false">HLOOKUP(C299,Regions!$B$1:$S$2,2,FALSE())</f>
        <v>EU</v>
      </c>
      <c r="J299" s="7" t="n">
        <f aca="false">E299*F299</f>
        <v>15</v>
      </c>
      <c r="K299" s="8" t="n">
        <f aca="false">IF(H299="","",1-F299/H299)</f>
        <v>0</v>
      </c>
    </row>
    <row r="300" customFormat="false" ht="15" hidden="false" customHeight="false" outlineLevel="0" collapsed="false">
      <c r="A300" s="0" t="s">
        <v>282</v>
      </c>
      <c r="B300" s="6" t="n">
        <v>40881.5729166667</v>
      </c>
      <c r="C300" s="0" t="s">
        <v>81</v>
      </c>
      <c r="D300" s="0" t="s">
        <v>294</v>
      </c>
      <c r="E300" s="0" t="n">
        <v>20</v>
      </c>
      <c r="F300" s="0" t="n">
        <v>1.25</v>
      </c>
      <c r="G300" s="7" t="str">
        <f aca="false">_xlfn.XLOOKUP(D300,Catalog!$B$2:$B$4102,Catalog!$A$2:$A$4102,"NOT IN CATALOG")</f>
        <v>NOT IN CATALOG</v>
      </c>
      <c r="H300" s="7" t="str">
        <f aca="false">_xlfn.IFNA(VLOOKUP(D300,Catalog!$B$2:$C$4102,2,FALSE()),"")</f>
        <v/>
      </c>
      <c r="I300" s="7" t="str">
        <f aca="false">HLOOKUP(C300,Regions!$B$1:$S$2,2,FALSE())</f>
        <v>EU</v>
      </c>
      <c r="J300" s="7" t="n">
        <f aca="false">E300*F300</f>
        <v>25</v>
      </c>
      <c r="K300" s="8" t="str">
        <f aca="false">IF(H300="","",1-F300/H300)</f>
        <v/>
      </c>
    </row>
    <row r="301" customFormat="false" ht="15" hidden="false" customHeight="false" outlineLevel="0" collapsed="false">
      <c r="A301" s="0" t="s">
        <v>282</v>
      </c>
      <c r="B301" s="6" t="n">
        <v>40881.5729166667</v>
      </c>
      <c r="C301" s="0" t="s">
        <v>81</v>
      </c>
      <c r="D301" s="0" t="s">
        <v>295</v>
      </c>
      <c r="E301" s="0" t="n">
        <v>24</v>
      </c>
      <c r="F301" s="0" t="n">
        <v>0.65</v>
      </c>
      <c r="G301" s="7" t="str">
        <f aca="false">_xlfn.XLOOKUP(D301,Catalog!$B$2:$B$4102,Catalog!$A$2:$A$4102,"NOT IN CATALOG")</f>
        <v>NOT IN CATALOG</v>
      </c>
      <c r="H301" s="7" t="str">
        <f aca="false">_xlfn.IFNA(VLOOKUP(D301,Catalog!$B$2:$C$4102,2,FALSE()),"")</f>
        <v/>
      </c>
      <c r="I301" s="7" t="str">
        <f aca="false">HLOOKUP(C301,Regions!$B$1:$S$2,2,FALSE())</f>
        <v>EU</v>
      </c>
      <c r="J301" s="7" t="n">
        <f aca="false">E301*F301</f>
        <v>15.6</v>
      </c>
      <c r="K301" s="8" t="str">
        <f aca="false">IF(H301="","",1-F301/H301)</f>
        <v/>
      </c>
    </row>
    <row r="302" customFormat="false" ht="15" hidden="false" customHeight="false" outlineLevel="0" collapsed="false">
      <c r="A302" s="0" t="s">
        <v>282</v>
      </c>
      <c r="B302" s="6" t="n">
        <v>40881.5729166667</v>
      </c>
      <c r="C302" s="0" t="s">
        <v>81</v>
      </c>
      <c r="D302" s="0" t="s">
        <v>296</v>
      </c>
      <c r="E302" s="0" t="n">
        <v>2</v>
      </c>
      <c r="F302" s="0" t="n">
        <v>9.95</v>
      </c>
      <c r="G302" s="7" t="str">
        <f aca="false">_xlfn.XLOOKUP(D302,Catalog!$B$2:$B$4102,Catalog!$A$2:$A$4102,"NOT IN CATALOG")</f>
        <v>VINTAGE UNION JACK MEMOBOARD</v>
      </c>
      <c r="H302" s="7" t="n">
        <f aca="false">_xlfn.IFNA(VLOOKUP(D302,Catalog!$B$2:$C$4102,2,FALSE()),"")</f>
        <v>9.95</v>
      </c>
      <c r="I302" s="7" t="str">
        <f aca="false">HLOOKUP(C302,Regions!$B$1:$S$2,2,FALSE())</f>
        <v>EU</v>
      </c>
      <c r="J302" s="7" t="n">
        <f aca="false">E302*F302</f>
        <v>19.9</v>
      </c>
      <c r="K302" s="8" t="n">
        <f aca="false">IF(H302="","",1-F302/H302)</f>
        <v>0</v>
      </c>
    </row>
    <row r="303" customFormat="false" ht="15" hidden="false" customHeight="false" outlineLevel="0" collapsed="false">
      <c r="A303" s="0" t="s">
        <v>282</v>
      </c>
      <c r="B303" s="6" t="n">
        <v>40881.5729166667</v>
      </c>
      <c r="C303" s="0" t="s">
        <v>81</v>
      </c>
      <c r="D303" s="0" t="s">
        <v>297</v>
      </c>
      <c r="E303" s="0" t="n">
        <v>3</v>
      </c>
      <c r="F303" s="0" t="n">
        <v>4.95</v>
      </c>
      <c r="G303" s="7" t="str">
        <f aca="false">_xlfn.XLOOKUP(D303,Catalog!$B$2:$B$4102,Catalog!$A$2:$A$4102,"NOT IN CATALOG")</f>
        <v>SCOTTIE DOG HOT WATER BOTTLE</v>
      </c>
      <c r="H303" s="7" t="n">
        <f aca="false">_xlfn.IFNA(VLOOKUP(D303,Catalog!$B$2:$C$4102,2,FALSE()),"")</f>
        <v>4.95</v>
      </c>
      <c r="I303" s="7" t="str">
        <f aca="false">HLOOKUP(C303,Regions!$B$1:$S$2,2,FALSE())</f>
        <v>EU</v>
      </c>
      <c r="J303" s="7" t="n">
        <f aca="false">E303*F303</f>
        <v>14.85</v>
      </c>
      <c r="K303" s="8" t="n">
        <f aca="false">IF(H303="","",1-F303/H303)</f>
        <v>0</v>
      </c>
    </row>
    <row r="304" customFormat="false" ht="15" hidden="false" customHeight="false" outlineLevel="0" collapsed="false">
      <c r="A304" s="0" t="s">
        <v>282</v>
      </c>
      <c r="B304" s="6" t="n">
        <v>40881.5729166667</v>
      </c>
      <c r="C304" s="0" t="s">
        <v>81</v>
      </c>
      <c r="D304" s="0" t="s">
        <v>298</v>
      </c>
      <c r="E304" s="0" t="n">
        <v>3</v>
      </c>
      <c r="F304" s="0" t="n">
        <v>5.95</v>
      </c>
      <c r="G304" s="7" t="str">
        <f aca="false">_xlfn.XLOOKUP(D304,Catalog!$B$2:$B$4102,Catalog!$A$2:$A$4102,"NOT IN CATALOG")</f>
        <v>NOT IN CATALOG</v>
      </c>
      <c r="H304" s="7" t="str">
        <f aca="false">_xlfn.IFNA(VLOOKUP(D304,Catalog!$B$2:$C$4102,2,FALSE()),"")</f>
        <v/>
      </c>
      <c r="I304" s="7" t="str">
        <f aca="false">HLOOKUP(C304,Regions!$B$1:$S$2,2,FALSE())</f>
        <v>EU</v>
      </c>
      <c r="J304" s="7" t="n">
        <f aca="false">E304*F304</f>
        <v>17.85</v>
      </c>
      <c r="K304" s="8" t="str">
        <f aca="false">IF(H304="","",1-F304/H304)</f>
        <v/>
      </c>
    </row>
    <row r="305" customFormat="false" ht="15" hidden="false" customHeight="false" outlineLevel="0" collapsed="false">
      <c r="A305" s="0" t="s">
        <v>282</v>
      </c>
      <c r="B305" s="6" t="n">
        <v>40881.5729166667</v>
      </c>
      <c r="C305" s="0" t="s">
        <v>81</v>
      </c>
      <c r="D305" s="0" t="s">
        <v>39</v>
      </c>
      <c r="E305" s="0" t="n">
        <v>2</v>
      </c>
      <c r="F305" s="0" t="n">
        <v>18</v>
      </c>
      <c r="G305" s="7" t="str">
        <f aca="false">_xlfn.XLOOKUP(D305,Catalog!$B$2:$B$4102,Catalog!$A$2:$A$4102,"NOT IN CATALOG")</f>
        <v>POSTAGE</v>
      </c>
      <c r="H305" s="7" t="n">
        <f aca="false">_xlfn.IFNA(VLOOKUP(D305,Catalog!$B$2:$C$4102,2,FALSE()),"")</f>
        <v>18</v>
      </c>
      <c r="I305" s="7" t="str">
        <f aca="false">HLOOKUP(C305,Regions!$B$1:$S$2,2,FALSE())</f>
        <v>EU</v>
      </c>
      <c r="J305" s="7" t="n">
        <f aca="false">E305*F305</f>
        <v>36</v>
      </c>
      <c r="K305" s="8" t="n">
        <f aca="false">IF(H305="","",1-F305/H305)</f>
        <v>0</v>
      </c>
    </row>
    <row r="306" customFormat="false" ht="15" hidden="false" customHeight="false" outlineLevel="0" collapsed="false">
      <c r="A306" s="0" t="s">
        <v>299</v>
      </c>
      <c r="B306" s="6" t="n">
        <v>40881.5791666667</v>
      </c>
      <c r="C306" s="0" t="s">
        <v>29</v>
      </c>
      <c r="D306" s="0" t="s">
        <v>300</v>
      </c>
      <c r="E306" s="0" t="n">
        <v>6</v>
      </c>
      <c r="F306" s="0" t="n">
        <v>4.95</v>
      </c>
      <c r="G306" s="7" t="str">
        <f aca="false">_xlfn.XLOOKUP(D306,Catalog!$B$2:$B$4102,Catalog!$A$2:$A$4102,"NOT IN CATALOG")</f>
        <v>RED SPOT HEART HOT WATER BOTTLE</v>
      </c>
      <c r="H306" s="7" t="n">
        <f aca="false">_xlfn.IFNA(VLOOKUP(D306,Catalog!$B$2:$C$4102,2,FALSE()),"")</f>
        <v>4.95</v>
      </c>
      <c r="I306" s="7" t="str">
        <f aca="false">HLOOKUP(C306,Regions!$B$1:$S$2,2,FALSE())</f>
        <v>EU</v>
      </c>
      <c r="J306" s="7" t="n">
        <f aca="false">E306*F306</f>
        <v>29.7</v>
      </c>
      <c r="K306" s="8" t="n">
        <f aca="false">IF(H306="","",1-F306/H306)</f>
        <v>0</v>
      </c>
    </row>
    <row r="307" customFormat="false" ht="15" hidden="false" customHeight="false" outlineLevel="0" collapsed="false">
      <c r="A307" s="0" t="s">
        <v>299</v>
      </c>
      <c r="B307" s="6" t="n">
        <v>40881.5791666667</v>
      </c>
      <c r="C307" s="0" t="s">
        <v>29</v>
      </c>
      <c r="D307" s="0" t="s">
        <v>64</v>
      </c>
      <c r="E307" s="0" t="n">
        <v>8</v>
      </c>
      <c r="F307" s="0" t="n">
        <v>3.75</v>
      </c>
      <c r="G307" s="7" t="str">
        <f aca="false">_xlfn.XLOOKUP(D307,Catalog!$B$2:$B$4102,Catalog!$A$2:$A$4102,"NOT IN CATALOG")</f>
        <v>ALARM CLOCK BAKELIKE GREEN</v>
      </c>
      <c r="H307" s="7" t="n">
        <f aca="false">_xlfn.IFNA(VLOOKUP(D307,Catalog!$B$2:$C$4102,2,FALSE()),"")</f>
        <v>3.75</v>
      </c>
      <c r="I307" s="7" t="str">
        <f aca="false">HLOOKUP(C307,Regions!$B$1:$S$2,2,FALSE())</f>
        <v>EU</v>
      </c>
      <c r="J307" s="7" t="n">
        <f aca="false">E307*F307</f>
        <v>30</v>
      </c>
      <c r="K307" s="8" t="n">
        <f aca="false">IF(H307="","",1-F307/H307)</f>
        <v>0</v>
      </c>
    </row>
    <row r="308" customFormat="false" ht="15" hidden="false" customHeight="false" outlineLevel="0" collapsed="false">
      <c r="A308" s="0" t="s">
        <v>299</v>
      </c>
      <c r="B308" s="6" t="n">
        <v>40881.5791666667</v>
      </c>
      <c r="C308" s="0" t="s">
        <v>29</v>
      </c>
      <c r="D308" s="0" t="s">
        <v>63</v>
      </c>
      <c r="E308" s="0" t="n">
        <v>8</v>
      </c>
      <c r="F308" s="0" t="n">
        <v>3.75</v>
      </c>
      <c r="G308" s="7" t="str">
        <f aca="false">_xlfn.XLOOKUP(D308,Catalog!$B$2:$B$4102,Catalog!$A$2:$A$4102,"NOT IN CATALOG")</f>
        <v>ALARM CLOCK BAKELIKE RED</v>
      </c>
      <c r="H308" s="7" t="n">
        <f aca="false">_xlfn.IFNA(VLOOKUP(D308,Catalog!$B$2:$C$4102,2,FALSE()),"")</f>
        <v>3.75</v>
      </c>
      <c r="I308" s="7" t="str">
        <f aca="false">HLOOKUP(C308,Regions!$B$1:$S$2,2,FALSE())</f>
        <v>EU</v>
      </c>
      <c r="J308" s="7" t="n">
        <f aca="false">E308*F308</f>
        <v>30</v>
      </c>
      <c r="K308" s="8" t="n">
        <f aca="false">IF(H308="","",1-F308/H308)</f>
        <v>0</v>
      </c>
    </row>
    <row r="309" customFormat="false" ht="15" hidden="false" customHeight="false" outlineLevel="0" collapsed="false">
      <c r="A309" s="0" t="s">
        <v>299</v>
      </c>
      <c r="B309" s="6" t="n">
        <v>40881.5791666667</v>
      </c>
      <c r="C309" s="0" t="s">
        <v>29</v>
      </c>
      <c r="D309" s="0" t="s">
        <v>301</v>
      </c>
      <c r="E309" s="0" t="n">
        <v>4</v>
      </c>
      <c r="F309" s="0" t="n">
        <v>3.95</v>
      </c>
      <c r="G309" s="7" t="str">
        <f aca="false">_xlfn.XLOOKUP(D309,Catalog!$B$2:$B$4102,Catalog!$A$2:$A$4102,"NOT IN CATALOG")</f>
        <v>SET OF 6 SPICE TINS PANTRY DESIGN</v>
      </c>
      <c r="H309" s="7" t="n">
        <f aca="false">_xlfn.IFNA(VLOOKUP(D309,Catalog!$B$2:$C$4102,2,FALSE()),"")</f>
        <v>3.95</v>
      </c>
      <c r="I309" s="7" t="str">
        <f aca="false">HLOOKUP(C309,Regions!$B$1:$S$2,2,FALSE())</f>
        <v>EU</v>
      </c>
      <c r="J309" s="7" t="n">
        <f aca="false">E309*F309</f>
        <v>15.8</v>
      </c>
      <c r="K309" s="8" t="n">
        <f aca="false">IF(H309="","",1-F309/H309)</f>
        <v>0</v>
      </c>
    </row>
    <row r="310" customFormat="false" ht="15" hidden="false" customHeight="false" outlineLevel="0" collapsed="false">
      <c r="A310" s="0" t="s">
        <v>299</v>
      </c>
      <c r="B310" s="6" t="n">
        <v>40881.5791666667</v>
      </c>
      <c r="C310" s="0" t="s">
        <v>29</v>
      </c>
      <c r="D310" s="0" t="s">
        <v>65</v>
      </c>
      <c r="E310" s="0" t="n">
        <v>8</v>
      </c>
      <c r="F310" s="0" t="n">
        <v>3.75</v>
      </c>
      <c r="G310" s="7" t="str">
        <f aca="false">_xlfn.XLOOKUP(D310,Catalog!$B$2:$B$4102,Catalog!$A$2:$A$4102,"NOT IN CATALOG")</f>
        <v>ALARM CLOCK BAKELIKE PINK</v>
      </c>
      <c r="H310" s="7" t="n">
        <f aca="false">_xlfn.IFNA(VLOOKUP(D310,Catalog!$B$2:$C$4102,2,FALSE()),"")</f>
        <v>3.75</v>
      </c>
      <c r="I310" s="7" t="str">
        <f aca="false">HLOOKUP(C310,Regions!$B$1:$S$2,2,FALSE())</f>
        <v>EU</v>
      </c>
      <c r="J310" s="7" t="n">
        <f aca="false">E310*F310</f>
        <v>30</v>
      </c>
      <c r="K310" s="8" t="n">
        <f aca="false">IF(H310="","",1-F310/H310)</f>
        <v>0</v>
      </c>
    </row>
    <row r="311" customFormat="false" ht="15" hidden="false" customHeight="false" outlineLevel="0" collapsed="false">
      <c r="A311" s="0" t="s">
        <v>299</v>
      </c>
      <c r="B311" s="6" t="n">
        <v>40881.5791666667</v>
      </c>
      <c r="C311" s="0" t="s">
        <v>29</v>
      </c>
      <c r="D311" s="0" t="s">
        <v>302</v>
      </c>
      <c r="E311" s="0" t="n">
        <v>24</v>
      </c>
      <c r="F311" s="0" t="n">
        <v>2.1</v>
      </c>
      <c r="G311" s="7" t="str">
        <f aca="false">_xlfn.XLOOKUP(D311,Catalog!$B$2:$B$4102,Catalog!$A$2:$A$4102,"NOT IN CATALOG")</f>
        <v>HAND WARMER OWL DESIGN</v>
      </c>
      <c r="H311" s="7" t="n">
        <f aca="false">_xlfn.IFNA(VLOOKUP(D311,Catalog!$B$2:$C$4102,2,FALSE()),"")</f>
        <v>2.1</v>
      </c>
      <c r="I311" s="7" t="str">
        <f aca="false">HLOOKUP(C311,Regions!$B$1:$S$2,2,FALSE())</f>
        <v>EU</v>
      </c>
      <c r="J311" s="7" t="n">
        <f aca="false">E311*F311</f>
        <v>50.4</v>
      </c>
      <c r="K311" s="8" t="n">
        <f aca="false">IF(H311="","",1-F311/H311)</f>
        <v>0</v>
      </c>
    </row>
    <row r="312" customFormat="false" ht="15" hidden="false" customHeight="false" outlineLevel="0" collapsed="false">
      <c r="A312" s="0" t="s">
        <v>299</v>
      </c>
      <c r="B312" s="6" t="n">
        <v>40881.5791666667</v>
      </c>
      <c r="C312" s="0" t="s">
        <v>29</v>
      </c>
      <c r="D312" s="0" t="s">
        <v>303</v>
      </c>
      <c r="E312" s="0" t="n">
        <v>24</v>
      </c>
      <c r="F312" s="0" t="n">
        <v>2.1</v>
      </c>
      <c r="G312" s="7" t="str">
        <f aca="false">_xlfn.XLOOKUP(D312,Catalog!$B$2:$B$4102,Catalog!$A$2:$A$4102,"NOT IN CATALOG")</f>
        <v>HAND WARMER BIRD DESIGN</v>
      </c>
      <c r="H312" s="7" t="n">
        <f aca="false">_xlfn.IFNA(VLOOKUP(D312,Catalog!$B$2:$C$4102,2,FALSE()),"")</f>
        <v>2.1</v>
      </c>
      <c r="I312" s="7" t="str">
        <f aca="false">HLOOKUP(C312,Regions!$B$1:$S$2,2,FALSE())</f>
        <v>EU</v>
      </c>
      <c r="J312" s="7" t="n">
        <f aca="false">E312*F312</f>
        <v>50.4</v>
      </c>
      <c r="K312" s="8" t="n">
        <f aca="false">IF(H312="","",1-F312/H312)</f>
        <v>0</v>
      </c>
    </row>
    <row r="313" customFormat="false" ht="15" hidden="false" customHeight="false" outlineLevel="0" collapsed="false">
      <c r="A313" s="0" t="s">
        <v>299</v>
      </c>
      <c r="B313" s="6" t="n">
        <v>40881.5791666667</v>
      </c>
      <c r="C313" s="0" t="s">
        <v>29</v>
      </c>
      <c r="D313" s="0" t="s">
        <v>304</v>
      </c>
      <c r="E313" s="0" t="n">
        <v>12</v>
      </c>
      <c r="F313" s="0" t="n">
        <v>1.25</v>
      </c>
      <c r="G313" s="7" t="str">
        <f aca="false">_xlfn.XLOOKUP(D313,Catalog!$B$2:$B$4102,Catalog!$A$2:$A$4102,"NOT IN CATALOG")</f>
        <v>NOT IN CATALOG</v>
      </c>
      <c r="H313" s="7" t="str">
        <f aca="false">_xlfn.IFNA(VLOOKUP(D313,Catalog!$B$2:$C$4102,2,FALSE()),"")</f>
        <v/>
      </c>
      <c r="I313" s="7" t="str">
        <f aca="false">HLOOKUP(C313,Regions!$B$1:$S$2,2,FALSE())</f>
        <v>EU</v>
      </c>
      <c r="J313" s="7" t="n">
        <f aca="false">E313*F313</f>
        <v>15</v>
      </c>
      <c r="K313" s="8" t="str">
        <f aca="false">IF(H313="","",1-F313/H313)</f>
        <v/>
      </c>
    </row>
    <row r="314" customFormat="false" ht="15" hidden="false" customHeight="false" outlineLevel="0" collapsed="false">
      <c r="A314" s="0" t="s">
        <v>299</v>
      </c>
      <c r="B314" s="6" t="n">
        <v>40881.5791666667</v>
      </c>
      <c r="C314" s="0" t="s">
        <v>29</v>
      </c>
      <c r="D314" s="0" t="s">
        <v>305</v>
      </c>
      <c r="E314" s="0" t="n">
        <v>6</v>
      </c>
      <c r="F314" s="0" t="n">
        <v>4.15</v>
      </c>
      <c r="G314" s="7" t="str">
        <f aca="false">_xlfn.XLOOKUP(D314,Catalog!$B$2:$B$4102,Catalog!$A$2:$A$4102,"NOT IN CATALOG")</f>
        <v>NOT IN CATALOG</v>
      </c>
      <c r="H314" s="7" t="str">
        <f aca="false">_xlfn.IFNA(VLOOKUP(D314,Catalog!$B$2:$C$4102,2,FALSE()),"")</f>
        <v/>
      </c>
      <c r="I314" s="7" t="str">
        <f aca="false">HLOOKUP(C314,Regions!$B$1:$S$2,2,FALSE())</f>
        <v>EU</v>
      </c>
      <c r="J314" s="7" t="n">
        <f aca="false">E314*F314</f>
        <v>24.9</v>
      </c>
      <c r="K314" s="8" t="str">
        <f aca="false">IF(H314="","",1-F314/H314)</f>
        <v/>
      </c>
    </row>
    <row r="315" customFormat="false" ht="15" hidden="false" customHeight="false" outlineLevel="0" collapsed="false">
      <c r="A315" s="0" t="s">
        <v>299</v>
      </c>
      <c r="B315" s="6" t="n">
        <v>40881.5791666667</v>
      </c>
      <c r="C315" s="0" t="s">
        <v>29</v>
      </c>
      <c r="D315" s="0" t="s">
        <v>306</v>
      </c>
      <c r="E315" s="0" t="n">
        <v>6</v>
      </c>
      <c r="F315" s="0" t="n">
        <v>2.89</v>
      </c>
      <c r="G315" s="7" t="str">
        <f aca="false">_xlfn.XLOOKUP(D315,Catalog!$B$2:$B$4102,Catalog!$A$2:$A$4102,"NOT IN CATALOG")</f>
        <v>NOT IN CATALOG</v>
      </c>
      <c r="H315" s="7" t="str">
        <f aca="false">_xlfn.IFNA(VLOOKUP(D315,Catalog!$B$2:$C$4102,2,FALSE()),"")</f>
        <v/>
      </c>
      <c r="I315" s="7" t="str">
        <f aca="false">HLOOKUP(C315,Regions!$B$1:$S$2,2,FALSE())</f>
        <v>EU</v>
      </c>
      <c r="J315" s="7" t="n">
        <f aca="false">E315*F315</f>
        <v>17.34</v>
      </c>
      <c r="K315" s="8" t="str">
        <f aca="false">IF(H315="","",1-F315/H315)</f>
        <v/>
      </c>
    </row>
    <row r="316" customFormat="false" ht="15" hidden="false" customHeight="false" outlineLevel="0" collapsed="false">
      <c r="A316" s="0" t="s">
        <v>299</v>
      </c>
      <c r="B316" s="6" t="n">
        <v>40881.5791666667</v>
      </c>
      <c r="C316" s="0" t="s">
        <v>29</v>
      </c>
      <c r="D316" s="0" t="s">
        <v>121</v>
      </c>
      <c r="E316" s="0" t="n">
        <v>10</v>
      </c>
      <c r="F316" s="0" t="n">
        <v>1.95</v>
      </c>
      <c r="G316" s="7" t="str">
        <f aca="false">_xlfn.XLOOKUP(D316,Catalog!$B$2:$B$4102,Catalog!$A$2:$A$4102,"NOT IN CATALOG")</f>
        <v>NOT IN CATALOG</v>
      </c>
      <c r="H316" s="7" t="str">
        <f aca="false">_xlfn.IFNA(VLOOKUP(D316,Catalog!$B$2:$C$4102,2,FALSE()),"")</f>
        <v/>
      </c>
      <c r="I316" s="7" t="str">
        <f aca="false">HLOOKUP(C316,Regions!$B$1:$S$2,2,FALSE())</f>
        <v>EU</v>
      </c>
      <c r="J316" s="7" t="n">
        <f aca="false">E316*F316</f>
        <v>19.5</v>
      </c>
      <c r="K316" s="8" t="str">
        <f aca="false">IF(H316="","",1-F316/H316)</f>
        <v/>
      </c>
    </row>
    <row r="317" customFormat="false" ht="15" hidden="false" customHeight="false" outlineLevel="0" collapsed="false">
      <c r="A317" s="0" t="s">
        <v>299</v>
      </c>
      <c r="B317" s="6" t="n">
        <v>40881.5791666667</v>
      </c>
      <c r="C317" s="0" t="s">
        <v>29</v>
      </c>
      <c r="D317" s="0" t="s">
        <v>307</v>
      </c>
      <c r="E317" s="0" t="n">
        <v>12</v>
      </c>
      <c r="F317" s="0" t="n">
        <v>1.95</v>
      </c>
      <c r="G317" s="7" t="str">
        <f aca="false">_xlfn.XLOOKUP(D317,Catalog!$B$2:$B$4102,Catalog!$A$2:$A$4102,"NOT IN CATALOG")</f>
        <v>SPACEBOY LUNCH BOX</v>
      </c>
      <c r="H317" s="7" t="n">
        <f aca="false">_xlfn.IFNA(VLOOKUP(D317,Catalog!$B$2:$C$4102,2,FALSE()),"")</f>
        <v>1.95</v>
      </c>
      <c r="I317" s="7" t="str">
        <f aca="false">HLOOKUP(C317,Regions!$B$1:$S$2,2,FALSE())</f>
        <v>EU</v>
      </c>
      <c r="J317" s="7" t="n">
        <f aca="false">E317*F317</f>
        <v>23.4</v>
      </c>
      <c r="K317" s="8" t="n">
        <f aca="false">IF(H317="","",1-F317/H317)</f>
        <v>0</v>
      </c>
    </row>
    <row r="318" customFormat="false" ht="15" hidden="false" customHeight="false" outlineLevel="0" collapsed="false">
      <c r="A318" s="0" t="s">
        <v>299</v>
      </c>
      <c r="B318" s="6" t="n">
        <v>40881.5791666667</v>
      </c>
      <c r="C318" s="0" t="s">
        <v>29</v>
      </c>
      <c r="D318" s="0" t="s">
        <v>308</v>
      </c>
      <c r="E318" s="0" t="n">
        <v>24</v>
      </c>
      <c r="F318" s="0" t="n">
        <v>0.42</v>
      </c>
      <c r="G318" s="7" t="str">
        <f aca="false">_xlfn.XLOOKUP(D318,Catalog!$B$2:$B$4102,Catalog!$A$2:$A$4102,"NOT IN CATALOG")</f>
        <v>SPACEBOY BIRTHDAY CARD</v>
      </c>
      <c r="H318" s="7" t="n">
        <f aca="false">_xlfn.IFNA(VLOOKUP(D318,Catalog!$B$2:$C$4102,2,FALSE()),"")</f>
        <v>0.42</v>
      </c>
      <c r="I318" s="7" t="str">
        <f aca="false">HLOOKUP(C318,Regions!$B$1:$S$2,2,FALSE())</f>
        <v>EU</v>
      </c>
      <c r="J318" s="7" t="n">
        <f aca="false">E318*F318</f>
        <v>10.08</v>
      </c>
      <c r="K318" s="8" t="n">
        <f aca="false">IF(H318="","",1-F318/H318)</f>
        <v>0</v>
      </c>
    </row>
    <row r="319" customFormat="false" ht="15" hidden="false" customHeight="false" outlineLevel="0" collapsed="false">
      <c r="A319" s="0" t="s">
        <v>299</v>
      </c>
      <c r="B319" s="6" t="n">
        <v>40881.5791666667</v>
      </c>
      <c r="C319" s="0" t="s">
        <v>29</v>
      </c>
      <c r="D319" s="0" t="s">
        <v>242</v>
      </c>
      <c r="E319" s="0" t="n">
        <v>12</v>
      </c>
      <c r="F319" s="0" t="n">
        <v>1.65</v>
      </c>
      <c r="G319" s="7" t="str">
        <f aca="false">_xlfn.XLOOKUP(D319,Catalog!$B$2:$B$4102,Catalog!$A$2:$A$4102,"NOT IN CATALOG")</f>
        <v>PLASTERS IN TIN SPACEBOY</v>
      </c>
      <c r="H319" s="7" t="n">
        <f aca="false">_xlfn.IFNA(VLOOKUP(D319,Catalog!$B$2:$C$4102,2,FALSE()),"")</f>
        <v>1.65</v>
      </c>
      <c r="I319" s="7" t="str">
        <f aca="false">HLOOKUP(C319,Regions!$B$1:$S$2,2,FALSE())</f>
        <v>EU</v>
      </c>
      <c r="J319" s="7" t="n">
        <f aca="false">E319*F319</f>
        <v>19.8</v>
      </c>
      <c r="K319" s="8" t="n">
        <f aca="false">IF(H319="","",1-F319/H319)</f>
        <v>0</v>
      </c>
    </row>
    <row r="320" customFormat="false" ht="15" hidden="false" customHeight="false" outlineLevel="0" collapsed="false">
      <c r="A320" s="0" t="s">
        <v>299</v>
      </c>
      <c r="B320" s="6" t="n">
        <v>40881.5791666667</v>
      </c>
      <c r="C320" s="0" t="s">
        <v>29</v>
      </c>
      <c r="D320" s="0" t="s">
        <v>309</v>
      </c>
      <c r="E320" s="0" t="n">
        <v>4</v>
      </c>
      <c r="F320" s="0" t="n">
        <v>4.15</v>
      </c>
      <c r="G320" s="7" t="str">
        <f aca="false">_xlfn.XLOOKUP(D320,Catalog!$B$2:$B$4102,Catalog!$A$2:$A$4102,"NOT IN CATALOG")</f>
        <v>NOT IN CATALOG</v>
      </c>
      <c r="H320" s="7" t="str">
        <f aca="false">_xlfn.IFNA(VLOOKUP(D320,Catalog!$B$2:$C$4102,2,FALSE()),"")</f>
        <v/>
      </c>
      <c r="I320" s="7" t="str">
        <f aca="false">HLOOKUP(C320,Regions!$B$1:$S$2,2,FALSE())</f>
        <v>EU</v>
      </c>
      <c r="J320" s="7" t="n">
        <f aca="false">E320*F320</f>
        <v>16.6</v>
      </c>
      <c r="K320" s="8" t="str">
        <f aca="false">IF(H320="","",1-F320/H320)</f>
        <v/>
      </c>
    </row>
    <row r="321" customFormat="false" ht="15" hidden="false" customHeight="false" outlineLevel="0" collapsed="false">
      <c r="A321" s="0" t="s">
        <v>299</v>
      </c>
      <c r="B321" s="6" t="n">
        <v>40881.5791666667</v>
      </c>
      <c r="C321" s="0" t="s">
        <v>29</v>
      </c>
      <c r="D321" s="0" t="s">
        <v>310</v>
      </c>
      <c r="E321" s="0" t="n">
        <v>12</v>
      </c>
      <c r="F321" s="0" t="n">
        <v>1.95</v>
      </c>
      <c r="G321" s="7" t="str">
        <f aca="false">_xlfn.XLOOKUP(D321,Catalog!$B$2:$B$4102,Catalog!$A$2:$A$4102,"NOT IN CATALOG")</f>
        <v>DOLLY GIRL LUNCH BOX</v>
      </c>
      <c r="H321" s="7" t="n">
        <f aca="false">_xlfn.IFNA(VLOOKUP(D321,Catalog!$B$2:$C$4102,2,FALSE()),"")</f>
        <v>1.95</v>
      </c>
      <c r="I321" s="7" t="str">
        <f aca="false">HLOOKUP(C321,Regions!$B$1:$S$2,2,FALSE())</f>
        <v>EU</v>
      </c>
      <c r="J321" s="7" t="n">
        <f aca="false">E321*F321</f>
        <v>23.4</v>
      </c>
      <c r="K321" s="8" t="n">
        <f aca="false">IF(H321="","",1-F321/H321)</f>
        <v>0</v>
      </c>
    </row>
    <row r="322" customFormat="false" ht="15" hidden="false" customHeight="false" outlineLevel="0" collapsed="false">
      <c r="A322" s="0" t="s">
        <v>299</v>
      </c>
      <c r="B322" s="6" t="n">
        <v>40881.5791666667</v>
      </c>
      <c r="C322" s="0" t="s">
        <v>29</v>
      </c>
      <c r="D322" s="0" t="s">
        <v>311</v>
      </c>
      <c r="E322" s="0" t="n">
        <v>10</v>
      </c>
      <c r="F322" s="0" t="n">
        <v>1.25</v>
      </c>
      <c r="G322" s="7" t="str">
        <f aca="false">_xlfn.XLOOKUP(D322,Catalog!$B$2:$B$4102,Catalog!$A$2:$A$4102,"NOT IN CATALOG")</f>
        <v>SET OF 4 ENGLISH ROSE COASTERS</v>
      </c>
      <c r="H322" s="7" t="n">
        <f aca="false">_xlfn.IFNA(VLOOKUP(D322,Catalog!$B$2:$C$4102,2,FALSE()),"")</f>
        <v>1.25</v>
      </c>
      <c r="I322" s="7" t="str">
        <f aca="false">HLOOKUP(C322,Regions!$B$1:$S$2,2,FALSE())</f>
        <v>EU</v>
      </c>
      <c r="J322" s="7" t="n">
        <f aca="false">E322*F322</f>
        <v>12.5</v>
      </c>
      <c r="K322" s="8" t="n">
        <f aca="false">IF(H322="","",1-F322/H322)</f>
        <v>0</v>
      </c>
    </row>
    <row r="323" customFormat="false" ht="15" hidden="false" customHeight="false" outlineLevel="0" collapsed="false">
      <c r="A323" s="0" t="s">
        <v>299</v>
      </c>
      <c r="B323" s="6" t="n">
        <v>40881.5791666667</v>
      </c>
      <c r="C323" s="0" t="s">
        <v>29</v>
      </c>
      <c r="D323" s="0" t="s">
        <v>312</v>
      </c>
      <c r="E323" s="0" t="n">
        <v>4</v>
      </c>
      <c r="F323" s="0" t="n">
        <v>8.25</v>
      </c>
      <c r="G323" s="7" t="str">
        <f aca="false">_xlfn.XLOOKUP(D323,Catalog!$B$2:$B$4102,Catalog!$A$2:$A$4102,"NOT IN CATALOG")</f>
        <v>DOORMAT WELCOME TO OUR HOME</v>
      </c>
      <c r="H323" s="7" t="n">
        <f aca="false">_xlfn.IFNA(VLOOKUP(D323,Catalog!$B$2:$C$4102,2,FALSE()),"")</f>
        <v>7.95</v>
      </c>
      <c r="I323" s="7" t="str">
        <f aca="false">HLOOKUP(C323,Regions!$B$1:$S$2,2,FALSE())</f>
        <v>EU</v>
      </c>
      <c r="J323" s="7" t="n">
        <f aca="false">E323*F323</f>
        <v>33</v>
      </c>
      <c r="K323" s="8" t="n">
        <f aca="false">IF(H323="","",1-F323/H323)</f>
        <v>-0.0377358490566038</v>
      </c>
    </row>
    <row r="324" customFormat="false" ht="15" hidden="false" customHeight="false" outlineLevel="0" collapsed="false">
      <c r="A324" s="0" t="s">
        <v>299</v>
      </c>
      <c r="B324" s="6" t="n">
        <v>40881.5791666667</v>
      </c>
      <c r="C324" s="0" t="s">
        <v>29</v>
      </c>
      <c r="D324" s="0" t="s">
        <v>313</v>
      </c>
      <c r="E324" s="0" t="n">
        <v>12</v>
      </c>
      <c r="F324" s="0" t="n">
        <v>0.42</v>
      </c>
      <c r="G324" s="7" t="str">
        <f aca="false">_xlfn.XLOOKUP(D324,Catalog!$B$2:$B$4102,Catalog!$A$2:$A$4102,"NOT IN CATALOG")</f>
        <v>ASSORTED BOTTLE TOP MAGNETS</v>
      </c>
      <c r="H324" s="7" t="n">
        <f aca="false">_xlfn.IFNA(VLOOKUP(D324,Catalog!$B$2:$C$4102,2,FALSE()),"")</f>
        <v>0.42</v>
      </c>
      <c r="I324" s="7" t="str">
        <f aca="false">HLOOKUP(C324,Regions!$B$1:$S$2,2,FALSE())</f>
        <v>EU</v>
      </c>
      <c r="J324" s="7" t="n">
        <f aca="false">E324*F324</f>
        <v>5.04</v>
      </c>
      <c r="K324" s="8" t="n">
        <f aca="false">IF(H324="","",1-F324/H324)</f>
        <v>0</v>
      </c>
    </row>
    <row r="325" customFormat="false" ht="15" hidden="false" customHeight="false" outlineLevel="0" collapsed="false">
      <c r="A325" s="0" t="s">
        <v>299</v>
      </c>
      <c r="B325" s="6" t="n">
        <v>40881.5791666667</v>
      </c>
      <c r="C325" s="0" t="s">
        <v>29</v>
      </c>
      <c r="D325" s="0" t="s">
        <v>62</v>
      </c>
      <c r="E325" s="0" t="n">
        <v>8</v>
      </c>
      <c r="F325" s="0" t="n">
        <v>3.75</v>
      </c>
      <c r="G325" s="7" t="str">
        <f aca="false">_xlfn.XLOOKUP(D325,Catalog!$B$2:$B$4102,Catalog!$A$2:$A$4102,"NOT IN CATALOG")</f>
        <v>ALARM CLOCK BAKELIKE CHOCOLATE</v>
      </c>
      <c r="H325" s="7" t="n">
        <f aca="false">_xlfn.IFNA(VLOOKUP(D325,Catalog!$B$2:$C$4102,2,FALSE()),"")</f>
        <v>3.75</v>
      </c>
      <c r="I325" s="7" t="str">
        <f aca="false">HLOOKUP(C325,Regions!$B$1:$S$2,2,FALSE())</f>
        <v>EU</v>
      </c>
      <c r="J325" s="7" t="n">
        <f aca="false">E325*F325</f>
        <v>30</v>
      </c>
      <c r="K325" s="8" t="n">
        <f aca="false">IF(H325="","",1-F325/H325)</f>
        <v>0</v>
      </c>
    </row>
    <row r="326" customFormat="false" ht="15" hidden="false" customHeight="false" outlineLevel="0" collapsed="false">
      <c r="A326" s="0" t="s">
        <v>299</v>
      </c>
      <c r="B326" s="6" t="n">
        <v>40881.5791666667</v>
      </c>
      <c r="C326" s="0" t="s">
        <v>29</v>
      </c>
      <c r="D326" s="0" t="s">
        <v>314</v>
      </c>
      <c r="E326" s="0" t="n">
        <v>10</v>
      </c>
      <c r="F326" s="0" t="n">
        <v>1.25</v>
      </c>
      <c r="G326" s="7" t="str">
        <f aca="false">_xlfn.XLOOKUP(D326,Catalog!$B$2:$B$4102,Catalog!$A$2:$A$4102,"NOT IN CATALOG")</f>
        <v>RED SPOTTY OVEN GLOVE</v>
      </c>
      <c r="H326" s="7" t="n">
        <f aca="false">_xlfn.IFNA(VLOOKUP(D326,Catalog!$B$2:$C$4102,2,FALSE()),"")</f>
        <v>1.25</v>
      </c>
      <c r="I326" s="7" t="str">
        <f aca="false">HLOOKUP(C326,Regions!$B$1:$S$2,2,FALSE())</f>
        <v>EU</v>
      </c>
      <c r="J326" s="7" t="n">
        <f aca="false">E326*F326</f>
        <v>12.5</v>
      </c>
      <c r="K326" s="8" t="n">
        <f aca="false">IF(H326="","",1-F326/H326)</f>
        <v>0</v>
      </c>
    </row>
    <row r="327" customFormat="false" ht="15" hidden="false" customHeight="false" outlineLevel="0" collapsed="false">
      <c r="A327" s="0" t="s">
        <v>299</v>
      </c>
      <c r="B327" s="6" t="n">
        <v>40881.5791666667</v>
      </c>
      <c r="C327" s="0" t="s">
        <v>29</v>
      </c>
      <c r="D327" s="0" t="s">
        <v>44</v>
      </c>
      <c r="E327" s="0" t="n">
        <v>24</v>
      </c>
      <c r="F327" s="0" t="n">
        <v>0.55</v>
      </c>
      <c r="G327" s="7" t="str">
        <f aca="false">_xlfn.XLOOKUP(D327,Catalog!$B$2:$B$4102,Catalog!$A$2:$A$4102,"NOT IN CATALOG")</f>
        <v>PACK OF 72 RETRO SPOT CAKE CASES</v>
      </c>
      <c r="H327" s="7" t="n">
        <f aca="false">_xlfn.IFNA(VLOOKUP(D327,Catalog!$B$2:$C$4102,2,FALSE()),"")</f>
        <v>0.55</v>
      </c>
      <c r="I327" s="7" t="str">
        <f aca="false">HLOOKUP(C327,Regions!$B$1:$S$2,2,FALSE())</f>
        <v>EU</v>
      </c>
      <c r="J327" s="7" t="n">
        <f aca="false">E327*F327</f>
        <v>13.2</v>
      </c>
      <c r="K327" s="8" t="n">
        <f aca="false">IF(H327="","",1-F327/H327)</f>
        <v>0</v>
      </c>
    </row>
    <row r="328" customFormat="false" ht="15" hidden="false" customHeight="false" outlineLevel="0" collapsed="false">
      <c r="A328" s="0" t="s">
        <v>299</v>
      </c>
      <c r="B328" s="6" t="n">
        <v>40881.5791666667</v>
      </c>
      <c r="C328" s="0" t="s">
        <v>29</v>
      </c>
      <c r="D328" s="0" t="s">
        <v>315</v>
      </c>
      <c r="E328" s="0" t="n">
        <v>12</v>
      </c>
      <c r="F328" s="0" t="n">
        <v>2.1</v>
      </c>
      <c r="G328" s="7" t="str">
        <f aca="false">_xlfn.XLOOKUP(D328,Catalog!$B$2:$B$4102,Catalog!$A$2:$A$4102,"NOT IN CATALOG")</f>
        <v>HAND WARMER RED RETROSPOT</v>
      </c>
      <c r="H328" s="7" t="n">
        <f aca="false">_xlfn.IFNA(VLOOKUP(D328,Catalog!$B$2:$C$4102,2,FALSE()),"")</f>
        <v>2.1</v>
      </c>
      <c r="I328" s="7" t="str">
        <f aca="false">HLOOKUP(C328,Regions!$B$1:$S$2,2,FALSE())</f>
        <v>EU</v>
      </c>
      <c r="J328" s="7" t="n">
        <f aca="false">E328*F328</f>
        <v>25.2</v>
      </c>
      <c r="K328" s="8" t="n">
        <f aca="false">IF(H328="","",1-F328/H328)</f>
        <v>0</v>
      </c>
    </row>
    <row r="329" customFormat="false" ht="15" hidden="false" customHeight="false" outlineLevel="0" collapsed="false">
      <c r="A329" s="0" t="s">
        <v>299</v>
      </c>
      <c r="B329" s="6" t="n">
        <v>40881.5791666667</v>
      </c>
      <c r="C329" s="0" t="s">
        <v>29</v>
      </c>
      <c r="D329" s="0" t="s">
        <v>316</v>
      </c>
      <c r="E329" s="0" t="n">
        <v>6</v>
      </c>
      <c r="F329" s="0" t="n">
        <v>4.15</v>
      </c>
      <c r="G329" s="7" t="str">
        <f aca="false">_xlfn.XLOOKUP(D329,Catalog!$B$2:$B$4102,Catalog!$A$2:$A$4102,"NOT IN CATALOG")</f>
        <v>NOT IN CATALOG</v>
      </c>
      <c r="H329" s="7" t="str">
        <f aca="false">_xlfn.IFNA(VLOOKUP(D329,Catalog!$B$2:$C$4102,2,FALSE()),"")</f>
        <v/>
      </c>
      <c r="I329" s="7" t="str">
        <f aca="false">HLOOKUP(C329,Regions!$B$1:$S$2,2,FALSE())</f>
        <v>EU</v>
      </c>
      <c r="J329" s="7" t="n">
        <f aca="false">E329*F329</f>
        <v>24.9</v>
      </c>
      <c r="K329" s="8" t="str">
        <f aca="false">IF(H329="","",1-F329/H329)</f>
        <v/>
      </c>
    </row>
    <row r="330" customFormat="false" ht="15" hidden="false" customHeight="false" outlineLevel="0" collapsed="false">
      <c r="A330" s="0" t="s">
        <v>299</v>
      </c>
      <c r="B330" s="6" t="n">
        <v>40881.5791666667</v>
      </c>
      <c r="C330" s="0" t="s">
        <v>29</v>
      </c>
      <c r="D330" s="0" t="s">
        <v>269</v>
      </c>
      <c r="E330" s="0" t="n">
        <v>6</v>
      </c>
      <c r="F330" s="0" t="n">
        <v>1.95</v>
      </c>
      <c r="G330" s="7" t="str">
        <f aca="false">_xlfn.XLOOKUP(D330,Catalog!$B$2:$B$4102,Catalog!$A$2:$A$4102,"NOT IN CATALOG")</f>
        <v>NOT IN CATALOG</v>
      </c>
      <c r="H330" s="7" t="str">
        <f aca="false">_xlfn.IFNA(VLOOKUP(D330,Catalog!$B$2:$C$4102,2,FALSE()),"")</f>
        <v/>
      </c>
      <c r="I330" s="7" t="str">
        <f aca="false">HLOOKUP(C330,Regions!$B$1:$S$2,2,FALSE())</f>
        <v>EU</v>
      </c>
      <c r="J330" s="7" t="n">
        <f aca="false">E330*F330</f>
        <v>11.7</v>
      </c>
      <c r="K330" s="8" t="str">
        <f aca="false">IF(H330="","",1-F330/H330)</f>
        <v/>
      </c>
    </row>
    <row r="331" customFormat="false" ht="15" hidden="false" customHeight="false" outlineLevel="0" collapsed="false">
      <c r="A331" s="0" t="s">
        <v>299</v>
      </c>
      <c r="B331" s="6" t="n">
        <v>40881.5791666667</v>
      </c>
      <c r="C331" s="0" t="s">
        <v>29</v>
      </c>
      <c r="D331" s="0" t="s">
        <v>268</v>
      </c>
      <c r="E331" s="0" t="n">
        <v>6</v>
      </c>
      <c r="F331" s="0" t="n">
        <v>2.89</v>
      </c>
      <c r="G331" s="7" t="str">
        <f aca="false">_xlfn.XLOOKUP(D331,Catalog!$B$2:$B$4102,Catalog!$A$2:$A$4102,"NOT IN CATALOG")</f>
        <v>NOT IN CATALOG</v>
      </c>
      <c r="H331" s="7" t="str">
        <f aca="false">_xlfn.IFNA(VLOOKUP(D331,Catalog!$B$2:$C$4102,2,FALSE()),"")</f>
        <v/>
      </c>
      <c r="I331" s="7" t="str">
        <f aca="false">HLOOKUP(C331,Regions!$B$1:$S$2,2,FALSE())</f>
        <v>EU</v>
      </c>
      <c r="J331" s="7" t="n">
        <f aca="false">E331*F331</f>
        <v>17.34</v>
      </c>
      <c r="K331" s="8" t="str">
        <f aca="false">IF(H331="","",1-F331/H331)</f>
        <v/>
      </c>
    </row>
    <row r="332" customFormat="false" ht="15" hidden="false" customHeight="false" outlineLevel="0" collapsed="false">
      <c r="A332" s="0" t="s">
        <v>299</v>
      </c>
      <c r="B332" s="6" t="n">
        <v>40881.5791666667</v>
      </c>
      <c r="C332" s="0" t="s">
        <v>29</v>
      </c>
      <c r="D332" s="0" t="s">
        <v>317</v>
      </c>
      <c r="E332" s="0" t="n">
        <v>8</v>
      </c>
      <c r="F332" s="0" t="n">
        <v>4.25</v>
      </c>
      <c r="G332" s="7" t="str">
        <f aca="false">_xlfn.XLOOKUP(D332,Catalog!$B$2:$B$4102,Catalog!$A$2:$A$4102,"NOT IN CATALOG")</f>
        <v>CHICK GREY HOT WATER BOTTLE</v>
      </c>
      <c r="H332" s="7" t="n">
        <f aca="false">_xlfn.IFNA(VLOOKUP(D332,Catalog!$B$2:$C$4102,2,FALSE()),"")</f>
        <v>3.45</v>
      </c>
      <c r="I332" s="7" t="str">
        <f aca="false">HLOOKUP(C332,Regions!$B$1:$S$2,2,FALSE())</f>
        <v>EU</v>
      </c>
      <c r="J332" s="7" t="n">
        <f aca="false">E332*F332</f>
        <v>34</v>
      </c>
      <c r="K332" s="8" t="n">
        <f aca="false">IF(H332="","",1-F332/H332)</f>
        <v>-0.231884057971014</v>
      </c>
    </row>
    <row r="333" customFormat="false" ht="15" hidden="false" customHeight="false" outlineLevel="0" collapsed="false">
      <c r="A333" s="0" t="s">
        <v>299</v>
      </c>
      <c r="B333" s="6" t="n">
        <v>40881.5791666667</v>
      </c>
      <c r="C333" s="0" t="s">
        <v>29</v>
      </c>
      <c r="D333" s="0" t="s">
        <v>39</v>
      </c>
      <c r="E333" s="0" t="n">
        <v>4</v>
      </c>
      <c r="F333" s="0" t="n">
        <v>18</v>
      </c>
      <c r="G333" s="7" t="str">
        <f aca="false">_xlfn.XLOOKUP(D333,Catalog!$B$2:$B$4102,Catalog!$A$2:$A$4102,"NOT IN CATALOG")</f>
        <v>POSTAGE</v>
      </c>
      <c r="H333" s="7" t="n">
        <f aca="false">_xlfn.IFNA(VLOOKUP(D333,Catalog!$B$2:$C$4102,2,FALSE()),"")</f>
        <v>18</v>
      </c>
      <c r="I333" s="7" t="str">
        <f aca="false">HLOOKUP(C333,Regions!$B$1:$S$2,2,FALSE())</f>
        <v>EU</v>
      </c>
      <c r="J333" s="7" t="n">
        <f aca="false">E333*F333</f>
        <v>72</v>
      </c>
      <c r="K333" s="8" t="n">
        <f aca="false">IF(H333="","",1-F333/H333)</f>
        <v>0</v>
      </c>
    </row>
    <row r="334" customFormat="false" ht="15" hidden="false" customHeight="false" outlineLevel="0" collapsed="false">
      <c r="A334" s="0" t="s">
        <v>318</v>
      </c>
      <c r="B334" s="6" t="n">
        <v>40881.5798611111</v>
      </c>
      <c r="C334" s="0" t="s">
        <v>29</v>
      </c>
      <c r="D334" s="0" t="s">
        <v>319</v>
      </c>
      <c r="E334" s="0" t="n">
        <v>12</v>
      </c>
      <c r="F334" s="0" t="n">
        <v>0.85</v>
      </c>
      <c r="G334" s="7" t="str">
        <f aca="false">_xlfn.XLOOKUP(D334,Catalog!$B$2:$B$4102,Catalog!$A$2:$A$4102,"NOT IN CATALOG")</f>
        <v>IVORY HANGING DECORATION BIRD</v>
      </c>
      <c r="H334" s="7" t="n">
        <f aca="false">_xlfn.IFNA(VLOOKUP(D334,Catalog!$B$2:$C$4102,2,FALSE()),"")</f>
        <v>0.85</v>
      </c>
      <c r="I334" s="7" t="str">
        <f aca="false">HLOOKUP(C334,Regions!$B$1:$S$2,2,FALSE())</f>
        <v>EU</v>
      </c>
      <c r="J334" s="7" t="n">
        <f aca="false">E334*F334</f>
        <v>10.2</v>
      </c>
      <c r="K334" s="8" t="n">
        <f aca="false">IF(H334="","",1-F334/H334)</f>
        <v>0</v>
      </c>
    </row>
    <row r="335" customFormat="false" ht="15" hidden="false" customHeight="false" outlineLevel="0" collapsed="false">
      <c r="A335" s="0" t="s">
        <v>318</v>
      </c>
      <c r="B335" s="6" t="n">
        <v>40881.5798611111</v>
      </c>
      <c r="C335" s="0" t="s">
        <v>29</v>
      </c>
      <c r="D335" s="0" t="s">
        <v>320</v>
      </c>
      <c r="E335" s="0" t="n">
        <v>10</v>
      </c>
      <c r="F335" s="0" t="n">
        <v>1.25</v>
      </c>
      <c r="G335" s="7" t="str">
        <f aca="false">_xlfn.XLOOKUP(D335,Catalog!$B$2:$B$4102,Catalog!$A$2:$A$4102,"NOT IN CATALOG")</f>
        <v>LAVENDER SCENTED FABRIC HEART</v>
      </c>
      <c r="H335" s="7" t="n">
        <f aca="false">_xlfn.IFNA(VLOOKUP(D335,Catalog!$B$2:$C$4102,2,FALSE()),"")</f>
        <v>1.25</v>
      </c>
      <c r="I335" s="7" t="str">
        <f aca="false">HLOOKUP(C335,Regions!$B$1:$S$2,2,FALSE())</f>
        <v>EU</v>
      </c>
      <c r="J335" s="7" t="n">
        <f aca="false">E335*F335</f>
        <v>12.5</v>
      </c>
      <c r="K335" s="8" t="n">
        <f aca="false">IF(H335="","",1-F335/H335)</f>
        <v>0</v>
      </c>
    </row>
    <row r="336" customFormat="false" ht="15" hidden="false" customHeight="false" outlineLevel="0" collapsed="false">
      <c r="A336" s="0" t="s">
        <v>318</v>
      </c>
      <c r="B336" s="6" t="n">
        <v>40881.5798611111</v>
      </c>
      <c r="C336" s="0" t="s">
        <v>29</v>
      </c>
      <c r="D336" s="0" t="s">
        <v>47</v>
      </c>
      <c r="E336" s="0" t="n">
        <v>4</v>
      </c>
      <c r="F336" s="0" t="n">
        <v>7.95</v>
      </c>
      <c r="G336" s="7" t="str">
        <f aca="false">_xlfn.XLOOKUP(D336,Catalog!$B$2:$B$4102,Catalog!$A$2:$A$4102,"NOT IN CATALOG")</f>
        <v>RED/WHITE DOT MINI CASES</v>
      </c>
      <c r="H336" s="7" t="n">
        <f aca="false">_xlfn.IFNA(VLOOKUP(D336,Catalog!$B$2:$C$4102,2,FALSE()),"")</f>
        <v>7.95</v>
      </c>
      <c r="I336" s="7" t="str">
        <f aca="false">HLOOKUP(C336,Regions!$B$1:$S$2,2,FALSE())</f>
        <v>EU</v>
      </c>
      <c r="J336" s="7" t="n">
        <f aca="false">E336*F336</f>
        <v>31.8</v>
      </c>
      <c r="K336" s="8" t="n">
        <f aca="false">IF(H336="","",1-F336/H336)</f>
        <v>0</v>
      </c>
    </row>
    <row r="337" customFormat="false" ht="15" hidden="false" customHeight="false" outlineLevel="0" collapsed="false">
      <c r="A337" s="0" t="s">
        <v>318</v>
      </c>
      <c r="B337" s="6" t="n">
        <v>40881.5798611111</v>
      </c>
      <c r="C337" s="0" t="s">
        <v>29</v>
      </c>
      <c r="D337" s="0" t="s">
        <v>103</v>
      </c>
      <c r="E337" s="0" t="n">
        <v>10</v>
      </c>
      <c r="F337" s="0" t="n">
        <v>2.08</v>
      </c>
      <c r="G337" s="7" t="str">
        <f aca="false">_xlfn.XLOOKUP(D337,Catalog!$B$2:$B$4102,Catalog!$A$2:$A$4102,"NOT IN CATALOG")</f>
        <v>JUMBO BAG WOODLAND ANIMALS</v>
      </c>
      <c r="H337" s="7" t="n">
        <f aca="false">_xlfn.IFNA(VLOOKUP(D337,Catalog!$B$2:$C$4102,2,FALSE()),"")</f>
        <v>1.95</v>
      </c>
      <c r="I337" s="7" t="str">
        <f aca="false">HLOOKUP(C337,Regions!$B$1:$S$2,2,FALSE())</f>
        <v>EU</v>
      </c>
      <c r="J337" s="7" t="n">
        <f aca="false">E337*F337</f>
        <v>20.8</v>
      </c>
      <c r="K337" s="8" t="n">
        <f aca="false">IF(H337="","",1-F337/H337)</f>
        <v>-0.0666666666666667</v>
      </c>
    </row>
    <row r="338" customFormat="false" ht="15" hidden="false" customHeight="false" outlineLevel="0" collapsed="false">
      <c r="A338" s="0" t="s">
        <v>318</v>
      </c>
      <c r="B338" s="6" t="n">
        <v>40881.5798611111</v>
      </c>
      <c r="C338" s="0" t="s">
        <v>29</v>
      </c>
      <c r="D338" s="0" t="s">
        <v>254</v>
      </c>
      <c r="E338" s="0" t="n">
        <v>10</v>
      </c>
      <c r="F338" s="0" t="n">
        <v>0.85</v>
      </c>
      <c r="G338" s="7" t="str">
        <f aca="false">_xlfn.XLOOKUP(D338,Catalog!$B$2:$B$4102,Catalog!$A$2:$A$4102,"NOT IN CATALOG")</f>
        <v>RED SPOTTY CHARLOTTE BAG</v>
      </c>
      <c r="H338" s="7" t="n">
        <f aca="false">_xlfn.IFNA(VLOOKUP(D338,Catalog!$B$2:$C$4102,2,FALSE()),"")</f>
        <v>0.85</v>
      </c>
      <c r="I338" s="7" t="str">
        <f aca="false">HLOOKUP(C338,Regions!$B$1:$S$2,2,FALSE())</f>
        <v>EU</v>
      </c>
      <c r="J338" s="7" t="n">
        <f aca="false">E338*F338</f>
        <v>8.5</v>
      </c>
      <c r="K338" s="8" t="n">
        <f aca="false">IF(H338="","",1-F338/H338)</f>
        <v>0</v>
      </c>
    </row>
    <row r="339" customFormat="false" ht="15" hidden="false" customHeight="false" outlineLevel="0" collapsed="false">
      <c r="A339" s="0" t="s">
        <v>318</v>
      </c>
      <c r="B339" s="6" t="n">
        <v>40881.5798611111</v>
      </c>
      <c r="C339" s="0" t="s">
        <v>29</v>
      </c>
      <c r="D339" s="0" t="s">
        <v>87</v>
      </c>
      <c r="E339" s="0" t="n">
        <v>10</v>
      </c>
      <c r="F339" s="0" t="n">
        <v>2.08</v>
      </c>
      <c r="G339" s="7" t="str">
        <f aca="false">_xlfn.XLOOKUP(D339,Catalog!$B$2:$B$4102,Catalog!$A$2:$A$4102,"NOT IN CATALOG")</f>
        <v>JUMBO BAG RED RETROSPOT</v>
      </c>
      <c r="H339" s="7" t="n">
        <f aca="false">_xlfn.IFNA(VLOOKUP(D339,Catalog!$B$2:$C$4102,2,FALSE()),"")</f>
        <v>1.95</v>
      </c>
      <c r="I339" s="7" t="str">
        <f aca="false">HLOOKUP(C339,Regions!$B$1:$S$2,2,FALSE())</f>
        <v>EU</v>
      </c>
      <c r="J339" s="7" t="n">
        <f aca="false">E339*F339</f>
        <v>20.8</v>
      </c>
      <c r="K339" s="8" t="n">
        <f aca="false">IF(H339="","",1-F339/H339)</f>
        <v>-0.0666666666666667</v>
      </c>
    </row>
    <row r="340" customFormat="false" ht="15" hidden="false" customHeight="false" outlineLevel="0" collapsed="false">
      <c r="A340" s="0" t="s">
        <v>318</v>
      </c>
      <c r="B340" s="6" t="n">
        <v>40881.5798611111</v>
      </c>
      <c r="C340" s="0" t="s">
        <v>29</v>
      </c>
      <c r="D340" s="0" t="s">
        <v>227</v>
      </c>
      <c r="E340" s="0" t="n">
        <v>10</v>
      </c>
      <c r="F340" s="0" t="n">
        <v>2.08</v>
      </c>
      <c r="G340" s="7" t="str">
        <f aca="false">_xlfn.XLOOKUP(D340,Catalog!$B$2:$B$4102,Catalog!$A$2:$A$4102,"NOT IN CATALOG")</f>
        <v>NOT IN CATALOG</v>
      </c>
      <c r="H340" s="7" t="str">
        <f aca="false">_xlfn.IFNA(VLOOKUP(D340,Catalog!$B$2:$C$4102,2,FALSE()),"")</f>
        <v/>
      </c>
      <c r="I340" s="7" t="str">
        <f aca="false">HLOOKUP(C340,Regions!$B$1:$S$2,2,FALSE())</f>
        <v>EU</v>
      </c>
      <c r="J340" s="7" t="n">
        <f aca="false">E340*F340</f>
        <v>20.8</v>
      </c>
      <c r="K340" s="8" t="str">
        <f aca="false">IF(H340="","",1-F340/H340)</f>
        <v/>
      </c>
    </row>
    <row r="341" customFormat="false" ht="15" hidden="false" customHeight="false" outlineLevel="0" collapsed="false">
      <c r="A341" s="0" t="s">
        <v>318</v>
      </c>
      <c r="B341" s="6" t="n">
        <v>40881.5798611111</v>
      </c>
      <c r="C341" s="0" t="s">
        <v>29</v>
      </c>
      <c r="D341" s="0" t="s">
        <v>321</v>
      </c>
      <c r="E341" s="0" t="n">
        <v>6</v>
      </c>
      <c r="F341" s="0" t="n">
        <v>2.95</v>
      </c>
      <c r="G341" s="7" t="str">
        <f aca="false">_xlfn.XLOOKUP(D341,Catalog!$B$2:$B$4102,Catalog!$A$2:$A$4102,"NOT IN CATALOG")</f>
        <v>TOADSTOOL MONEY BOX</v>
      </c>
      <c r="H341" s="7" t="n">
        <f aca="false">_xlfn.IFNA(VLOOKUP(D341,Catalog!$B$2:$C$4102,2,FALSE()),"")</f>
        <v>2.95</v>
      </c>
      <c r="I341" s="7" t="str">
        <f aca="false">HLOOKUP(C341,Regions!$B$1:$S$2,2,FALSE())</f>
        <v>EU</v>
      </c>
      <c r="J341" s="7" t="n">
        <f aca="false">E341*F341</f>
        <v>17.7</v>
      </c>
      <c r="K341" s="8" t="n">
        <f aca="false">IF(H341="","",1-F341/H341)</f>
        <v>0</v>
      </c>
    </row>
    <row r="342" customFormat="false" ht="15" hidden="false" customHeight="false" outlineLevel="0" collapsed="false">
      <c r="A342" s="0" t="s">
        <v>318</v>
      </c>
      <c r="B342" s="6" t="n">
        <v>40881.5798611111</v>
      </c>
      <c r="C342" s="0" t="s">
        <v>29</v>
      </c>
      <c r="D342" s="0" t="s">
        <v>99</v>
      </c>
      <c r="E342" s="0" t="n">
        <v>3</v>
      </c>
      <c r="F342" s="0" t="n">
        <v>4.95</v>
      </c>
      <c r="G342" s="7" t="str">
        <f aca="false">_xlfn.XLOOKUP(D342,Catalog!$B$2:$B$4102,Catalog!$A$2:$A$4102,"NOT IN CATALOG")</f>
        <v>RETRO SPOT TEA SET CERAMIC 11 PC</v>
      </c>
      <c r="H342" s="7" t="n">
        <f aca="false">_xlfn.IFNA(VLOOKUP(D342,Catalog!$B$2:$C$4102,2,FALSE()),"")</f>
        <v>4.95</v>
      </c>
      <c r="I342" s="7" t="str">
        <f aca="false">HLOOKUP(C342,Regions!$B$1:$S$2,2,FALSE())</f>
        <v>EU</v>
      </c>
      <c r="J342" s="7" t="n">
        <f aca="false">E342*F342</f>
        <v>14.85</v>
      </c>
      <c r="K342" s="8" t="n">
        <f aca="false">IF(H342="","",1-F342/H342)</f>
        <v>0</v>
      </c>
    </row>
    <row r="343" customFormat="false" ht="15" hidden="false" customHeight="false" outlineLevel="0" collapsed="false">
      <c r="A343" s="0" t="s">
        <v>318</v>
      </c>
      <c r="B343" s="6" t="n">
        <v>40881.5798611111</v>
      </c>
      <c r="C343" s="0" t="s">
        <v>29</v>
      </c>
      <c r="D343" s="0" t="s">
        <v>98</v>
      </c>
      <c r="E343" s="0" t="n">
        <v>3</v>
      </c>
      <c r="F343" s="0" t="n">
        <v>4.95</v>
      </c>
      <c r="G343" s="7" t="str">
        <f aca="false">_xlfn.XLOOKUP(D343,Catalog!$B$2:$B$4102,Catalog!$A$2:$A$4102,"NOT IN CATALOG")</f>
        <v>BAKING SET 9 PIECE RETROSPOT</v>
      </c>
      <c r="H343" s="7" t="n">
        <f aca="false">_xlfn.IFNA(VLOOKUP(D343,Catalog!$B$2:$C$4102,2,FALSE()),"")</f>
        <v>4.95</v>
      </c>
      <c r="I343" s="7" t="str">
        <f aca="false">HLOOKUP(C343,Regions!$B$1:$S$2,2,FALSE())</f>
        <v>EU</v>
      </c>
      <c r="J343" s="7" t="n">
        <f aca="false">E343*F343</f>
        <v>14.85</v>
      </c>
      <c r="K343" s="8" t="n">
        <f aca="false">IF(H343="","",1-F343/H343)</f>
        <v>0</v>
      </c>
    </row>
    <row r="344" customFormat="false" ht="15" hidden="false" customHeight="false" outlineLevel="0" collapsed="false">
      <c r="A344" s="0" t="s">
        <v>318</v>
      </c>
      <c r="B344" s="6" t="n">
        <v>40881.5798611111</v>
      </c>
      <c r="C344" s="0" t="s">
        <v>29</v>
      </c>
      <c r="D344" s="0" t="s">
        <v>243</v>
      </c>
      <c r="E344" s="0" t="n">
        <v>12</v>
      </c>
      <c r="F344" s="0" t="n">
        <v>1.65</v>
      </c>
      <c r="G344" s="7" t="str">
        <f aca="false">_xlfn.XLOOKUP(D344,Catalog!$B$2:$B$4102,Catalog!$A$2:$A$4102,"NOT IN CATALOG")</f>
        <v>PLASTERS IN TIN WOODLAND ANIMALS</v>
      </c>
      <c r="H344" s="7" t="n">
        <f aca="false">_xlfn.IFNA(VLOOKUP(D344,Catalog!$B$2:$C$4102,2,FALSE()),"")</f>
        <v>1.65</v>
      </c>
      <c r="I344" s="7" t="str">
        <f aca="false">HLOOKUP(C344,Regions!$B$1:$S$2,2,FALSE())</f>
        <v>EU</v>
      </c>
      <c r="J344" s="7" t="n">
        <f aca="false">E344*F344</f>
        <v>19.8</v>
      </c>
      <c r="K344" s="8" t="n">
        <f aca="false">IF(H344="","",1-F344/H344)</f>
        <v>0</v>
      </c>
    </row>
    <row r="345" customFormat="false" ht="15" hidden="false" customHeight="false" outlineLevel="0" collapsed="false">
      <c r="A345" s="0" t="s">
        <v>318</v>
      </c>
      <c r="B345" s="6" t="n">
        <v>40881.5798611111</v>
      </c>
      <c r="C345" s="0" t="s">
        <v>29</v>
      </c>
      <c r="D345" s="0" t="s">
        <v>244</v>
      </c>
      <c r="E345" s="0" t="n">
        <v>12</v>
      </c>
      <c r="F345" s="0" t="n">
        <v>1.65</v>
      </c>
      <c r="G345" s="7" t="str">
        <f aca="false">_xlfn.XLOOKUP(D345,Catalog!$B$2:$B$4102,Catalog!$A$2:$A$4102,"NOT IN CATALOG")</f>
        <v>PLASTERS IN TIN STRONGMAN</v>
      </c>
      <c r="H345" s="7" t="n">
        <f aca="false">_xlfn.IFNA(VLOOKUP(D345,Catalog!$B$2:$C$4102,2,FALSE()),"")</f>
        <v>1.65</v>
      </c>
      <c r="I345" s="7" t="str">
        <f aca="false">HLOOKUP(C345,Regions!$B$1:$S$2,2,FALSE())</f>
        <v>EU</v>
      </c>
      <c r="J345" s="7" t="n">
        <f aca="false">E345*F345</f>
        <v>19.8</v>
      </c>
      <c r="K345" s="8" t="n">
        <f aca="false">IF(H345="","",1-F345/H345)</f>
        <v>0</v>
      </c>
    </row>
    <row r="346" customFormat="false" ht="15" hidden="false" customHeight="false" outlineLevel="0" collapsed="false">
      <c r="A346" s="0" t="s">
        <v>318</v>
      </c>
      <c r="B346" s="6" t="n">
        <v>40881.5798611111</v>
      </c>
      <c r="C346" s="0" t="s">
        <v>29</v>
      </c>
      <c r="D346" s="0" t="s">
        <v>121</v>
      </c>
      <c r="E346" s="0" t="n">
        <v>20</v>
      </c>
      <c r="F346" s="0" t="n">
        <v>1.95</v>
      </c>
      <c r="G346" s="7" t="str">
        <f aca="false">_xlfn.XLOOKUP(D346,Catalog!$B$2:$B$4102,Catalog!$A$2:$A$4102,"NOT IN CATALOG")</f>
        <v>NOT IN CATALOG</v>
      </c>
      <c r="H346" s="7" t="str">
        <f aca="false">_xlfn.IFNA(VLOOKUP(D346,Catalog!$B$2:$C$4102,2,FALSE()),"")</f>
        <v/>
      </c>
      <c r="I346" s="7" t="str">
        <f aca="false">HLOOKUP(C346,Regions!$B$1:$S$2,2,FALSE())</f>
        <v>EU</v>
      </c>
      <c r="J346" s="7" t="n">
        <f aca="false">E346*F346</f>
        <v>39</v>
      </c>
      <c r="K346" s="8" t="str">
        <f aca="false">IF(H346="","",1-F346/H346)</f>
        <v/>
      </c>
    </row>
    <row r="347" customFormat="false" ht="15" hidden="false" customHeight="false" outlineLevel="0" collapsed="false">
      <c r="A347" s="0" t="s">
        <v>318</v>
      </c>
      <c r="B347" s="6" t="n">
        <v>40881.5798611111</v>
      </c>
      <c r="C347" s="0" t="s">
        <v>29</v>
      </c>
      <c r="D347" s="0" t="s">
        <v>322</v>
      </c>
      <c r="E347" s="0" t="n">
        <v>12</v>
      </c>
      <c r="F347" s="0" t="n">
        <v>0.83</v>
      </c>
      <c r="G347" s="7" t="str">
        <f aca="false">_xlfn.XLOOKUP(D347,Catalog!$B$2:$B$4102,Catalog!$A$2:$A$4102,"NOT IN CATALOG")</f>
        <v>NOT IN CATALOG</v>
      </c>
      <c r="H347" s="7" t="str">
        <f aca="false">_xlfn.IFNA(VLOOKUP(D347,Catalog!$B$2:$C$4102,2,FALSE()),"")</f>
        <v/>
      </c>
      <c r="I347" s="7" t="str">
        <f aca="false">HLOOKUP(C347,Regions!$B$1:$S$2,2,FALSE())</f>
        <v>EU</v>
      </c>
      <c r="J347" s="7" t="n">
        <f aca="false">E347*F347</f>
        <v>9.96</v>
      </c>
      <c r="K347" s="8" t="str">
        <f aca="false">IF(H347="","",1-F347/H347)</f>
        <v/>
      </c>
    </row>
    <row r="348" customFormat="false" ht="15" hidden="false" customHeight="false" outlineLevel="0" collapsed="false">
      <c r="A348" s="0" t="s">
        <v>318</v>
      </c>
      <c r="B348" s="6" t="n">
        <v>40881.5798611111</v>
      </c>
      <c r="C348" s="0" t="s">
        <v>29</v>
      </c>
      <c r="D348" s="0" t="s">
        <v>323</v>
      </c>
      <c r="E348" s="0" t="n">
        <v>12</v>
      </c>
      <c r="F348" s="0" t="n">
        <v>0.83</v>
      </c>
      <c r="G348" s="7" t="str">
        <f aca="false">_xlfn.XLOOKUP(D348,Catalog!$B$2:$B$4102,Catalog!$A$2:$A$4102,"NOT IN CATALOG")</f>
        <v>NOT IN CATALOG</v>
      </c>
      <c r="H348" s="7" t="str">
        <f aca="false">_xlfn.IFNA(VLOOKUP(D348,Catalog!$B$2:$C$4102,2,FALSE()),"")</f>
        <v/>
      </c>
      <c r="I348" s="7" t="str">
        <f aca="false">HLOOKUP(C348,Regions!$B$1:$S$2,2,FALSE())</f>
        <v>EU</v>
      </c>
      <c r="J348" s="7" t="n">
        <f aca="false">E348*F348</f>
        <v>9.96</v>
      </c>
      <c r="K348" s="8" t="str">
        <f aca="false">IF(H348="","",1-F348/H348)</f>
        <v/>
      </c>
    </row>
    <row r="349" customFormat="false" ht="15" hidden="false" customHeight="false" outlineLevel="0" collapsed="false">
      <c r="A349" s="0" t="s">
        <v>318</v>
      </c>
      <c r="B349" s="6" t="n">
        <v>40881.5798611111</v>
      </c>
      <c r="C349" s="0" t="s">
        <v>29</v>
      </c>
      <c r="D349" s="0" t="s">
        <v>236</v>
      </c>
      <c r="E349" s="0" t="n">
        <v>12</v>
      </c>
      <c r="F349" s="0" t="n">
        <v>3.75</v>
      </c>
      <c r="G349" s="7" t="str">
        <f aca="false">_xlfn.XLOOKUP(D349,Catalog!$B$2:$B$4102,Catalog!$A$2:$A$4102,"NOT IN CATALOG")</f>
        <v>NOT IN CATALOG</v>
      </c>
      <c r="H349" s="7" t="str">
        <f aca="false">_xlfn.IFNA(VLOOKUP(D349,Catalog!$B$2:$C$4102,2,FALSE()),"")</f>
        <v/>
      </c>
      <c r="I349" s="7" t="str">
        <f aca="false">HLOOKUP(C349,Regions!$B$1:$S$2,2,FALSE())</f>
        <v>EU</v>
      </c>
      <c r="J349" s="7" t="n">
        <f aca="false">E349*F349</f>
        <v>45</v>
      </c>
      <c r="K349" s="8" t="str">
        <f aca="false">IF(H349="","",1-F349/H349)</f>
        <v/>
      </c>
    </row>
    <row r="350" customFormat="false" ht="15" hidden="false" customHeight="false" outlineLevel="0" collapsed="false">
      <c r="A350" s="0" t="s">
        <v>318</v>
      </c>
      <c r="B350" s="6" t="n">
        <v>40881.5798611111</v>
      </c>
      <c r="C350" s="0" t="s">
        <v>29</v>
      </c>
      <c r="D350" s="0" t="s">
        <v>238</v>
      </c>
      <c r="E350" s="0" t="n">
        <v>10</v>
      </c>
      <c r="F350" s="0" t="n">
        <v>2.08</v>
      </c>
      <c r="G350" s="7" t="str">
        <f aca="false">_xlfn.XLOOKUP(D350,Catalog!$B$2:$B$4102,Catalog!$A$2:$A$4102,"NOT IN CATALOG")</f>
        <v>NOT IN CATALOG</v>
      </c>
      <c r="H350" s="7" t="str">
        <f aca="false">_xlfn.IFNA(VLOOKUP(D350,Catalog!$B$2:$C$4102,2,FALSE()),"")</f>
        <v/>
      </c>
      <c r="I350" s="7" t="str">
        <f aca="false">HLOOKUP(C350,Regions!$B$1:$S$2,2,FALSE())</f>
        <v>EU</v>
      </c>
      <c r="J350" s="7" t="n">
        <f aca="false">E350*F350</f>
        <v>20.8</v>
      </c>
      <c r="K350" s="8" t="str">
        <f aca="false">IF(H350="","",1-F350/H350)</f>
        <v/>
      </c>
    </row>
    <row r="351" customFormat="false" ht="15" hidden="false" customHeight="false" outlineLevel="0" collapsed="false">
      <c r="A351" s="0" t="s">
        <v>318</v>
      </c>
      <c r="B351" s="6" t="n">
        <v>40881.5798611111</v>
      </c>
      <c r="C351" s="0" t="s">
        <v>29</v>
      </c>
      <c r="D351" s="0" t="s">
        <v>324</v>
      </c>
      <c r="E351" s="0" t="n">
        <v>10</v>
      </c>
      <c r="F351" s="0" t="n">
        <v>1.65</v>
      </c>
      <c r="G351" s="7" t="str">
        <f aca="false">_xlfn.XLOOKUP(D351,Catalog!$B$2:$B$4102,Catalog!$A$2:$A$4102,"NOT IN CATALOG")</f>
        <v>NOT IN CATALOG</v>
      </c>
      <c r="H351" s="7" t="str">
        <f aca="false">_xlfn.IFNA(VLOOKUP(D351,Catalog!$B$2:$C$4102,2,FALSE()),"")</f>
        <v/>
      </c>
      <c r="I351" s="7" t="str">
        <f aca="false">HLOOKUP(C351,Regions!$B$1:$S$2,2,FALSE())</f>
        <v>EU</v>
      </c>
      <c r="J351" s="7" t="n">
        <f aca="false">E351*F351</f>
        <v>16.5</v>
      </c>
      <c r="K351" s="8" t="str">
        <f aca="false">IF(H351="","",1-F351/H351)</f>
        <v/>
      </c>
    </row>
    <row r="352" customFormat="false" ht="15" hidden="false" customHeight="false" outlineLevel="0" collapsed="false">
      <c r="A352" s="0" t="s">
        <v>318</v>
      </c>
      <c r="B352" s="6" t="n">
        <v>40881.5798611111</v>
      </c>
      <c r="C352" s="0" t="s">
        <v>29</v>
      </c>
      <c r="D352" s="0" t="s">
        <v>39</v>
      </c>
      <c r="E352" s="0" t="n">
        <v>2</v>
      </c>
      <c r="F352" s="0" t="n">
        <v>18</v>
      </c>
      <c r="G352" s="7" t="str">
        <f aca="false">_xlfn.XLOOKUP(D352,Catalog!$B$2:$B$4102,Catalog!$A$2:$A$4102,"NOT IN CATALOG")</f>
        <v>POSTAGE</v>
      </c>
      <c r="H352" s="7" t="n">
        <f aca="false">_xlfn.IFNA(VLOOKUP(D352,Catalog!$B$2:$C$4102,2,FALSE()),"")</f>
        <v>18</v>
      </c>
      <c r="I352" s="7" t="str">
        <f aca="false">HLOOKUP(C352,Regions!$B$1:$S$2,2,FALSE())</f>
        <v>EU</v>
      </c>
      <c r="J352" s="7" t="n">
        <f aca="false">E352*F352</f>
        <v>36</v>
      </c>
      <c r="K352" s="8" t="n">
        <f aca="false">IF(H352="","",1-F352/H352)</f>
        <v>0</v>
      </c>
    </row>
    <row r="353" customFormat="false" ht="15" hidden="false" customHeight="false" outlineLevel="0" collapsed="false">
      <c r="A353" s="0" t="s">
        <v>325</v>
      </c>
      <c r="B353" s="6" t="n">
        <v>40881.6444444444</v>
      </c>
      <c r="C353" s="0" t="s">
        <v>41</v>
      </c>
      <c r="D353" s="0" t="s">
        <v>326</v>
      </c>
      <c r="E353" s="0" t="n">
        <v>8</v>
      </c>
      <c r="F353" s="0" t="n">
        <v>1.95</v>
      </c>
      <c r="G353" s="7" t="str">
        <f aca="false">_xlfn.XLOOKUP(D353,Catalog!$B$2:$B$4102,Catalog!$A$2:$A$4102,"NOT IN CATALOG")</f>
        <v>ROSE CARAVAN DOORSTOP</v>
      </c>
      <c r="H353" s="7" t="n">
        <f aca="false">_xlfn.IFNA(VLOOKUP(D353,Catalog!$B$2:$C$4102,2,FALSE()),"")</f>
        <v>6.75</v>
      </c>
      <c r="I353" s="7" t="str">
        <f aca="false">HLOOKUP(C353,Regions!$B$1:$S$2,2,FALSE())</f>
        <v>EU</v>
      </c>
      <c r="J353" s="7" t="n">
        <f aca="false">E353*F353</f>
        <v>15.6</v>
      </c>
      <c r="K353" s="8" t="n">
        <f aca="false">IF(H353="","",1-F353/H353)</f>
        <v>0.711111111111111</v>
      </c>
    </row>
    <row r="354" customFormat="false" ht="15" hidden="false" customHeight="false" outlineLevel="0" collapsed="false">
      <c r="A354" s="0" t="s">
        <v>325</v>
      </c>
      <c r="B354" s="6" t="n">
        <v>40881.6444444444</v>
      </c>
      <c r="C354" s="0" t="s">
        <v>41</v>
      </c>
      <c r="D354" s="0" t="s">
        <v>327</v>
      </c>
      <c r="E354" s="0" t="n">
        <v>8</v>
      </c>
      <c r="F354" s="0" t="n">
        <v>1.95</v>
      </c>
      <c r="G354" s="7" t="str">
        <f aca="false">_xlfn.XLOOKUP(D354,Catalog!$B$2:$B$4102,Catalog!$A$2:$A$4102,"NOT IN CATALOG")</f>
        <v>GINGHAM HEART DOORSTOP RED</v>
      </c>
      <c r="H354" s="7" t="n">
        <f aca="false">_xlfn.IFNA(VLOOKUP(D354,Catalog!$B$2:$C$4102,2,FALSE()),"")</f>
        <v>4.25</v>
      </c>
      <c r="I354" s="7" t="str">
        <f aca="false">HLOOKUP(C354,Regions!$B$1:$S$2,2,FALSE())</f>
        <v>EU</v>
      </c>
      <c r="J354" s="7" t="n">
        <f aca="false">E354*F354</f>
        <v>15.6</v>
      </c>
      <c r="K354" s="8" t="n">
        <f aca="false">IF(H354="","",1-F354/H354)</f>
        <v>0.541176470588235</v>
      </c>
    </row>
    <row r="355" customFormat="false" ht="15" hidden="false" customHeight="false" outlineLevel="0" collapsed="false">
      <c r="A355" s="0" t="s">
        <v>325</v>
      </c>
      <c r="B355" s="6" t="n">
        <v>40881.6444444444</v>
      </c>
      <c r="C355" s="0" t="s">
        <v>41</v>
      </c>
      <c r="D355" s="0" t="s">
        <v>328</v>
      </c>
      <c r="E355" s="0" t="n">
        <v>8</v>
      </c>
      <c r="F355" s="0" t="n">
        <v>1.95</v>
      </c>
      <c r="G355" s="7" t="str">
        <f aca="false">_xlfn.XLOOKUP(D355,Catalog!$B$2:$B$4102,Catalog!$A$2:$A$4102,"NOT IN CATALOG")</f>
        <v>SPOTTY PINK DUCK DOORSTOP</v>
      </c>
      <c r="H355" s="7" t="n">
        <f aca="false">_xlfn.IFNA(VLOOKUP(D355,Catalog!$B$2:$C$4102,2,FALSE()),"")</f>
        <v>4.25</v>
      </c>
      <c r="I355" s="7" t="str">
        <f aca="false">HLOOKUP(C355,Regions!$B$1:$S$2,2,FALSE())</f>
        <v>EU</v>
      </c>
      <c r="J355" s="7" t="n">
        <f aca="false">E355*F355</f>
        <v>15.6</v>
      </c>
      <c r="K355" s="8" t="n">
        <f aca="false">IF(H355="","",1-F355/H355)</f>
        <v>0.541176470588235</v>
      </c>
    </row>
    <row r="356" customFormat="false" ht="15" hidden="false" customHeight="false" outlineLevel="0" collapsed="false">
      <c r="A356" s="0" t="s">
        <v>325</v>
      </c>
      <c r="B356" s="6" t="n">
        <v>40881.6444444444</v>
      </c>
      <c r="C356" s="0" t="s">
        <v>41</v>
      </c>
      <c r="D356" s="0" t="s">
        <v>329</v>
      </c>
      <c r="E356" s="0" t="n">
        <v>8</v>
      </c>
      <c r="F356" s="0" t="n">
        <v>1.95</v>
      </c>
      <c r="G356" s="7" t="str">
        <f aca="false">_xlfn.XLOOKUP(D356,Catalog!$B$2:$B$4102,Catalog!$A$2:$A$4102,"NOT IN CATALOG")</f>
        <v>NURSERY A,B,C PAINTED LETTERS</v>
      </c>
      <c r="H356" s="7" t="n">
        <f aca="false">_xlfn.IFNA(VLOOKUP(D356,Catalog!$B$2:$C$4102,2,FALSE()),"")</f>
        <v>6.75</v>
      </c>
      <c r="I356" s="7" t="str">
        <f aca="false">HLOOKUP(C356,Regions!$B$1:$S$2,2,FALSE())</f>
        <v>EU</v>
      </c>
      <c r="J356" s="7" t="n">
        <f aca="false">E356*F356</f>
        <v>15.6</v>
      </c>
      <c r="K356" s="8" t="n">
        <f aca="false">IF(H356="","",1-F356/H356)</f>
        <v>0.711111111111111</v>
      </c>
    </row>
    <row r="357" customFormat="false" ht="15" hidden="false" customHeight="false" outlineLevel="0" collapsed="false">
      <c r="A357" s="0" t="s">
        <v>325</v>
      </c>
      <c r="B357" s="6" t="n">
        <v>40881.6444444444</v>
      </c>
      <c r="C357" s="0" t="s">
        <v>41</v>
      </c>
      <c r="D357" s="0" t="s">
        <v>330</v>
      </c>
      <c r="E357" s="0" t="n">
        <v>24</v>
      </c>
      <c r="F357" s="0" t="n">
        <v>1.95</v>
      </c>
      <c r="G357" s="7" t="str">
        <f aca="false">_xlfn.XLOOKUP(D357,Catalog!$B$2:$B$4102,Catalog!$A$2:$A$4102,"NOT IN CATALOG")</f>
        <v>PEACE WOODEN BLOCK LETTERS</v>
      </c>
      <c r="H357" s="7" t="n">
        <f aca="false">_xlfn.IFNA(VLOOKUP(D357,Catalog!$B$2:$C$4102,2,FALSE()),"")</f>
        <v>6.95</v>
      </c>
      <c r="I357" s="7" t="str">
        <f aca="false">HLOOKUP(C357,Regions!$B$1:$S$2,2,FALSE())</f>
        <v>EU</v>
      </c>
      <c r="J357" s="7" t="n">
        <f aca="false">E357*F357</f>
        <v>46.8</v>
      </c>
      <c r="K357" s="8" t="n">
        <f aca="false">IF(H357="","",1-F357/H357)</f>
        <v>0.719424460431655</v>
      </c>
    </row>
    <row r="358" customFormat="false" ht="15" hidden="false" customHeight="false" outlineLevel="0" collapsed="false">
      <c r="A358" s="0" t="s">
        <v>325</v>
      </c>
      <c r="B358" s="6" t="n">
        <v>40881.6444444444</v>
      </c>
      <c r="C358" s="0" t="s">
        <v>41</v>
      </c>
      <c r="D358" s="0" t="s">
        <v>331</v>
      </c>
      <c r="E358" s="0" t="n">
        <v>12</v>
      </c>
      <c r="F358" s="0" t="n">
        <v>0.79</v>
      </c>
      <c r="G358" s="7" t="str">
        <f aca="false">_xlfn.XLOOKUP(D358,Catalog!$B$2:$B$4102,Catalog!$A$2:$A$4102,"NOT IN CATALOG")</f>
        <v>PING MICROWAVE APRON</v>
      </c>
      <c r="H358" s="7" t="n">
        <f aca="false">_xlfn.IFNA(VLOOKUP(D358,Catalog!$B$2:$C$4102,2,FALSE()),"")</f>
        <v>5.06</v>
      </c>
      <c r="I358" s="7" t="str">
        <f aca="false">HLOOKUP(C358,Regions!$B$1:$S$2,2,FALSE())</f>
        <v>EU</v>
      </c>
      <c r="J358" s="7" t="n">
        <f aca="false">E358*F358</f>
        <v>9.48</v>
      </c>
      <c r="K358" s="8" t="n">
        <f aca="false">IF(H358="","",1-F358/H358)</f>
        <v>0.843873517786561</v>
      </c>
    </row>
    <row r="359" customFormat="false" ht="15" hidden="false" customHeight="false" outlineLevel="0" collapsed="false">
      <c r="A359" s="0" t="s">
        <v>325</v>
      </c>
      <c r="B359" s="6" t="n">
        <v>40881.6444444444</v>
      </c>
      <c r="C359" s="0" t="s">
        <v>41</v>
      </c>
      <c r="D359" s="0" t="s">
        <v>332</v>
      </c>
      <c r="E359" s="0" t="n">
        <v>24</v>
      </c>
      <c r="F359" s="0" t="n">
        <v>1.25</v>
      </c>
      <c r="G359" s="7" t="str">
        <f aca="false">_xlfn.XLOOKUP(D359,Catalog!$B$2:$B$4102,Catalog!$A$2:$A$4102,"NOT IN CATALOG")</f>
        <v>CAKE STAND VICTORIAN FILIGREE SMALL</v>
      </c>
      <c r="H359" s="7" t="n">
        <f aca="false">_xlfn.IFNA(VLOOKUP(D359,Catalog!$B$2:$C$4102,2,FALSE()),"")</f>
        <v>4.95</v>
      </c>
      <c r="I359" s="7" t="str">
        <f aca="false">HLOOKUP(C359,Regions!$B$1:$S$2,2,FALSE())</f>
        <v>EU</v>
      </c>
      <c r="J359" s="7" t="n">
        <f aca="false">E359*F359</f>
        <v>30</v>
      </c>
      <c r="K359" s="8" t="n">
        <f aca="false">IF(H359="","",1-F359/H359)</f>
        <v>0.747474747474747</v>
      </c>
    </row>
    <row r="360" customFormat="false" ht="15" hidden="false" customHeight="false" outlineLevel="0" collapsed="false">
      <c r="A360" s="0" t="s">
        <v>325</v>
      </c>
      <c r="B360" s="6" t="n">
        <v>40881.6444444444</v>
      </c>
      <c r="C360" s="0" t="s">
        <v>41</v>
      </c>
      <c r="D360" s="0" t="s">
        <v>333</v>
      </c>
      <c r="E360" s="0" t="n">
        <v>12</v>
      </c>
      <c r="F360" s="0" t="n">
        <v>0.39</v>
      </c>
      <c r="G360" s="7" t="str">
        <f aca="false">_xlfn.XLOOKUP(D360,Catalog!$B$2:$B$4102,Catalog!$A$2:$A$4102,"NOT IN CATALOG")</f>
        <v>PAPERWEIGHT VINTAGE COLLAGE</v>
      </c>
      <c r="H360" s="7" t="n">
        <f aca="false">_xlfn.IFNA(VLOOKUP(D360,Catalog!$B$2:$C$4102,2,FALSE()),"")</f>
        <v>2.55</v>
      </c>
      <c r="I360" s="7" t="str">
        <f aca="false">HLOOKUP(C360,Regions!$B$1:$S$2,2,FALSE())</f>
        <v>EU</v>
      </c>
      <c r="J360" s="7" t="n">
        <f aca="false">E360*F360</f>
        <v>4.68</v>
      </c>
      <c r="K360" s="8" t="n">
        <f aca="false">IF(H360="","",1-F360/H360)</f>
        <v>0.847058823529412</v>
      </c>
    </row>
    <row r="361" customFormat="false" ht="15" hidden="false" customHeight="false" outlineLevel="0" collapsed="false">
      <c r="A361" s="0" t="s">
        <v>325</v>
      </c>
      <c r="B361" s="6" t="n">
        <v>40881.6444444444</v>
      </c>
      <c r="C361" s="0" t="s">
        <v>41</v>
      </c>
      <c r="D361" s="0" t="s">
        <v>334</v>
      </c>
      <c r="E361" s="0" t="n">
        <v>12</v>
      </c>
      <c r="F361" s="0" t="n">
        <v>1.25</v>
      </c>
      <c r="G361" s="7" t="str">
        <f aca="false">_xlfn.XLOOKUP(D361,Catalog!$B$2:$B$4102,Catalog!$A$2:$A$4102,"NOT IN CATALOG")</f>
        <v>PIN CUSHION RUSSIAN DOLL PINK</v>
      </c>
      <c r="H361" s="7" t="n">
        <f aca="false">_xlfn.IFNA(VLOOKUP(D361,Catalog!$B$2:$C$4102,2,FALSE()),"")</f>
        <v>3.35</v>
      </c>
      <c r="I361" s="7" t="str">
        <f aca="false">HLOOKUP(C361,Regions!$B$1:$S$2,2,FALSE())</f>
        <v>EU</v>
      </c>
      <c r="J361" s="7" t="n">
        <f aca="false">E361*F361</f>
        <v>15</v>
      </c>
      <c r="K361" s="8" t="n">
        <f aca="false">IF(H361="","",1-F361/H361)</f>
        <v>0.626865671641791</v>
      </c>
    </row>
    <row r="362" customFormat="false" ht="15" hidden="false" customHeight="false" outlineLevel="0" collapsed="false">
      <c r="A362" s="0" t="s">
        <v>325</v>
      </c>
      <c r="B362" s="6" t="n">
        <v>40881.6444444444</v>
      </c>
      <c r="C362" s="0" t="s">
        <v>41</v>
      </c>
      <c r="D362" s="0" t="s">
        <v>335</v>
      </c>
      <c r="E362" s="0" t="n">
        <v>12</v>
      </c>
      <c r="F362" s="0" t="n">
        <v>1.25</v>
      </c>
      <c r="G362" s="7" t="str">
        <f aca="false">_xlfn.XLOOKUP(D362,Catalog!$B$2:$B$4102,Catalog!$A$2:$A$4102,"NOT IN CATALOG")</f>
        <v>PIN CUSHION BABUSHKA RED</v>
      </c>
      <c r="H362" s="7" t="n">
        <f aca="false">_xlfn.IFNA(VLOOKUP(D362,Catalog!$B$2:$C$4102,2,FALSE()),"")</f>
        <v>3.35</v>
      </c>
      <c r="I362" s="7" t="str">
        <f aca="false">HLOOKUP(C362,Regions!$B$1:$S$2,2,FALSE())</f>
        <v>EU</v>
      </c>
      <c r="J362" s="7" t="n">
        <f aca="false">E362*F362</f>
        <v>15</v>
      </c>
      <c r="K362" s="8" t="n">
        <f aca="false">IF(H362="","",1-F362/H362)</f>
        <v>0.626865671641791</v>
      </c>
    </row>
    <row r="363" customFormat="false" ht="15" hidden="false" customHeight="false" outlineLevel="0" collapsed="false">
      <c r="A363" s="0" t="s">
        <v>325</v>
      </c>
      <c r="B363" s="6" t="n">
        <v>40881.6444444444</v>
      </c>
      <c r="C363" s="0" t="s">
        <v>41</v>
      </c>
      <c r="D363" s="0" t="s">
        <v>336</v>
      </c>
      <c r="E363" s="0" t="n">
        <v>8</v>
      </c>
      <c r="F363" s="0" t="n">
        <v>1.95</v>
      </c>
      <c r="G363" s="7" t="str">
        <f aca="false">_xlfn.XLOOKUP(D363,Catalog!$B$2:$B$4102,Catalog!$A$2:$A$4102,"NOT IN CATALOG")</f>
        <v>TV DINNER TRAY VINTAGE PAISLEY</v>
      </c>
      <c r="H363" s="7" t="n">
        <f aca="false">_xlfn.IFNA(VLOOKUP(D363,Catalog!$B$2:$C$4102,2,FALSE()),"")</f>
        <v>4.95</v>
      </c>
      <c r="I363" s="7" t="str">
        <f aca="false">HLOOKUP(C363,Regions!$B$1:$S$2,2,FALSE())</f>
        <v>EU</v>
      </c>
      <c r="J363" s="7" t="n">
        <f aca="false">E363*F363</f>
        <v>15.6</v>
      </c>
      <c r="K363" s="8" t="n">
        <f aca="false">IF(H363="","",1-F363/H363)</f>
        <v>0.606060606060606</v>
      </c>
    </row>
    <row r="364" customFormat="false" ht="15" hidden="false" customHeight="false" outlineLevel="0" collapsed="false">
      <c r="A364" s="0" t="s">
        <v>325</v>
      </c>
      <c r="B364" s="6" t="n">
        <v>40881.6444444444</v>
      </c>
      <c r="C364" s="0" t="s">
        <v>41</v>
      </c>
      <c r="D364" s="0" t="s">
        <v>337</v>
      </c>
      <c r="E364" s="0" t="n">
        <v>8</v>
      </c>
      <c r="F364" s="0" t="n">
        <v>3.95</v>
      </c>
      <c r="G364" s="7" t="str">
        <f aca="false">_xlfn.XLOOKUP(D364,Catalog!$B$2:$B$4102,Catalog!$A$2:$A$4102,"NOT IN CATALOG")</f>
        <v>SEWING BOX RETROSPOT DESIGN</v>
      </c>
      <c r="H364" s="7" t="n">
        <f aca="false">_xlfn.IFNA(VLOOKUP(D364,Catalog!$B$2:$C$4102,2,FALSE()),"")</f>
        <v>16.95</v>
      </c>
      <c r="I364" s="7" t="str">
        <f aca="false">HLOOKUP(C364,Regions!$B$1:$S$2,2,FALSE())</f>
        <v>EU</v>
      </c>
      <c r="J364" s="7" t="n">
        <f aca="false">E364*F364</f>
        <v>31.6</v>
      </c>
      <c r="K364" s="8" t="n">
        <f aca="false">IF(H364="","",1-F364/H364)</f>
        <v>0.766961651917404</v>
      </c>
    </row>
    <row r="365" customFormat="false" ht="15" hidden="false" customHeight="false" outlineLevel="0" collapsed="false">
      <c r="A365" s="0" t="s">
        <v>325</v>
      </c>
      <c r="B365" s="6" t="n">
        <v>40881.6444444444</v>
      </c>
      <c r="C365" s="0" t="s">
        <v>41</v>
      </c>
      <c r="D365" s="0" t="s">
        <v>338</v>
      </c>
      <c r="E365" s="0" t="n">
        <v>12</v>
      </c>
      <c r="F365" s="0" t="n">
        <v>1.95</v>
      </c>
      <c r="G365" s="7" t="str">
        <f aca="false">_xlfn.XLOOKUP(D365,Catalog!$B$2:$B$4102,Catalog!$A$2:$A$4102,"NOT IN CATALOG")</f>
        <v>NOT IN CATALOG</v>
      </c>
      <c r="H365" s="7" t="str">
        <f aca="false">_xlfn.IFNA(VLOOKUP(D365,Catalog!$B$2:$C$4102,2,FALSE()),"")</f>
        <v/>
      </c>
      <c r="I365" s="7" t="str">
        <f aca="false">HLOOKUP(C365,Regions!$B$1:$S$2,2,FALSE())</f>
        <v>EU</v>
      </c>
      <c r="J365" s="7" t="n">
        <f aca="false">E365*F365</f>
        <v>23.4</v>
      </c>
      <c r="K365" s="8" t="str">
        <f aca="false">IF(H365="","",1-F365/H365)</f>
        <v/>
      </c>
    </row>
    <row r="366" customFormat="false" ht="15" hidden="false" customHeight="false" outlineLevel="0" collapsed="false">
      <c r="A366" s="0" t="s">
        <v>325</v>
      </c>
      <c r="B366" s="6" t="n">
        <v>40881.6444444444</v>
      </c>
      <c r="C366" s="0" t="s">
        <v>41</v>
      </c>
      <c r="D366" s="0" t="s">
        <v>339</v>
      </c>
      <c r="E366" s="0" t="n">
        <v>24</v>
      </c>
      <c r="F366" s="0" t="n">
        <v>0.21</v>
      </c>
      <c r="G366" s="7" t="str">
        <f aca="false">_xlfn.XLOOKUP(D366,Catalog!$B$2:$B$4102,Catalog!$A$2:$A$4102,"NOT IN CATALOG")</f>
        <v>SMALL RED BABUSHKA NOTEBOOK</v>
      </c>
      <c r="H366" s="7" t="n">
        <f aca="false">_xlfn.IFNA(VLOOKUP(D366,Catalog!$B$2:$C$4102,2,FALSE()),"")</f>
        <v>0.85</v>
      </c>
      <c r="I366" s="7" t="str">
        <f aca="false">HLOOKUP(C366,Regions!$B$1:$S$2,2,FALSE())</f>
        <v>EU</v>
      </c>
      <c r="J366" s="7" t="n">
        <f aca="false">E366*F366</f>
        <v>5.04</v>
      </c>
      <c r="K366" s="8" t="n">
        <f aca="false">IF(H366="","",1-F366/H366)</f>
        <v>0.752941176470588</v>
      </c>
    </row>
    <row r="367" customFormat="false" ht="15" hidden="false" customHeight="false" outlineLevel="0" collapsed="false">
      <c r="A367" s="0" t="s">
        <v>325</v>
      </c>
      <c r="B367" s="6" t="n">
        <v>40881.6444444444</v>
      </c>
      <c r="C367" s="0" t="s">
        <v>41</v>
      </c>
      <c r="D367" s="0" t="s">
        <v>340</v>
      </c>
      <c r="E367" s="0" t="n">
        <v>24</v>
      </c>
      <c r="F367" s="0" t="n">
        <v>0.21</v>
      </c>
      <c r="G367" s="7" t="str">
        <f aca="false">_xlfn.XLOOKUP(D367,Catalog!$B$2:$B$4102,Catalog!$A$2:$A$4102,"NOT IN CATALOG")</f>
        <v>SMALL YELLOW BABUSHKA NOTEBOOK</v>
      </c>
      <c r="H367" s="7" t="n">
        <f aca="false">_xlfn.IFNA(VLOOKUP(D367,Catalog!$B$2:$C$4102,2,FALSE()),"")</f>
        <v>0.85</v>
      </c>
      <c r="I367" s="7" t="str">
        <f aca="false">HLOOKUP(C367,Regions!$B$1:$S$2,2,FALSE())</f>
        <v>EU</v>
      </c>
      <c r="J367" s="7" t="n">
        <f aca="false">E367*F367</f>
        <v>5.04</v>
      </c>
      <c r="K367" s="8" t="n">
        <f aca="false">IF(H367="","",1-F367/H367)</f>
        <v>0.752941176470588</v>
      </c>
    </row>
    <row r="368" customFormat="false" ht="15" hidden="false" customHeight="false" outlineLevel="0" collapsed="false">
      <c r="A368" s="0" t="s">
        <v>325</v>
      </c>
      <c r="B368" s="6" t="n">
        <v>40881.6444444444</v>
      </c>
      <c r="C368" s="0" t="s">
        <v>41</v>
      </c>
      <c r="D368" s="0" t="s">
        <v>341</v>
      </c>
      <c r="E368" s="0" t="n">
        <v>12</v>
      </c>
      <c r="F368" s="0" t="n">
        <v>2.95</v>
      </c>
      <c r="G368" s="7" t="str">
        <f aca="false">_xlfn.XLOOKUP(D368,Catalog!$B$2:$B$4102,Catalog!$A$2:$A$4102,"NOT IN CATALOG")</f>
        <v>SWEETHEART WIRE FRUIT BOWL</v>
      </c>
      <c r="H368" s="7" t="n">
        <f aca="false">_xlfn.IFNA(VLOOKUP(D368,Catalog!$B$2:$C$4102,2,FALSE()),"")</f>
        <v>8.5</v>
      </c>
      <c r="I368" s="7" t="str">
        <f aca="false">HLOOKUP(C368,Regions!$B$1:$S$2,2,FALSE())</f>
        <v>EU</v>
      </c>
      <c r="J368" s="7" t="n">
        <f aca="false">E368*F368</f>
        <v>35.4</v>
      </c>
      <c r="K368" s="8" t="n">
        <f aca="false">IF(H368="","",1-F368/H368)</f>
        <v>0.652941176470588</v>
      </c>
    </row>
    <row r="369" customFormat="false" ht="15" hidden="false" customHeight="false" outlineLevel="0" collapsed="false">
      <c r="A369" s="0" t="s">
        <v>325</v>
      </c>
      <c r="B369" s="6" t="n">
        <v>40881.6444444444</v>
      </c>
      <c r="C369" s="0" t="s">
        <v>41</v>
      </c>
      <c r="D369" s="0" t="s">
        <v>342</v>
      </c>
      <c r="E369" s="0" t="n">
        <v>30</v>
      </c>
      <c r="F369" s="0" t="n">
        <v>0.79</v>
      </c>
      <c r="G369" s="7" t="str">
        <f aca="false">_xlfn.XLOOKUP(D369,Catalog!$B$2:$B$4102,Catalog!$A$2:$A$4102,"NOT IN CATALOG")</f>
        <v>LOVE HEART POCKET WARMER</v>
      </c>
      <c r="H369" s="7" t="n">
        <f aca="false">_xlfn.IFNA(VLOOKUP(D369,Catalog!$B$2:$C$4102,2,FALSE()),"")</f>
        <v>1.65</v>
      </c>
      <c r="I369" s="7" t="str">
        <f aca="false">HLOOKUP(C369,Regions!$B$1:$S$2,2,FALSE())</f>
        <v>EU</v>
      </c>
      <c r="J369" s="7" t="n">
        <f aca="false">E369*F369</f>
        <v>23.7</v>
      </c>
      <c r="K369" s="8" t="n">
        <f aca="false">IF(H369="","",1-F369/H369)</f>
        <v>0.521212121212121</v>
      </c>
    </row>
    <row r="370" customFormat="false" ht="15" hidden="false" customHeight="false" outlineLevel="0" collapsed="false">
      <c r="A370" s="0" t="s">
        <v>325</v>
      </c>
      <c r="B370" s="6" t="n">
        <v>40881.6444444444</v>
      </c>
      <c r="C370" s="0" t="s">
        <v>41</v>
      </c>
      <c r="D370" s="0" t="s">
        <v>343</v>
      </c>
      <c r="E370" s="0" t="n">
        <v>24</v>
      </c>
      <c r="F370" s="0" t="n">
        <v>1.25</v>
      </c>
      <c r="G370" s="7" t="str">
        <f aca="false">_xlfn.XLOOKUP(D370,Catalog!$B$2:$B$4102,Catalog!$A$2:$A$4102,"NOT IN CATALOG")</f>
        <v>CHARLIE+LOLA RED HOT WATER BOTTLE</v>
      </c>
      <c r="H370" s="7" t="n">
        <f aca="false">_xlfn.IFNA(VLOOKUP(D370,Catalog!$B$2:$C$4102,2,FALSE()),"")</f>
        <v>4.65</v>
      </c>
      <c r="I370" s="7" t="str">
        <f aca="false">HLOOKUP(C370,Regions!$B$1:$S$2,2,FALSE())</f>
        <v>EU</v>
      </c>
      <c r="J370" s="7" t="n">
        <f aca="false">E370*F370</f>
        <v>30</v>
      </c>
      <c r="K370" s="8" t="n">
        <f aca="false">IF(H370="","",1-F370/H370)</f>
        <v>0.731182795698925</v>
      </c>
    </row>
    <row r="371" customFormat="false" ht="15" hidden="false" customHeight="false" outlineLevel="0" collapsed="false">
      <c r="A371" s="0" t="s">
        <v>325</v>
      </c>
      <c r="B371" s="6" t="n">
        <v>40881.6444444444</v>
      </c>
      <c r="C371" s="0" t="s">
        <v>41</v>
      </c>
      <c r="D371" s="0" t="s">
        <v>344</v>
      </c>
      <c r="E371" s="0" t="n">
        <v>12</v>
      </c>
      <c r="F371" s="0" t="n">
        <v>1.25</v>
      </c>
      <c r="G371" s="7" t="str">
        <f aca="false">_xlfn.XLOOKUP(D371,Catalog!$B$2:$B$4102,Catalog!$A$2:$A$4102,"NOT IN CATALOG")</f>
        <v>CUPID DESIGN SCENTED CANDLES</v>
      </c>
      <c r="H371" s="7" t="n">
        <f aca="false">_xlfn.IFNA(VLOOKUP(D371,Catalog!$B$2:$C$4102,2,FALSE()),"")</f>
        <v>2.55</v>
      </c>
      <c r="I371" s="7" t="str">
        <f aca="false">HLOOKUP(C371,Regions!$B$1:$S$2,2,FALSE())</f>
        <v>EU</v>
      </c>
      <c r="J371" s="7" t="n">
        <f aca="false">E371*F371</f>
        <v>15</v>
      </c>
      <c r="K371" s="8" t="n">
        <f aca="false">IF(H371="","",1-F371/H371)</f>
        <v>0.509803921568627</v>
      </c>
    </row>
    <row r="372" customFormat="false" ht="15" hidden="false" customHeight="false" outlineLevel="0" collapsed="false">
      <c r="A372" s="0" t="s">
        <v>325</v>
      </c>
      <c r="B372" s="6" t="n">
        <v>40881.6444444444</v>
      </c>
      <c r="C372" s="0" t="s">
        <v>41</v>
      </c>
      <c r="D372" s="0" t="s">
        <v>345</v>
      </c>
      <c r="E372" s="0" t="n">
        <v>16</v>
      </c>
      <c r="F372" s="0" t="n">
        <v>0.79</v>
      </c>
      <c r="G372" s="7" t="str">
        <f aca="false">_xlfn.XLOOKUP(D372,Catalog!$B$2:$B$4102,Catalog!$A$2:$A$4102,"NOT IN CATALOG")</f>
        <v>DANISH ROSE ROUND SEWING BOX</v>
      </c>
      <c r="H372" s="7" t="n">
        <f aca="false">_xlfn.IFNA(VLOOKUP(D372,Catalog!$B$2:$C$4102,2,FALSE()),"")</f>
        <v>4.25</v>
      </c>
      <c r="I372" s="7" t="str">
        <f aca="false">HLOOKUP(C372,Regions!$B$1:$S$2,2,FALSE())</f>
        <v>EU</v>
      </c>
      <c r="J372" s="7" t="n">
        <f aca="false">E372*F372</f>
        <v>12.64</v>
      </c>
      <c r="K372" s="8" t="n">
        <f aca="false">IF(H372="","",1-F372/H372)</f>
        <v>0.814117647058824</v>
      </c>
    </row>
    <row r="373" customFormat="false" ht="15" hidden="false" customHeight="false" outlineLevel="0" collapsed="false">
      <c r="A373" s="0" t="s">
        <v>325</v>
      </c>
      <c r="B373" s="6" t="n">
        <v>40881.6444444444</v>
      </c>
      <c r="C373" s="0" t="s">
        <v>41</v>
      </c>
      <c r="D373" s="0" t="s">
        <v>346</v>
      </c>
      <c r="E373" s="0" t="n">
        <v>48</v>
      </c>
      <c r="F373" s="0" t="n">
        <v>0.85</v>
      </c>
      <c r="G373" s="7" t="str">
        <f aca="false">_xlfn.XLOOKUP(D373,Catalog!$B$2:$B$4102,Catalog!$A$2:$A$4102,"NOT IN CATALOG")</f>
        <v>WOODEN HEART CHRISTMAS SCANDINAVIAN</v>
      </c>
      <c r="H373" s="7" t="n">
        <f aca="false">_xlfn.IFNA(VLOOKUP(D373,Catalog!$B$2:$C$4102,2,FALSE()),"")</f>
        <v>0.85</v>
      </c>
      <c r="I373" s="7" t="str">
        <f aca="false">HLOOKUP(C373,Regions!$B$1:$S$2,2,FALSE())</f>
        <v>EU</v>
      </c>
      <c r="J373" s="7" t="n">
        <f aca="false">E373*F373</f>
        <v>40.8</v>
      </c>
      <c r="K373" s="8" t="n">
        <f aca="false">IF(H373="","",1-F373/H373)</f>
        <v>0</v>
      </c>
    </row>
    <row r="374" customFormat="false" ht="15" hidden="false" customHeight="false" outlineLevel="0" collapsed="false">
      <c r="A374" s="0" t="s">
        <v>325</v>
      </c>
      <c r="B374" s="6" t="n">
        <v>40881.6444444444</v>
      </c>
      <c r="C374" s="0" t="s">
        <v>41</v>
      </c>
      <c r="D374" s="0" t="s">
        <v>347</v>
      </c>
      <c r="E374" s="0" t="n">
        <v>48</v>
      </c>
      <c r="F374" s="0" t="n">
        <v>0.85</v>
      </c>
      <c r="G374" s="7" t="str">
        <f aca="false">_xlfn.XLOOKUP(D374,Catalog!$B$2:$B$4102,Catalog!$A$2:$A$4102,"NOT IN CATALOG")</f>
        <v>WOODEN STAR CHRISTMAS SCANDINAVIAN</v>
      </c>
      <c r="H374" s="7" t="n">
        <f aca="false">_xlfn.IFNA(VLOOKUP(D374,Catalog!$B$2:$C$4102,2,FALSE()),"")</f>
        <v>0.85</v>
      </c>
      <c r="I374" s="7" t="str">
        <f aca="false">HLOOKUP(C374,Regions!$B$1:$S$2,2,FALSE())</f>
        <v>EU</v>
      </c>
      <c r="J374" s="7" t="n">
        <f aca="false">E374*F374</f>
        <v>40.8</v>
      </c>
      <c r="K374" s="8" t="n">
        <f aca="false">IF(H374="","",1-F374/H374)</f>
        <v>0</v>
      </c>
    </row>
    <row r="375" customFormat="false" ht="15" hidden="false" customHeight="false" outlineLevel="0" collapsed="false">
      <c r="A375" s="0" t="s">
        <v>325</v>
      </c>
      <c r="B375" s="6" t="n">
        <v>40881.6444444444</v>
      </c>
      <c r="C375" s="0" t="s">
        <v>41</v>
      </c>
      <c r="D375" s="0" t="s">
        <v>130</v>
      </c>
      <c r="E375" s="0" t="n">
        <v>12</v>
      </c>
      <c r="F375" s="0" t="n">
        <v>0.85</v>
      </c>
      <c r="G375" s="7" t="str">
        <f aca="false">_xlfn.XLOOKUP(D375,Catalog!$B$2:$B$4102,Catalog!$A$2:$A$4102,"NOT IN CATALOG")</f>
        <v>SET OF 20 VINTAGE CHRISTMAS NAPKINS</v>
      </c>
      <c r="H375" s="7" t="n">
        <f aca="false">_xlfn.IFNA(VLOOKUP(D375,Catalog!$B$2:$C$4102,2,FALSE()),"")</f>
        <v>0.85</v>
      </c>
      <c r="I375" s="7" t="str">
        <f aca="false">HLOOKUP(C375,Regions!$B$1:$S$2,2,FALSE())</f>
        <v>EU</v>
      </c>
      <c r="J375" s="7" t="n">
        <f aca="false">E375*F375</f>
        <v>10.2</v>
      </c>
      <c r="K375" s="8" t="n">
        <f aca="false">IF(H375="","",1-F375/H375)</f>
        <v>0</v>
      </c>
    </row>
    <row r="376" customFormat="false" ht="15" hidden="false" customHeight="false" outlineLevel="0" collapsed="false">
      <c r="A376" s="0" t="s">
        <v>325</v>
      </c>
      <c r="B376" s="6" t="n">
        <v>40881.6444444444</v>
      </c>
      <c r="C376" s="0" t="s">
        <v>41</v>
      </c>
      <c r="D376" s="0" t="s">
        <v>348</v>
      </c>
      <c r="E376" s="0" t="n">
        <v>24</v>
      </c>
      <c r="F376" s="0" t="n">
        <v>2.89</v>
      </c>
      <c r="G376" s="7" t="str">
        <f aca="false">_xlfn.XLOOKUP(D376,Catalog!$B$2:$B$4102,Catalog!$A$2:$A$4102,"NOT IN CATALOG")</f>
        <v>NOT IN CATALOG</v>
      </c>
      <c r="H376" s="7" t="str">
        <f aca="false">_xlfn.IFNA(VLOOKUP(D376,Catalog!$B$2:$C$4102,2,FALSE()),"")</f>
        <v/>
      </c>
      <c r="I376" s="7" t="str">
        <f aca="false">HLOOKUP(C376,Regions!$B$1:$S$2,2,FALSE())</f>
        <v>EU</v>
      </c>
      <c r="J376" s="7" t="n">
        <f aca="false">E376*F376</f>
        <v>69.36</v>
      </c>
      <c r="K376" s="8" t="str">
        <f aca="false">IF(H376="","",1-F376/H376)</f>
        <v/>
      </c>
    </row>
    <row r="377" customFormat="false" ht="15" hidden="false" customHeight="false" outlineLevel="0" collapsed="false">
      <c r="A377" s="0" t="s">
        <v>325</v>
      </c>
      <c r="B377" s="6" t="n">
        <v>40881.6444444444</v>
      </c>
      <c r="C377" s="0" t="s">
        <v>41</v>
      </c>
      <c r="D377" s="0" t="s">
        <v>349</v>
      </c>
      <c r="E377" s="0" t="n">
        <v>24</v>
      </c>
      <c r="F377" s="0" t="n">
        <v>2.55</v>
      </c>
      <c r="G377" s="7" t="str">
        <f aca="false">_xlfn.XLOOKUP(D377,Catalog!$B$2:$B$4102,Catalog!$A$2:$A$4102,"NOT IN CATALOG")</f>
        <v>BIRD HOUSE HOT WATER BOTTLE</v>
      </c>
      <c r="H377" s="7" t="n">
        <f aca="false">_xlfn.IFNA(VLOOKUP(D377,Catalog!$B$2:$C$4102,2,FALSE()),"")</f>
        <v>2.55</v>
      </c>
      <c r="I377" s="7" t="str">
        <f aca="false">HLOOKUP(C377,Regions!$B$1:$S$2,2,FALSE())</f>
        <v>EU</v>
      </c>
      <c r="J377" s="7" t="n">
        <f aca="false">E377*F377</f>
        <v>61.2</v>
      </c>
      <c r="K377" s="8" t="n">
        <f aca="false">IF(H377="","",1-F377/H377)</f>
        <v>0</v>
      </c>
    </row>
    <row r="378" customFormat="false" ht="15" hidden="false" customHeight="false" outlineLevel="0" collapsed="false">
      <c r="A378" s="0" t="s">
        <v>325</v>
      </c>
      <c r="B378" s="6" t="n">
        <v>40881.6444444444</v>
      </c>
      <c r="C378" s="0" t="s">
        <v>41</v>
      </c>
      <c r="D378" s="0" t="s">
        <v>350</v>
      </c>
      <c r="E378" s="0" t="n">
        <v>12</v>
      </c>
      <c r="F378" s="0" t="n">
        <v>1.25</v>
      </c>
      <c r="G378" s="7" t="str">
        <f aca="false">_xlfn.XLOOKUP(D378,Catalog!$B$2:$B$4102,Catalog!$A$2:$A$4102,"NOT IN CATALOG")</f>
        <v>CHARLIE &amp; LOLA WASTEPAPER BIN FLORA</v>
      </c>
      <c r="H378" s="7" t="n">
        <f aca="false">_xlfn.IFNA(VLOOKUP(D378,Catalog!$B$2:$C$4102,2,FALSE()),"")</f>
        <v>3.75</v>
      </c>
      <c r="I378" s="7" t="str">
        <f aca="false">HLOOKUP(C378,Regions!$B$1:$S$2,2,FALSE())</f>
        <v>EU</v>
      </c>
      <c r="J378" s="7" t="n">
        <f aca="false">E378*F378</f>
        <v>15</v>
      </c>
      <c r="K378" s="8" t="n">
        <f aca="false">IF(H378="","",1-F378/H378)</f>
        <v>0.666666666666667</v>
      </c>
    </row>
    <row r="379" customFormat="false" ht="15" hidden="false" customHeight="false" outlineLevel="0" collapsed="false">
      <c r="A379" s="0" t="s">
        <v>325</v>
      </c>
      <c r="B379" s="6" t="n">
        <v>40881.6444444444</v>
      </c>
      <c r="C379" s="0" t="s">
        <v>41</v>
      </c>
      <c r="D379" s="0" t="s">
        <v>351</v>
      </c>
      <c r="E379" s="0" t="n">
        <v>12</v>
      </c>
      <c r="F379" s="0" t="n">
        <v>1.25</v>
      </c>
      <c r="G379" s="7" t="str">
        <f aca="false">_xlfn.XLOOKUP(D379,Catalog!$B$2:$B$4102,Catalog!$A$2:$A$4102,"NOT IN CATALOG")</f>
        <v>CHARLIE &amp; LOLA WASTEPAPER BIN BLUE</v>
      </c>
      <c r="H379" s="7" t="n">
        <f aca="false">_xlfn.IFNA(VLOOKUP(D379,Catalog!$B$2:$C$4102,2,FALSE()),"")</f>
        <v>3.75</v>
      </c>
      <c r="I379" s="7" t="str">
        <f aca="false">HLOOKUP(C379,Regions!$B$1:$S$2,2,FALSE())</f>
        <v>EU</v>
      </c>
      <c r="J379" s="7" t="n">
        <f aca="false">E379*F379</f>
        <v>15</v>
      </c>
      <c r="K379" s="8" t="n">
        <f aca="false">IF(H379="","",1-F379/H379)</f>
        <v>0.666666666666667</v>
      </c>
    </row>
    <row r="380" customFormat="false" ht="15" hidden="false" customHeight="false" outlineLevel="0" collapsed="false">
      <c r="A380" s="0" t="s">
        <v>325</v>
      </c>
      <c r="B380" s="6" t="n">
        <v>40881.6444444444</v>
      </c>
      <c r="C380" s="0" t="s">
        <v>41</v>
      </c>
      <c r="D380" s="0" t="s">
        <v>121</v>
      </c>
      <c r="E380" s="0" t="n">
        <v>20</v>
      </c>
      <c r="F380" s="0" t="n">
        <v>1.95</v>
      </c>
      <c r="G380" s="7" t="str">
        <f aca="false">_xlfn.XLOOKUP(D380,Catalog!$B$2:$B$4102,Catalog!$A$2:$A$4102,"NOT IN CATALOG")</f>
        <v>NOT IN CATALOG</v>
      </c>
      <c r="H380" s="7" t="str">
        <f aca="false">_xlfn.IFNA(VLOOKUP(D380,Catalog!$B$2:$C$4102,2,FALSE()),"")</f>
        <v/>
      </c>
      <c r="I380" s="7" t="str">
        <f aca="false">HLOOKUP(C380,Regions!$B$1:$S$2,2,FALSE())</f>
        <v>EU</v>
      </c>
      <c r="J380" s="7" t="n">
        <f aca="false">E380*F380</f>
        <v>39</v>
      </c>
      <c r="K380" s="8" t="str">
        <f aca="false">IF(H380="","",1-F380/H380)</f>
        <v/>
      </c>
    </row>
    <row r="381" customFormat="false" ht="15" hidden="false" customHeight="false" outlineLevel="0" collapsed="false">
      <c r="A381" s="0" t="s">
        <v>325</v>
      </c>
      <c r="B381" s="6" t="n">
        <v>40881.6444444444</v>
      </c>
      <c r="C381" s="0" t="s">
        <v>41</v>
      </c>
      <c r="D381" s="0" t="s">
        <v>352</v>
      </c>
      <c r="E381" s="0" t="n">
        <v>24</v>
      </c>
      <c r="F381" s="0" t="n">
        <v>1.25</v>
      </c>
      <c r="G381" s="7" t="str">
        <f aca="false">_xlfn.XLOOKUP(D381,Catalog!$B$2:$B$4102,Catalog!$A$2:$A$4102,"NOT IN CATALOG")</f>
        <v>VICTORIAN SEWING KIT</v>
      </c>
      <c r="H381" s="7" t="n">
        <f aca="false">_xlfn.IFNA(VLOOKUP(D381,Catalog!$B$2:$C$4102,2,FALSE()),"")</f>
        <v>1.25</v>
      </c>
      <c r="I381" s="7" t="str">
        <f aca="false">HLOOKUP(C381,Regions!$B$1:$S$2,2,FALSE())</f>
        <v>EU</v>
      </c>
      <c r="J381" s="7" t="n">
        <f aca="false">E381*F381</f>
        <v>30</v>
      </c>
      <c r="K381" s="8" t="n">
        <f aca="false">IF(H381="","",1-F381/H381)</f>
        <v>0</v>
      </c>
    </row>
    <row r="382" customFormat="false" ht="15" hidden="false" customHeight="false" outlineLevel="0" collapsed="false">
      <c r="A382" s="0" t="s">
        <v>325</v>
      </c>
      <c r="B382" s="6" t="n">
        <v>40881.6444444444</v>
      </c>
      <c r="C382" s="0" t="s">
        <v>41</v>
      </c>
      <c r="D382" s="0" t="s">
        <v>120</v>
      </c>
      <c r="E382" s="0" t="n">
        <v>12</v>
      </c>
      <c r="F382" s="0" t="n">
        <v>5.95</v>
      </c>
      <c r="G382" s="7" t="str">
        <f aca="false">_xlfn.XLOOKUP(D382,Catalog!$B$2:$B$4102,Catalog!$A$2:$A$4102,"NOT IN CATALOG")</f>
        <v>NOT IN CATALOG</v>
      </c>
      <c r="H382" s="7" t="str">
        <f aca="false">_xlfn.IFNA(VLOOKUP(D382,Catalog!$B$2:$C$4102,2,FALSE()),"")</f>
        <v/>
      </c>
      <c r="I382" s="7" t="str">
        <f aca="false">HLOOKUP(C382,Regions!$B$1:$S$2,2,FALSE())</f>
        <v>EU</v>
      </c>
      <c r="J382" s="7" t="n">
        <f aca="false">E382*F382</f>
        <v>71.4</v>
      </c>
      <c r="K382" s="8" t="str">
        <f aca="false">IF(H382="","",1-F382/H382)</f>
        <v/>
      </c>
    </row>
    <row r="383" customFormat="false" ht="15" hidden="false" customHeight="false" outlineLevel="0" collapsed="false">
      <c r="A383" s="0" t="s">
        <v>353</v>
      </c>
      <c r="B383" s="6" t="n">
        <v>40881.6576388889</v>
      </c>
      <c r="C383" s="0" t="s">
        <v>29</v>
      </c>
      <c r="D383" s="0" t="s">
        <v>31</v>
      </c>
      <c r="E383" s="0" t="n">
        <v>24</v>
      </c>
      <c r="F383" s="0" t="n">
        <v>1.25</v>
      </c>
      <c r="G383" s="7" t="str">
        <f aca="false">_xlfn.XLOOKUP(D383,Catalog!$B$2:$B$4102,Catalog!$A$2:$A$4102,"NOT IN CATALOG")</f>
        <v>STRAWBERRY CERAMIC TRINKET BOX</v>
      </c>
      <c r="H383" s="7" t="n">
        <f aca="false">_xlfn.IFNA(VLOOKUP(D383,Catalog!$B$2:$C$4102,2,FALSE()),"")</f>
        <v>1.25</v>
      </c>
      <c r="I383" s="7" t="str">
        <f aca="false">HLOOKUP(C383,Regions!$B$1:$S$2,2,FALSE())</f>
        <v>EU</v>
      </c>
      <c r="J383" s="7" t="n">
        <f aca="false">E383*F383</f>
        <v>30</v>
      </c>
      <c r="K383" s="8" t="n">
        <f aca="false">IF(H383="","",1-F383/H383)</f>
        <v>0</v>
      </c>
    </row>
    <row r="384" customFormat="false" ht="15" hidden="false" customHeight="false" outlineLevel="0" collapsed="false">
      <c r="A384" s="0" t="s">
        <v>353</v>
      </c>
      <c r="B384" s="6" t="n">
        <v>40881.6576388889</v>
      </c>
      <c r="C384" s="0" t="s">
        <v>29</v>
      </c>
      <c r="D384" s="0" t="s">
        <v>354</v>
      </c>
      <c r="E384" s="0" t="n">
        <v>3</v>
      </c>
      <c r="F384" s="0" t="n">
        <v>4.95</v>
      </c>
      <c r="G384" s="7" t="str">
        <f aca="false">_xlfn.XLOOKUP(D384,Catalog!$B$2:$B$4102,Catalog!$A$2:$A$4102,"NOT IN CATALOG")</f>
        <v>CAKE PLATE LOVEBIRD PINK</v>
      </c>
      <c r="H384" s="7" t="n">
        <f aca="false">_xlfn.IFNA(VLOOKUP(D384,Catalog!$B$2:$C$4102,2,FALSE()),"")</f>
        <v>4.95</v>
      </c>
      <c r="I384" s="7" t="str">
        <f aca="false">HLOOKUP(C384,Regions!$B$1:$S$2,2,FALSE())</f>
        <v>EU</v>
      </c>
      <c r="J384" s="7" t="n">
        <f aca="false">E384*F384</f>
        <v>14.85</v>
      </c>
      <c r="K384" s="8" t="n">
        <f aca="false">IF(H384="","",1-F384/H384)</f>
        <v>0</v>
      </c>
    </row>
    <row r="385" customFormat="false" ht="15" hidden="false" customHeight="false" outlineLevel="0" collapsed="false">
      <c r="A385" s="0" t="s">
        <v>353</v>
      </c>
      <c r="B385" s="6" t="n">
        <v>40881.6576388889</v>
      </c>
      <c r="C385" s="0" t="s">
        <v>29</v>
      </c>
      <c r="D385" s="0" t="s">
        <v>355</v>
      </c>
      <c r="E385" s="0" t="n">
        <v>6</v>
      </c>
      <c r="F385" s="0" t="n">
        <v>4.95</v>
      </c>
      <c r="G385" s="7" t="str">
        <f aca="false">_xlfn.XLOOKUP(D385,Catalog!$B$2:$B$4102,Catalog!$A$2:$A$4102,"NOT IN CATALOG")</f>
        <v>TV DINNER TRAY AIR HOSTESS</v>
      </c>
      <c r="H385" s="7" t="n">
        <f aca="false">_xlfn.IFNA(VLOOKUP(D385,Catalog!$B$2:$C$4102,2,FALSE()),"")</f>
        <v>4.95</v>
      </c>
      <c r="I385" s="7" t="str">
        <f aca="false">HLOOKUP(C385,Regions!$B$1:$S$2,2,FALSE())</f>
        <v>EU</v>
      </c>
      <c r="J385" s="7" t="n">
        <f aca="false">E385*F385</f>
        <v>29.7</v>
      </c>
      <c r="K385" s="8" t="n">
        <f aca="false">IF(H385="","",1-F385/H385)</f>
        <v>0</v>
      </c>
    </row>
    <row r="386" customFormat="false" ht="15" hidden="false" customHeight="false" outlineLevel="0" collapsed="false">
      <c r="A386" s="0" t="s">
        <v>353</v>
      </c>
      <c r="B386" s="6" t="n">
        <v>40881.6576388889</v>
      </c>
      <c r="C386" s="0" t="s">
        <v>29</v>
      </c>
      <c r="D386" s="0" t="s">
        <v>39</v>
      </c>
      <c r="E386" s="0" t="n">
        <v>1</v>
      </c>
      <c r="F386" s="0" t="n">
        <v>18</v>
      </c>
      <c r="G386" s="7" t="str">
        <f aca="false">_xlfn.XLOOKUP(D386,Catalog!$B$2:$B$4102,Catalog!$A$2:$A$4102,"NOT IN CATALOG")</f>
        <v>POSTAGE</v>
      </c>
      <c r="H386" s="7" t="n">
        <f aca="false">_xlfn.IFNA(VLOOKUP(D386,Catalog!$B$2:$C$4102,2,FALSE()),"")</f>
        <v>18</v>
      </c>
      <c r="I386" s="7" t="str">
        <f aca="false">HLOOKUP(C386,Regions!$B$1:$S$2,2,FALSE())</f>
        <v>EU</v>
      </c>
      <c r="J386" s="7" t="n">
        <f aca="false">E386*F386</f>
        <v>18</v>
      </c>
      <c r="K386" s="8" t="n">
        <f aca="false">IF(H386="","",1-F386/H386)</f>
        <v>0</v>
      </c>
    </row>
    <row r="387" customFormat="false" ht="15" hidden="false" customHeight="false" outlineLevel="0" collapsed="false">
      <c r="A387" s="0" t="s">
        <v>356</v>
      </c>
      <c r="B387" s="6" t="n">
        <v>40881.6680555556</v>
      </c>
      <c r="C387" s="0" t="s">
        <v>81</v>
      </c>
      <c r="D387" s="0" t="s">
        <v>82</v>
      </c>
      <c r="E387" s="0" t="n">
        <v>18</v>
      </c>
      <c r="F387" s="0" t="n">
        <v>2.08</v>
      </c>
      <c r="G387" s="7" t="str">
        <f aca="false">_xlfn.XLOOKUP(D387,Catalog!$B$2:$B$4102,Catalog!$A$2:$A$4102,"NOT IN CATALOG")</f>
        <v>NOT IN CATALOG</v>
      </c>
      <c r="H387" s="7" t="str">
        <f aca="false">_xlfn.IFNA(VLOOKUP(D387,Catalog!$B$2:$C$4102,2,FALSE()),"")</f>
        <v/>
      </c>
      <c r="I387" s="7" t="str">
        <f aca="false">HLOOKUP(C387,Regions!$B$1:$S$2,2,FALSE())</f>
        <v>EU</v>
      </c>
      <c r="J387" s="7" t="n">
        <f aca="false">E387*F387</f>
        <v>37.44</v>
      </c>
      <c r="K387" s="8" t="str">
        <f aca="false">IF(H387="","",1-F387/H387)</f>
        <v/>
      </c>
    </row>
    <row r="388" customFormat="false" ht="15" hidden="false" customHeight="false" outlineLevel="0" collapsed="false">
      <c r="A388" s="0" t="s">
        <v>356</v>
      </c>
      <c r="B388" s="6" t="n">
        <v>40881.6680555556</v>
      </c>
      <c r="C388" s="0" t="s">
        <v>81</v>
      </c>
      <c r="D388" s="0" t="s">
        <v>357</v>
      </c>
      <c r="E388" s="0" t="n">
        <v>10</v>
      </c>
      <c r="F388" s="0" t="n">
        <v>2.08</v>
      </c>
      <c r="G388" s="7" t="str">
        <f aca="false">_xlfn.XLOOKUP(D388,Catalog!$B$2:$B$4102,Catalog!$A$2:$A$4102,"NOT IN CATALOG")</f>
        <v>NOT IN CATALOG</v>
      </c>
      <c r="H388" s="7" t="str">
        <f aca="false">_xlfn.IFNA(VLOOKUP(D388,Catalog!$B$2:$C$4102,2,FALSE()),"")</f>
        <v/>
      </c>
      <c r="I388" s="7" t="str">
        <f aca="false">HLOOKUP(C388,Regions!$B$1:$S$2,2,FALSE())</f>
        <v>EU</v>
      </c>
      <c r="J388" s="7" t="n">
        <f aca="false">E388*F388</f>
        <v>20.8</v>
      </c>
      <c r="K388" s="8" t="str">
        <f aca="false">IF(H388="","",1-F388/H388)</f>
        <v/>
      </c>
    </row>
    <row r="389" customFormat="false" ht="15" hidden="false" customHeight="false" outlineLevel="0" collapsed="false">
      <c r="A389" s="0" t="s">
        <v>356</v>
      </c>
      <c r="B389" s="6" t="n">
        <v>40881.6680555556</v>
      </c>
      <c r="C389" s="0" t="s">
        <v>81</v>
      </c>
      <c r="D389" s="0" t="s">
        <v>236</v>
      </c>
      <c r="E389" s="0" t="n">
        <v>8</v>
      </c>
      <c r="F389" s="0" t="n">
        <v>3.75</v>
      </c>
      <c r="G389" s="7" t="str">
        <f aca="false">_xlfn.XLOOKUP(D389,Catalog!$B$2:$B$4102,Catalog!$A$2:$A$4102,"NOT IN CATALOG")</f>
        <v>NOT IN CATALOG</v>
      </c>
      <c r="H389" s="7" t="str">
        <f aca="false">_xlfn.IFNA(VLOOKUP(D389,Catalog!$B$2:$C$4102,2,FALSE()),"")</f>
        <v/>
      </c>
      <c r="I389" s="7" t="str">
        <f aca="false">HLOOKUP(C389,Regions!$B$1:$S$2,2,FALSE())</f>
        <v>EU</v>
      </c>
      <c r="J389" s="7" t="n">
        <f aca="false">E389*F389</f>
        <v>30</v>
      </c>
      <c r="K389" s="8" t="str">
        <f aca="false">IF(H389="","",1-F389/H389)</f>
        <v/>
      </c>
    </row>
    <row r="390" customFormat="false" ht="15" hidden="false" customHeight="false" outlineLevel="0" collapsed="false">
      <c r="A390" s="0" t="s">
        <v>356</v>
      </c>
      <c r="B390" s="6" t="n">
        <v>40881.6680555556</v>
      </c>
      <c r="C390" s="0" t="s">
        <v>81</v>
      </c>
      <c r="D390" s="0" t="s">
        <v>214</v>
      </c>
      <c r="E390" s="0" t="n">
        <v>8</v>
      </c>
      <c r="F390" s="0" t="n">
        <v>4.95</v>
      </c>
      <c r="G390" s="7" t="str">
        <f aca="false">_xlfn.XLOOKUP(D390,Catalog!$B$2:$B$4102,Catalog!$A$2:$A$4102,"NOT IN CATALOG")</f>
        <v>NOT IN CATALOG</v>
      </c>
      <c r="H390" s="7" t="str">
        <f aca="false">_xlfn.IFNA(VLOOKUP(D390,Catalog!$B$2:$C$4102,2,FALSE()),"")</f>
        <v/>
      </c>
      <c r="I390" s="7" t="str">
        <f aca="false">HLOOKUP(C390,Regions!$B$1:$S$2,2,FALSE())</f>
        <v>EU</v>
      </c>
      <c r="J390" s="7" t="n">
        <f aca="false">E390*F390</f>
        <v>39.6</v>
      </c>
      <c r="K390" s="8" t="str">
        <f aca="false">IF(H390="","",1-F390/H390)</f>
        <v/>
      </c>
    </row>
    <row r="391" customFormat="false" ht="15" hidden="false" customHeight="false" outlineLevel="0" collapsed="false">
      <c r="A391" s="0" t="s">
        <v>356</v>
      </c>
      <c r="B391" s="6" t="n">
        <v>40881.6680555556</v>
      </c>
      <c r="C391" s="0" t="s">
        <v>81</v>
      </c>
      <c r="D391" s="0" t="s">
        <v>103</v>
      </c>
      <c r="E391" s="0" t="n">
        <v>10</v>
      </c>
      <c r="F391" s="0" t="n">
        <v>2.08</v>
      </c>
      <c r="G391" s="7" t="str">
        <f aca="false">_xlfn.XLOOKUP(D391,Catalog!$B$2:$B$4102,Catalog!$A$2:$A$4102,"NOT IN CATALOG")</f>
        <v>JUMBO BAG WOODLAND ANIMALS</v>
      </c>
      <c r="H391" s="7" t="n">
        <f aca="false">_xlfn.IFNA(VLOOKUP(D391,Catalog!$B$2:$C$4102,2,FALSE()),"")</f>
        <v>1.95</v>
      </c>
      <c r="I391" s="7" t="str">
        <f aca="false">HLOOKUP(C391,Regions!$B$1:$S$2,2,FALSE())</f>
        <v>EU</v>
      </c>
      <c r="J391" s="7" t="n">
        <f aca="false">E391*F391</f>
        <v>20.8</v>
      </c>
      <c r="K391" s="8" t="n">
        <f aca="false">IF(H391="","",1-F391/H391)</f>
        <v>-0.0666666666666667</v>
      </c>
    </row>
    <row r="392" customFormat="false" ht="15" hidden="false" customHeight="false" outlineLevel="0" collapsed="false">
      <c r="A392" s="0" t="s">
        <v>356</v>
      </c>
      <c r="B392" s="6" t="n">
        <v>40881.6680555556</v>
      </c>
      <c r="C392" s="0" t="s">
        <v>81</v>
      </c>
      <c r="D392" s="0" t="s">
        <v>358</v>
      </c>
      <c r="E392" s="0" t="n">
        <v>10</v>
      </c>
      <c r="F392" s="0" t="n">
        <v>2.08</v>
      </c>
      <c r="G392" s="7" t="str">
        <f aca="false">_xlfn.XLOOKUP(D392,Catalog!$B$2:$B$4102,Catalog!$A$2:$A$4102,"NOT IN CATALOG")</f>
        <v>JUMBO BAG BAROQUE BLACK WHITE</v>
      </c>
      <c r="H392" s="7" t="n">
        <f aca="false">_xlfn.IFNA(VLOOKUP(D392,Catalog!$B$2:$C$4102,2,FALSE()),"")</f>
        <v>1.95</v>
      </c>
      <c r="I392" s="7" t="str">
        <f aca="false">HLOOKUP(C392,Regions!$B$1:$S$2,2,FALSE())</f>
        <v>EU</v>
      </c>
      <c r="J392" s="7" t="n">
        <f aca="false">E392*F392</f>
        <v>20.8</v>
      </c>
      <c r="K392" s="8" t="n">
        <f aca="false">IF(H392="","",1-F392/H392)</f>
        <v>-0.0666666666666667</v>
      </c>
    </row>
    <row r="393" customFormat="false" ht="15" hidden="false" customHeight="false" outlineLevel="0" collapsed="false">
      <c r="A393" s="0" t="s">
        <v>356</v>
      </c>
      <c r="B393" s="6" t="n">
        <v>40881.6680555556</v>
      </c>
      <c r="C393" s="0" t="s">
        <v>81</v>
      </c>
      <c r="D393" s="0" t="s">
        <v>86</v>
      </c>
      <c r="E393" s="0" t="n">
        <v>10</v>
      </c>
      <c r="F393" s="0" t="n">
        <v>2.08</v>
      </c>
      <c r="G393" s="7" t="str">
        <f aca="false">_xlfn.XLOOKUP(D393,Catalog!$B$2:$B$4102,Catalog!$A$2:$A$4102,"NOT IN CATALOG")</f>
        <v>JUMBO BAG SPACEBOY DESIGN</v>
      </c>
      <c r="H393" s="7" t="n">
        <f aca="false">_xlfn.IFNA(VLOOKUP(D393,Catalog!$B$2:$C$4102,2,FALSE()),"")</f>
        <v>1.95</v>
      </c>
      <c r="I393" s="7" t="str">
        <f aca="false">HLOOKUP(C393,Regions!$B$1:$S$2,2,FALSE())</f>
        <v>EU</v>
      </c>
      <c r="J393" s="7" t="n">
        <f aca="false">E393*F393</f>
        <v>20.8</v>
      </c>
      <c r="K393" s="8" t="n">
        <f aca="false">IF(H393="","",1-F393/H393)</f>
        <v>-0.0666666666666667</v>
      </c>
    </row>
    <row r="394" customFormat="false" ht="15" hidden="false" customHeight="false" outlineLevel="0" collapsed="false">
      <c r="A394" s="0" t="s">
        <v>356</v>
      </c>
      <c r="B394" s="6" t="n">
        <v>40881.6680555556</v>
      </c>
      <c r="C394" s="0" t="s">
        <v>81</v>
      </c>
      <c r="D394" s="0" t="s">
        <v>39</v>
      </c>
      <c r="E394" s="0" t="n">
        <v>1</v>
      </c>
      <c r="F394" s="0" t="n">
        <v>18</v>
      </c>
      <c r="G394" s="7" t="str">
        <f aca="false">_xlfn.XLOOKUP(D394,Catalog!$B$2:$B$4102,Catalog!$A$2:$A$4102,"NOT IN CATALOG")</f>
        <v>POSTAGE</v>
      </c>
      <c r="H394" s="7" t="n">
        <f aca="false">_xlfn.IFNA(VLOOKUP(D394,Catalog!$B$2:$C$4102,2,FALSE()),"")</f>
        <v>18</v>
      </c>
      <c r="I394" s="7" t="str">
        <f aca="false">HLOOKUP(C394,Regions!$B$1:$S$2,2,FALSE())</f>
        <v>EU</v>
      </c>
      <c r="J394" s="7" t="n">
        <f aca="false">E394*F394</f>
        <v>18</v>
      </c>
      <c r="K394" s="8" t="n">
        <f aca="false">IF(H394="","",1-F394/H394)</f>
        <v>0</v>
      </c>
    </row>
    <row r="395" customFormat="false" ht="15" hidden="false" customHeight="false" outlineLevel="0" collapsed="false">
      <c r="A395" s="0" t="s">
        <v>359</v>
      </c>
      <c r="B395" s="6" t="n">
        <v>40881.6715277778</v>
      </c>
      <c r="C395" s="0" t="s">
        <v>81</v>
      </c>
      <c r="D395" s="0" t="s">
        <v>83</v>
      </c>
      <c r="E395" s="0" t="n">
        <v>12</v>
      </c>
      <c r="F395" s="0" t="n">
        <v>1.65</v>
      </c>
      <c r="G395" s="7" t="str">
        <f aca="false">_xlfn.XLOOKUP(D395,Catalog!$B$2:$B$4102,Catalog!$A$2:$A$4102,"NOT IN CATALOG")</f>
        <v>RED TOADSTOOL LED NIGHT LIGHT</v>
      </c>
      <c r="H395" s="7" t="n">
        <f aca="false">_xlfn.IFNA(VLOOKUP(D395,Catalog!$B$2:$C$4102,2,FALSE()),"")</f>
        <v>1.65</v>
      </c>
      <c r="I395" s="7" t="str">
        <f aca="false">HLOOKUP(C395,Regions!$B$1:$S$2,2,FALSE())</f>
        <v>EU</v>
      </c>
      <c r="J395" s="7" t="n">
        <f aca="false">E395*F395</f>
        <v>19.8</v>
      </c>
      <c r="K395" s="8" t="n">
        <f aca="false">IF(H395="","",1-F395/H395)</f>
        <v>0</v>
      </c>
    </row>
    <row r="396" customFormat="false" ht="15" hidden="false" customHeight="false" outlineLevel="0" collapsed="false">
      <c r="A396" s="0" t="s">
        <v>359</v>
      </c>
      <c r="B396" s="6" t="n">
        <v>40881.6715277778</v>
      </c>
      <c r="C396" s="0" t="s">
        <v>81</v>
      </c>
      <c r="D396" s="0" t="s">
        <v>360</v>
      </c>
      <c r="E396" s="0" t="n">
        <v>12</v>
      </c>
      <c r="F396" s="0" t="n">
        <v>0.65</v>
      </c>
      <c r="G396" s="7" t="str">
        <f aca="false">_xlfn.XLOOKUP(D396,Catalog!$B$2:$B$4102,Catalog!$A$2:$A$4102,"NOT IN CATALOG")</f>
        <v>CUTE CATS TAPE</v>
      </c>
      <c r="H396" s="7" t="n">
        <f aca="false">_xlfn.IFNA(VLOOKUP(D396,Catalog!$B$2:$C$4102,2,FALSE()),"")</f>
        <v>0.65</v>
      </c>
      <c r="I396" s="7" t="str">
        <f aca="false">HLOOKUP(C396,Regions!$B$1:$S$2,2,FALSE())</f>
        <v>EU</v>
      </c>
      <c r="J396" s="7" t="n">
        <f aca="false">E396*F396</f>
        <v>7.8</v>
      </c>
      <c r="K396" s="8" t="n">
        <f aca="false">IF(H396="","",1-F396/H396)</f>
        <v>0</v>
      </c>
    </row>
    <row r="397" customFormat="false" ht="15" hidden="false" customHeight="false" outlineLevel="0" collapsed="false">
      <c r="A397" s="0" t="s">
        <v>359</v>
      </c>
      <c r="B397" s="6" t="n">
        <v>40881.6715277778</v>
      </c>
      <c r="C397" s="0" t="s">
        <v>81</v>
      </c>
      <c r="D397" s="0" t="s">
        <v>361</v>
      </c>
      <c r="E397" s="0" t="n">
        <v>10</v>
      </c>
      <c r="F397" s="0" t="n">
        <v>0.85</v>
      </c>
      <c r="G397" s="7" t="str">
        <f aca="false">_xlfn.XLOOKUP(D397,Catalog!$B$2:$B$4102,Catalog!$A$2:$A$4102,"NOT IN CATALOG")</f>
        <v>WOODLAND CHARLOTTE BAG</v>
      </c>
      <c r="H397" s="7" t="n">
        <f aca="false">_xlfn.IFNA(VLOOKUP(D397,Catalog!$B$2:$C$4102,2,FALSE()),"")</f>
        <v>0.85</v>
      </c>
      <c r="I397" s="7" t="str">
        <f aca="false">HLOOKUP(C397,Regions!$B$1:$S$2,2,FALSE())</f>
        <v>EU</v>
      </c>
      <c r="J397" s="7" t="n">
        <f aca="false">E397*F397</f>
        <v>8.5</v>
      </c>
      <c r="K397" s="8" t="n">
        <f aca="false">IF(H397="","",1-F397/H397)</f>
        <v>0</v>
      </c>
    </row>
    <row r="398" customFormat="false" ht="15" hidden="false" customHeight="false" outlineLevel="0" collapsed="false">
      <c r="A398" s="0" t="s">
        <v>359</v>
      </c>
      <c r="B398" s="6" t="n">
        <v>40881.6715277778</v>
      </c>
      <c r="C398" s="0" t="s">
        <v>81</v>
      </c>
      <c r="D398" s="0" t="s">
        <v>362</v>
      </c>
      <c r="E398" s="0" t="n">
        <v>4</v>
      </c>
      <c r="F398" s="0" t="n">
        <v>3.75</v>
      </c>
      <c r="G398" s="7" t="str">
        <f aca="false">_xlfn.XLOOKUP(D398,Catalog!$B$2:$B$4102,Catalog!$A$2:$A$4102,"NOT IN CATALOG")</f>
        <v>SET OF 6 SOLDIER SKITTLES</v>
      </c>
      <c r="H398" s="7" t="n">
        <f aca="false">_xlfn.IFNA(VLOOKUP(D398,Catalog!$B$2:$C$4102,2,FALSE()),"")</f>
        <v>3.75</v>
      </c>
      <c r="I398" s="7" t="str">
        <f aca="false">HLOOKUP(C398,Regions!$B$1:$S$2,2,FALSE())</f>
        <v>EU</v>
      </c>
      <c r="J398" s="7" t="n">
        <f aca="false">E398*F398</f>
        <v>15</v>
      </c>
      <c r="K398" s="8" t="n">
        <f aca="false">IF(H398="","",1-F398/H398)</f>
        <v>0</v>
      </c>
    </row>
    <row r="399" customFormat="false" ht="15" hidden="false" customHeight="false" outlineLevel="0" collapsed="false">
      <c r="A399" s="0" t="s">
        <v>359</v>
      </c>
      <c r="B399" s="6" t="n">
        <v>40881.6715277778</v>
      </c>
      <c r="C399" s="0" t="s">
        <v>81</v>
      </c>
      <c r="D399" s="0" t="s">
        <v>357</v>
      </c>
      <c r="E399" s="0" t="n">
        <v>20</v>
      </c>
      <c r="F399" s="0" t="n">
        <v>2.08</v>
      </c>
      <c r="G399" s="7" t="str">
        <f aca="false">_xlfn.XLOOKUP(D399,Catalog!$B$2:$B$4102,Catalog!$A$2:$A$4102,"NOT IN CATALOG")</f>
        <v>NOT IN CATALOG</v>
      </c>
      <c r="H399" s="7" t="str">
        <f aca="false">_xlfn.IFNA(VLOOKUP(D399,Catalog!$B$2:$C$4102,2,FALSE()),"")</f>
        <v/>
      </c>
      <c r="I399" s="7" t="str">
        <f aca="false">HLOOKUP(C399,Regions!$B$1:$S$2,2,FALSE())</f>
        <v>EU</v>
      </c>
      <c r="J399" s="7" t="n">
        <f aca="false">E399*F399</f>
        <v>41.6</v>
      </c>
      <c r="K399" s="8" t="str">
        <f aca="false">IF(H399="","",1-F399/H399)</f>
        <v/>
      </c>
    </row>
    <row r="400" customFormat="false" ht="15" hidden="false" customHeight="false" outlineLevel="0" collapsed="false">
      <c r="A400" s="0" t="s">
        <v>359</v>
      </c>
      <c r="B400" s="6" t="n">
        <v>40881.6715277778</v>
      </c>
      <c r="C400" s="0" t="s">
        <v>81</v>
      </c>
      <c r="D400" s="0" t="s">
        <v>227</v>
      </c>
      <c r="E400" s="0" t="n">
        <v>10</v>
      </c>
      <c r="F400" s="0" t="n">
        <v>2.08</v>
      </c>
      <c r="G400" s="7" t="str">
        <f aca="false">_xlfn.XLOOKUP(D400,Catalog!$B$2:$B$4102,Catalog!$A$2:$A$4102,"NOT IN CATALOG")</f>
        <v>NOT IN CATALOG</v>
      </c>
      <c r="H400" s="7" t="str">
        <f aca="false">_xlfn.IFNA(VLOOKUP(D400,Catalog!$B$2:$C$4102,2,FALSE()),"")</f>
        <v/>
      </c>
      <c r="I400" s="7" t="str">
        <f aca="false">HLOOKUP(C400,Regions!$B$1:$S$2,2,FALSE())</f>
        <v>EU</v>
      </c>
      <c r="J400" s="7" t="n">
        <f aca="false">E400*F400</f>
        <v>20.8</v>
      </c>
      <c r="K400" s="8" t="str">
        <f aca="false">IF(H400="","",1-F400/H400)</f>
        <v/>
      </c>
    </row>
    <row r="401" customFormat="false" ht="15" hidden="false" customHeight="false" outlineLevel="0" collapsed="false">
      <c r="A401" s="0" t="s">
        <v>359</v>
      </c>
      <c r="B401" s="6" t="n">
        <v>40881.6715277778</v>
      </c>
      <c r="C401" s="0" t="s">
        <v>81</v>
      </c>
      <c r="D401" s="0" t="s">
        <v>363</v>
      </c>
      <c r="E401" s="0" t="n">
        <v>10</v>
      </c>
      <c r="F401" s="0" t="n">
        <v>2.08</v>
      </c>
      <c r="G401" s="7" t="str">
        <f aca="false">_xlfn.XLOOKUP(D401,Catalog!$B$2:$B$4102,Catalog!$A$2:$A$4102,"NOT IN CATALOG")</f>
        <v>NOT IN CATALOG</v>
      </c>
      <c r="H401" s="7" t="str">
        <f aca="false">_xlfn.IFNA(VLOOKUP(D401,Catalog!$B$2:$C$4102,2,FALSE()),"")</f>
        <v/>
      </c>
      <c r="I401" s="7" t="str">
        <f aca="false">HLOOKUP(C401,Regions!$B$1:$S$2,2,FALSE())</f>
        <v>EU</v>
      </c>
      <c r="J401" s="7" t="n">
        <f aca="false">E401*F401</f>
        <v>20.8</v>
      </c>
      <c r="K401" s="8" t="str">
        <f aca="false">IF(H401="","",1-F401/H401)</f>
        <v/>
      </c>
    </row>
    <row r="402" customFormat="false" ht="15" hidden="false" customHeight="false" outlineLevel="0" collapsed="false">
      <c r="A402" s="0" t="s">
        <v>359</v>
      </c>
      <c r="B402" s="6" t="n">
        <v>40881.6715277778</v>
      </c>
      <c r="C402" s="0" t="s">
        <v>81</v>
      </c>
      <c r="D402" s="0" t="s">
        <v>364</v>
      </c>
      <c r="E402" s="0" t="n">
        <v>10</v>
      </c>
      <c r="F402" s="0" t="n">
        <v>2.08</v>
      </c>
      <c r="G402" s="7" t="str">
        <f aca="false">_xlfn.XLOOKUP(D402,Catalog!$B$2:$B$4102,Catalog!$A$2:$A$4102,"NOT IN CATALOG")</f>
        <v>NOT IN CATALOG</v>
      </c>
      <c r="H402" s="7" t="str">
        <f aca="false">_xlfn.IFNA(VLOOKUP(D402,Catalog!$B$2:$C$4102,2,FALSE()),"")</f>
        <v/>
      </c>
      <c r="I402" s="7" t="str">
        <f aca="false">HLOOKUP(C402,Regions!$B$1:$S$2,2,FALSE())</f>
        <v>EU</v>
      </c>
      <c r="J402" s="7" t="n">
        <f aca="false">E402*F402</f>
        <v>20.8</v>
      </c>
      <c r="K402" s="8" t="str">
        <f aca="false">IF(H402="","",1-F402/H402)</f>
        <v/>
      </c>
    </row>
    <row r="403" customFormat="false" ht="15" hidden="false" customHeight="false" outlineLevel="0" collapsed="false">
      <c r="A403" s="0" t="s">
        <v>359</v>
      </c>
      <c r="B403" s="6" t="n">
        <v>40881.6715277778</v>
      </c>
      <c r="C403" s="0" t="s">
        <v>81</v>
      </c>
      <c r="D403" s="0" t="s">
        <v>99</v>
      </c>
      <c r="E403" s="0" t="n">
        <v>6</v>
      </c>
      <c r="F403" s="0" t="n">
        <v>4.95</v>
      </c>
      <c r="G403" s="7" t="str">
        <f aca="false">_xlfn.XLOOKUP(D403,Catalog!$B$2:$B$4102,Catalog!$A$2:$A$4102,"NOT IN CATALOG")</f>
        <v>RETRO SPOT TEA SET CERAMIC 11 PC</v>
      </c>
      <c r="H403" s="7" t="n">
        <f aca="false">_xlfn.IFNA(VLOOKUP(D403,Catalog!$B$2:$C$4102,2,FALSE()),"")</f>
        <v>4.95</v>
      </c>
      <c r="I403" s="7" t="str">
        <f aca="false">HLOOKUP(C403,Regions!$B$1:$S$2,2,FALSE())</f>
        <v>EU</v>
      </c>
      <c r="J403" s="7" t="n">
        <f aca="false">E403*F403</f>
        <v>29.7</v>
      </c>
      <c r="K403" s="8" t="n">
        <f aca="false">IF(H403="","",1-F403/H403)</f>
        <v>0</v>
      </c>
    </row>
    <row r="404" customFormat="false" ht="15" hidden="false" customHeight="false" outlineLevel="0" collapsed="false">
      <c r="A404" s="0" t="s">
        <v>359</v>
      </c>
      <c r="B404" s="6" t="n">
        <v>40881.6715277778</v>
      </c>
      <c r="C404" s="0" t="s">
        <v>81</v>
      </c>
      <c r="D404" s="0" t="s">
        <v>365</v>
      </c>
      <c r="E404" s="0" t="n">
        <v>10</v>
      </c>
      <c r="F404" s="0" t="n">
        <v>0.85</v>
      </c>
      <c r="G404" s="7" t="str">
        <f aca="false">_xlfn.XLOOKUP(D404,Catalog!$B$2:$B$4102,Catalog!$A$2:$A$4102,"NOT IN CATALOG")</f>
        <v>NOT IN CATALOG</v>
      </c>
      <c r="H404" s="7" t="str">
        <f aca="false">_xlfn.IFNA(VLOOKUP(D404,Catalog!$B$2:$C$4102,2,FALSE()),"")</f>
        <v/>
      </c>
      <c r="I404" s="7" t="str">
        <f aca="false">HLOOKUP(C404,Regions!$B$1:$S$2,2,FALSE())</f>
        <v>EU</v>
      </c>
      <c r="J404" s="7" t="n">
        <f aca="false">E404*F404</f>
        <v>8.5</v>
      </c>
      <c r="K404" s="8" t="str">
        <f aca="false">IF(H404="","",1-F404/H404)</f>
        <v/>
      </c>
    </row>
    <row r="405" customFormat="false" ht="15" hidden="false" customHeight="false" outlineLevel="0" collapsed="false">
      <c r="A405" s="0" t="s">
        <v>359</v>
      </c>
      <c r="B405" s="6" t="n">
        <v>40881.6715277778</v>
      </c>
      <c r="C405" s="0" t="s">
        <v>81</v>
      </c>
      <c r="D405" s="0" t="s">
        <v>254</v>
      </c>
      <c r="E405" s="0" t="n">
        <v>10</v>
      </c>
      <c r="F405" s="0" t="n">
        <v>0.85</v>
      </c>
      <c r="G405" s="7" t="str">
        <f aca="false">_xlfn.XLOOKUP(D405,Catalog!$B$2:$B$4102,Catalog!$A$2:$A$4102,"NOT IN CATALOG")</f>
        <v>RED SPOTTY CHARLOTTE BAG</v>
      </c>
      <c r="H405" s="7" t="n">
        <f aca="false">_xlfn.IFNA(VLOOKUP(D405,Catalog!$B$2:$C$4102,2,FALSE()),"")</f>
        <v>0.85</v>
      </c>
      <c r="I405" s="7" t="str">
        <f aca="false">HLOOKUP(C405,Regions!$B$1:$S$2,2,FALSE())</f>
        <v>EU</v>
      </c>
      <c r="J405" s="7" t="n">
        <f aca="false">E405*F405</f>
        <v>8.5</v>
      </c>
      <c r="K405" s="8" t="n">
        <f aca="false">IF(H405="","",1-F405/H405)</f>
        <v>0</v>
      </c>
    </row>
    <row r="406" customFormat="false" ht="15" hidden="false" customHeight="false" outlineLevel="0" collapsed="false">
      <c r="A406" s="0" t="s">
        <v>359</v>
      </c>
      <c r="B406" s="6" t="n">
        <v>40881.6715277778</v>
      </c>
      <c r="C406" s="0" t="s">
        <v>81</v>
      </c>
      <c r="D406" s="0" t="s">
        <v>366</v>
      </c>
      <c r="E406" s="0" t="n">
        <v>10</v>
      </c>
      <c r="F406" s="0" t="n">
        <v>0.85</v>
      </c>
      <c r="G406" s="7" t="str">
        <f aca="false">_xlfn.XLOOKUP(D406,Catalog!$B$2:$B$4102,Catalog!$A$2:$A$4102,"NOT IN CATALOG")</f>
        <v>CHARLOTTE BAG , PINK/WHITE SPOTS</v>
      </c>
      <c r="H406" s="7" t="n">
        <f aca="false">_xlfn.IFNA(VLOOKUP(D406,Catalog!$B$2:$C$4102,2,FALSE()),"")</f>
        <v>0.85</v>
      </c>
      <c r="I406" s="7" t="str">
        <f aca="false">HLOOKUP(C406,Regions!$B$1:$S$2,2,FALSE())</f>
        <v>EU</v>
      </c>
      <c r="J406" s="7" t="n">
        <f aca="false">E406*F406</f>
        <v>8.5</v>
      </c>
      <c r="K406" s="8" t="n">
        <f aca="false">IF(H406="","",1-F406/H406)</f>
        <v>0</v>
      </c>
    </row>
    <row r="407" customFormat="false" ht="15" hidden="false" customHeight="false" outlineLevel="0" collapsed="false">
      <c r="A407" s="0" t="s">
        <v>359</v>
      </c>
      <c r="B407" s="6" t="n">
        <v>40881.6715277778</v>
      </c>
      <c r="C407" s="0" t="s">
        <v>81</v>
      </c>
      <c r="D407" s="0" t="s">
        <v>102</v>
      </c>
      <c r="E407" s="0" t="n">
        <v>5</v>
      </c>
      <c r="F407" s="0" t="n">
        <v>2.1</v>
      </c>
      <c r="G407" s="7" t="str">
        <f aca="false">_xlfn.XLOOKUP(D407,Catalog!$B$2:$B$4102,Catalog!$A$2:$A$4102,"NOT IN CATALOG")</f>
        <v>RECYCLING BAG RETROSPOT</v>
      </c>
      <c r="H407" s="7" t="n">
        <f aca="false">_xlfn.IFNA(VLOOKUP(D407,Catalog!$B$2:$C$4102,2,FALSE()),"")</f>
        <v>2.1</v>
      </c>
      <c r="I407" s="7" t="str">
        <f aca="false">HLOOKUP(C407,Regions!$B$1:$S$2,2,FALSE())</f>
        <v>EU</v>
      </c>
      <c r="J407" s="7" t="n">
        <f aca="false">E407*F407</f>
        <v>10.5</v>
      </c>
      <c r="K407" s="8" t="n">
        <f aca="false">IF(H407="","",1-F407/H407)</f>
        <v>0</v>
      </c>
    </row>
    <row r="408" customFormat="false" ht="15" hidden="false" customHeight="false" outlineLevel="0" collapsed="false">
      <c r="A408" s="0" t="s">
        <v>359</v>
      </c>
      <c r="B408" s="6" t="n">
        <v>40881.6715277778</v>
      </c>
      <c r="C408" s="0" t="s">
        <v>81</v>
      </c>
      <c r="D408" s="0" t="s">
        <v>367</v>
      </c>
      <c r="E408" s="0" t="n">
        <v>5</v>
      </c>
      <c r="F408" s="0" t="n">
        <v>2.1</v>
      </c>
      <c r="G408" s="7" t="str">
        <f aca="false">_xlfn.XLOOKUP(D408,Catalog!$B$2:$B$4102,Catalog!$A$2:$A$4102,"NOT IN CATALOG")</f>
        <v>TOY TIDY PINK RETROSPOT</v>
      </c>
      <c r="H408" s="7" t="n">
        <f aca="false">_xlfn.IFNA(VLOOKUP(D408,Catalog!$B$2:$C$4102,2,FALSE()),"")</f>
        <v>2.1</v>
      </c>
      <c r="I408" s="7" t="str">
        <f aca="false">HLOOKUP(C408,Regions!$B$1:$S$2,2,FALSE())</f>
        <v>EU</v>
      </c>
      <c r="J408" s="7" t="n">
        <f aca="false">E408*F408</f>
        <v>10.5</v>
      </c>
      <c r="K408" s="8" t="n">
        <f aca="false">IF(H408="","",1-F408/H408)</f>
        <v>0</v>
      </c>
    </row>
    <row r="409" customFormat="false" ht="15" hidden="false" customHeight="false" outlineLevel="0" collapsed="false">
      <c r="A409" s="0" t="s">
        <v>359</v>
      </c>
      <c r="B409" s="6" t="n">
        <v>40881.6715277778</v>
      </c>
      <c r="C409" s="0" t="s">
        <v>81</v>
      </c>
      <c r="D409" s="0" t="s">
        <v>368</v>
      </c>
      <c r="E409" s="0" t="n">
        <v>25</v>
      </c>
      <c r="F409" s="0" t="n">
        <v>0.42</v>
      </c>
      <c r="G409" s="7" t="str">
        <f aca="false">_xlfn.XLOOKUP(D409,Catalog!$B$2:$B$4102,Catalog!$A$2:$A$4102,"NOT IN CATALOG")</f>
        <v>NOT IN CATALOG</v>
      </c>
      <c r="H409" s="7" t="str">
        <f aca="false">_xlfn.IFNA(VLOOKUP(D409,Catalog!$B$2:$C$4102,2,FALSE()),"")</f>
        <v/>
      </c>
      <c r="I409" s="7" t="str">
        <f aca="false">HLOOKUP(C409,Regions!$B$1:$S$2,2,FALSE())</f>
        <v>EU</v>
      </c>
      <c r="J409" s="7" t="n">
        <f aca="false">E409*F409</f>
        <v>10.5</v>
      </c>
      <c r="K409" s="8" t="str">
        <f aca="false">IF(H409="","",1-F409/H409)</f>
        <v/>
      </c>
    </row>
    <row r="410" customFormat="false" ht="15" hidden="false" customHeight="false" outlineLevel="0" collapsed="false">
      <c r="A410" s="0" t="s">
        <v>359</v>
      </c>
      <c r="B410" s="6" t="n">
        <v>40881.6715277778</v>
      </c>
      <c r="C410" s="0" t="s">
        <v>81</v>
      </c>
      <c r="D410" s="0" t="s">
        <v>159</v>
      </c>
      <c r="E410" s="0" t="n">
        <v>25</v>
      </c>
      <c r="F410" s="0" t="n">
        <v>0.42</v>
      </c>
      <c r="G410" s="7" t="str">
        <f aca="false">_xlfn.XLOOKUP(D410,Catalog!$B$2:$B$4102,Catalog!$A$2:$A$4102,"NOT IN CATALOG")</f>
        <v>WRAP RED APPLES</v>
      </c>
      <c r="H410" s="7" t="n">
        <f aca="false">_xlfn.IFNA(VLOOKUP(D410,Catalog!$B$2:$C$4102,2,FALSE()),"")</f>
        <v>0.42</v>
      </c>
      <c r="I410" s="7" t="str">
        <f aca="false">HLOOKUP(C410,Regions!$B$1:$S$2,2,FALSE())</f>
        <v>EU</v>
      </c>
      <c r="J410" s="7" t="n">
        <f aca="false">E410*F410</f>
        <v>10.5</v>
      </c>
      <c r="K410" s="8" t="n">
        <f aca="false">IF(H410="","",1-F410/H410)</f>
        <v>0</v>
      </c>
    </row>
    <row r="411" customFormat="false" ht="15" hidden="false" customHeight="false" outlineLevel="0" collapsed="false">
      <c r="A411" s="0" t="s">
        <v>359</v>
      </c>
      <c r="B411" s="6" t="n">
        <v>40881.6715277778</v>
      </c>
      <c r="C411" s="0" t="s">
        <v>81</v>
      </c>
      <c r="D411" s="0" t="s">
        <v>216</v>
      </c>
      <c r="E411" s="0" t="n">
        <v>12</v>
      </c>
      <c r="F411" s="0" t="n">
        <v>1.25</v>
      </c>
      <c r="G411" s="7" t="str">
        <f aca="false">_xlfn.XLOOKUP(D411,Catalog!$B$2:$B$4102,Catalog!$A$2:$A$4102,"NOT IN CATALOG")</f>
        <v>GINGERBREAD MAN COOKIE CUTTER</v>
      </c>
      <c r="H411" s="7" t="n">
        <f aca="false">_xlfn.IFNA(VLOOKUP(D411,Catalog!$B$2:$C$4102,2,FALSE()),"")</f>
        <v>1.25</v>
      </c>
      <c r="I411" s="7" t="str">
        <f aca="false">HLOOKUP(C411,Regions!$B$1:$S$2,2,FALSE())</f>
        <v>EU</v>
      </c>
      <c r="J411" s="7" t="n">
        <f aca="false">E411*F411</f>
        <v>15</v>
      </c>
      <c r="K411" s="8" t="n">
        <f aca="false">IF(H411="","",1-F411/H411)</f>
        <v>0</v>
      </c>
    </row>
    <row r="412" customFormat="false" ht="15" hidden="false" customHeight="false" outlineLevel="0" collapsed="false">
      <c r="A412" s="0" t="s">
        <v>359</v>
      </c>
      <c r="B412" s="6" t="n">
        <v>40881.6715277778</v>
      </c>
      <c r="C412" s="0" t="s">
        <v>81</v>
      </c>
      <c r="D412" s="0" t="s">
        <v>258</v>
      </c>
      <c r="E412" s="0" t="n">
        <v>8</v>
      </c>
      <c r="F412" s="0" t="n">
        <v>1.95</v>
      </c>
      <c r="G412" s="7" t="str">
        <f aca="false">_xlfn.XLOOKUP(D412,Catalog!$B$2:$B$4102,Catalog!$A$2:$A$4102,"NOT IN CATALOG")</f>
        <v>CHILDRENS APRON APPLES DESIGN</v>
      </c>
      <c r="H412" s="7" t="n">
        <f aca="false">_xlfn.IFNA(VLOOKUP(D412,Catalog!$B$2:$C$4102,2,FALSE()),"")</f>
        <v>1.95</v>
      </c>
      <c r="I412" s="7" t="str">
        <f aca="false">HLOOKUP(C412,Regions!$B$1:$S$2,2,FALSE())</f>
        <v>EU</v>
      </c>
      <c r="J412" s="7" t="n">
        <f aca="false">E412*F412</f>
        <v>15.6</v>
      </c>
      <c r="K412" s="8" t="n">
        <f aca="false">IF(H412="","",1-F412/H412)</f>
        <v>0</v>
      </c>
    </row>
    <row r="413" customFormat="false" ht="15" hidden="false" customHeight="false" outlineLevel="0" collapsed="false">
      <c r="A413" s="0" t="s">
        <v>359</v>
      </c>
      <c r="B413" s="6" t="n">
        <v>40881.6715277778</v>
      </c>
      <c r="C413" s="0" t="s">
        <v>81</v>
      </c>
      <c r="D413" s="0" t="s">
        <v>249</v>
      </c>
      <c r="E413" s="0" t="n">
        <v>6</v>
      </c>
      <c r="F413" s="0" t="n">
        <v>2.55</v>
      </c>
      <c r="G413" s="7" t="str">
        <f aca="false">_xlfn.XLOOKUP(D413,Catalog!$B$2:$B$4102,Catalog!$A$2:$A$4102,"NOT IN CATALOG")</f>
        <v>COFFEE MUG PEARS DESIGN</v>
      </c>
      <c r="H413" s="7" t="n">
        <f aca="false">_xlfn.IFNA(VLOOKUP(D413,Catalog!$B$2:$C$4102,2,FALSE()),"")</f>
        <v>2.55</v>
      </c>
      <c r="I413" s="7" t="str">
        <f aca="false">HLOOKUP(C413,Regions!$B$1:$S$2,2,FALSE())</f>
        <v>EU</v>
      </c>
      <c r="J413" s="7" t="n">
        <f aca="false">E413*F413</f>
        <v>15.3</v>
      </c>
      <c r="K413" s="8" t="n">
        <f aca="false">IF(H413="","",1-F413/H413)</f>
        <v>0</v>
      </c>
    </row>
    <row r="414" customFormat="false" ht="15" hidden="false" customHeight="false" outlineLevel="0" collapsed="false">
      <c r="A414" s="0" t="s">
        <v>359</v>
      </c>
      <c r="B414" s="6" t="n">
        <v>40881.6715277778</v>
      </c>
      <c r="C414" s="0" t="s">
        <v>81</v>
      </c>
      <c r="D414" s="0" t="s">
        <v>369</v>
      </c>
      <c r="E414" s="0" t="n">
        <v>6</v>
      </c>
      <c r="F414" s="0" t="n">
        <v>4.95</v>
      </c>
      <c r="G414" s="7" t="str">
        <f aca="false">_xlfn.XLOOKUP(D414,Catalog!$B$2:$B$4102,Catalog!$A$2:$A$4102,"NOT IN CATALOG")</f>
        <v>NOT IN CATALOG</v>
      </c>
      <c r="H414" s="7" t="str">
        <f aca="false">_xlfn.IFNA(VLOOKUP(D414,Catalog!$B$2:$C$4102,2,FALSE()),"")</f>
        <v/>
      </c>
      <c r="I414" s="7" t="str">
        <f aca="false">HLOOKUP(C414,Regions!$B$1:$S$2,2,FALSE())</f>
        <v>EU</v>
      </c>
      <c r="J414" s="7" t="n">
        <f aca="false">E414*F414</f>
        <v>29.7</v>
      </c>
      <c r="K414" s="8" t="str">
        <f aca="false">IF(H414="","",1-F414/H414)</f>
        <v/>
      </c>
    </row>
    <row r="415" customFormat="false" ht="15" hidden="false" customHeight="false" outlineLevel="0" collapsed="false">
      <c r="A415" s="0" t="s">
        <v>359</v>
      </c>
      <c r="B415" s="6" t="n">
        <v>40881.6715277778</v>
      </c>
      <c r="C415" s="0" t="s">
        <v>81</v>
      </c>
      <c r="D415" s="0" t="s">
        <v>370</v>
      </c>
      <c r="E415" s="0" t="n">
        <v>6</v>
      </c>
      <c r="F415" s="0" t="n">
        <v>3.25</v>
      </c>
      <c r="G415" s="7" t="str">
        <f aca="false">_xlfn.XLOOKUP(D415,Catalog!$B$2:$B$4102,Catalog!$A$2:$A$4102,"NOT IN CATALOG")</f>
        <v>RED SPOTTY CHILDS UMBRELLA</v>
      </c>
      <c r="H415" s="7" t="n">
        <f aca="false">_xlfn.IFNA(VLOOKUP(D415,Catalog!$B$2:$C$4102,2,FALSE()),"")</f>
        <v>3.25</v>
      </c>
      <c r="I415" s="7" t="str">
        <f aca="false">HLOOKUP(C415,Regions!$B$1:$S$2,2,FALSE())</f>
        <v>EU</v>
      </c>
      <c r="J415" s="7" t="n">
        <f aca="false">E415*F415</f>
        <v>19.5</v>
      </c>
      <c r="K415" s="8" t="n">
        <f aca="false">IF(H415="","",1-F415/H415)</f>
        <v>0</v>
      </c>
    </row>
    <row r="416" customFormat="false" ht="15" hidden="false" customHeight="false" outlineLevel="0" collapsed="false">
      <c r="A416" s="0" t="s">
        <v>359</v>
      </c>
      <c r="B416" s="6" t="n">
        <v>40881.6715277778</v>
      </c>
      <c r="C416" s="0" t="s">
        <v>81</v>
      </c>
      <c r="D416" s="0" t="s">
        <v>257</v>
      </c>
      <c r="E416" s="0" t="n">
        <v>8</v>
      </c>
      <c r="F416" s="0" t="n">
        <v>1.95</v>
      </c>
      <c r="G416" s="7" t="str">
        <f aca="false">_xlfn.XLOOKUP(D416,Catalog!$B$2:$B$4102,Catalog!$A$2:$A$4102,"NOT IN CATALOG")</f>
        <v>RETROSPOT CHILDRENS APRON</v>
      </c>
      <c r="H416" s="7" t="n">
        <f aca="false">_xlfn.IFNA(VLOOKUP(D416,Catalog!$B$2:$C$4102,2,FALSE()),"")</f>
        <v>1.95</v>
      </c>
      <c r="I416" s="7" t="str">
        <f aca="false">HLOOKUP(C416,Regions!$B$1:$S$2,2,FALSE())</f>
        <v>EU</v>
      </c>
      <c r="J416" s="7" t="n">
        <f aca="false">E416*F416</f>
        <v>15.6</v>
      </c>
      <c r="K416" s="8" t="n">
        <f aca="false">IF(H416="","",1-F416/H416)</f>
        <v>0</v>
      </c>
    </row>
    <row r="417" customFormat="false" ht="15" hidden="false" customHeight="false" outlineLevel="0" collapsed="false">
      <c r="A417" s="0" t="s">
        <v>359</v>
      </c>
      <c r="B417" s="6" t="n">
        <v>40881.6715277778</v>
      </c>
      <c r="C417" s="0" t="s">
        <v>81</v>
      </c>
      <c r="D417" s="0" t="s">
        <v>371</v>
      </c>
      <c r="E417" s="0" t="n">
        <v>12</v>
      </c>
      <c r="F417" s="0" t="n">
        <v>0.65</v>
      </c>
      <c r="G417" s="7" t="str">
        <f aca="false">_xlfn.XLOOKUP(D417,Catalog!$B$2:$B$4102,Catalog!$A$2:$A$4102,"NOT IN CATALOG")</f>
        <v>RED AND WHITE SPOT TAPE</v>
      </c>
      <c r="H417" s="7" t="n">
        <f aca="false">_xlfn.IFNA(VLOOKUP(D417,Catalog!$B$2:$C$4102,2,FALSE()),"")</f>
        <v>0.65</v>
      </c>
      <c r="I417" s="7" t="str">
        <f aca="false">HLOOKUP(C417,Regions!$B$1:$S$2,2,FALSE())</f>
        <v>EU</v>
      </c>
      <c r="J417" s="7" t="n">
        <f aca="false">E417*F417</f>
        <v>7.8</v>
      </c>
      <c r="K417" s="8" t="n">
        <f aca="false">IF(H417="","",1-F417/H417)</f>
        <v>0</v>
      </c>
    </row>
    <row r="418" customFormat="false" ht="15" hidden="false" customHeight="false" outlineLevel="0" collapsed="false">
      <c r="A418" s="0" t="s">
        <v>359</v>
      </c>
      <c r="B418" s="6" t="n">
        <v>40881.6715277778</v>
      </c>
      <c r="C418" s="0" t="s">
        <v>81</v>
      </c>
      <c r="D418" s="0" t="s">
        <v>372</v>
      </c>
      <c r="E418" s="0" t="n">
        <v>6</v>
      </c>
      <c r="F418" s="0" t="n">
        <v>2.95</v>
      </c>
      <c r="G418" s="7" t="str">
        <f aca="false">_xlfn.XLOOKUP(D418,Catalog!$B$2:$B$4102,Catalog!$A$2:$A$4102,"NOT IN CATALOG")</f>
        <v>PAPER BUNTING RETRO SPOTS</v>
      </c>
      <c r="H418" s="7" t="n">
        <f aca="false">_xlfn.IFNA(VLOOKUP(D418,Catalog!$B$2:$C$4102,2,FALSE()),"")</f>
        <v>2.95</v>
      </c>
      <c r="I418" s="7" t="str">
        <f aca="false">HLOOKUP(C418,Regions!$B$1:$S$2,2,FALSE())</f>
        <v>EU</v>
      </c>
      <c r="J418" s="7" t="n">
        <f aca="false">E418*F418</f>
        <v>17.7</v>
      </c>
      <c r="K418" s="8" t="n">
        <f aca="false">IF(H418="","",1-F418/H418)</f>
        <v>0</v>
      </c>
    </row>
    <row r="419" customFormat="false" ht="15" hidden="false" customHeight="false" outlineLevel="0" collapsed="false">
      <c r="A419" s="0" t="s">
        <v>359</v>
      </c>
      <c r="B419" s="6" t="n">
        <v>40881.6715277778</v>
      </c>
      <c r="C419" s="0" t="s">
        <v>81</v>
      </c>
      <c r="D419" s="0" t="s">
        <v>373</v>
      </c>
      <c r="E419" s="0" t="n">
        <v>4</v>
      </c>
      <c r="F419" s="0" t="n">
        <v>4.95</v>
      </c>
      <c r="G419" s="7" t="str">
        <f aca="false">_xlfn.XLOOKUP(D419,Catalog!$B$2:$B$4102,Catalog!$A$2:$A$4102,"NOT IN CATALOG")</f>
        <v>PICNIC BOXES SET OF 3 RETROSPOT</v>
      </c>
      <c r="H419" s="7" t="n">
        <f aca="false">_xlfn.IFNA(VLOOKUP(D419,Catalog!$B$2:$C$4102,2,FALSE()),"")</f>
        <v>4.95</v>
      </c>
      <c r="I419" s="7" t="str">
        <f aca="false">HLOOKUP(C419,Regions!$B$1:$S$2,2,FALSE())</f>
        <v>EU</v>
      </c>
      <c r="J419" s="7" t="n">
        <f aca="false">E419*F419</f>
        <v>19.8</v>
      </c>
      <c r="K419" s="8" t="n">
        <f aca="false">IF(H419="","",1-F419/H419)</f>
        <v>0</v>
      </c>
    </row>
    <row r="420" customFormat="false" ht="15" hidden="false" customHeight="false" outlineLevel="0" collapsed="false">
      <c r="A420" s="0" t="s">
        <v>359</v>
      </c>
      <c r="B420" s="6" t="n">
        <v>40881.6715277778</v>
      </c>
      <c r="C420" s="0" t="s">
        <v>81</v>
      </c>
      <c r="D420" s="0" t="s">
        <v>39</v>
      </c>
      <c r="E420" s="0" t="n">
        <v>3</v>
      </c>
      <c r="F420" s="0" t="n">
        <v>18</v>
      </c>
      <c r="G420" s="7" t="str">
        <f aca="false">_xlfn.XLOOKUP(D420,Catalog!$B$2:$B$4102,Catalog!$A$2:$A$4102,"NOT IN CATALOG")</f>
        <v>POSTAGE</v>
      </c>
      <c r="H420" s="7" t="n">
        <f aca="false">_xlfn.IFNA(VLOOKUP(D420,Catalog!$B$2:$C$4102,2,FALSE()),"")</f>
        <v>18</v>
      </c>
      <c r="I420" s="7" t="str">
        <f aca="false">HLOOKUP(C420,Regions!$B$1:$S$2,2,FALSE())</f>
        <v>EU</v>
      </c>
      <c r="J420" s="7" t="n">
        <f aca="false">E420*F420</f>
        <v>54</v>
      </c>
      <c r="K420" s="8" t="n">
        <f aca="false">IF(H420="","",1-F420/H420)</f>
        <v>0</v>
      </c>
    </row>
    <row r="421" customFormat="false" ht="15" hidden="false" customHeight="false" outlineLevel="0" collapsed="false">
      <c r="A421" s="0" t="s">
        <v>374</v>
      </c>
      <c r="B421" s="6" t="n">
        <v>40882.3861111111</v>
      </c>
      <c r="C421" s="0" t="s">
        <v>180</v>
      </c>
      <c r="D421" s="0" t="s">
        <v>375</v>
      </c>
      <c r="E421" s="0" t="n">
        <v>12</v>
      </c>
      <c r="F421" s="0" t="n">
        <v>2.08</v>
      </c>
      <c r="G421" s="7" t="str">
        <f aca="false">_xlfn.XLOOKUP(D421,Catalog!$B$2:$B$4102,Catalog!$A$2:$A$4102,"NOT IN CATALOG")</f>
        <v>NOT IN CATALOG</v>
      </c>
      <c r="H421" s="7" t="str">
        <f aca="false">_xlfn.IFNA(VLOOKUP(D421,Catalog!$B$2:$C$4102,2,FALSE()),"")</f>
        <v/>
      </c>
      <c r="I421" s="7" t="str">
        <f aca="false">HLOOKUP(C421,Regions!$B$1:$S$2,2,FALSE())</f>
        <v>EU</v>
      </c>
      <c r="J421" s="7" t="n">
        <f aca="false">E421*F421</f>
        <v>24.96</v>
      </c>
      <c r="K421" s="8" t="str">
        <f aca="false">IF(H421="","",1-F421/H421)</f>
        <v/>
      </c>
    </row>
    <row r="422" customFormat="false" ht="15" hidden="false" customHeight="false" outlineLevel="0" collapsed="false">
      <c r="A422" s="0" t="s">
        <v>374</v>
      </c>
      <c r="B422" s="6" t="n">
        <v>40882.3861111111</v>
      </c>
      <c r="C422" s="0" t="s">
        <v>180</v>
      </c>
      <c r="D422" s="0" t="s">
        <v>47</v>
      </c>
      <c r="E422" s="0" t="n">
        <v>2</v>
      </c>
      <c r="F422" s="0" t="n">
        <v>7.95</v>
      </c>
      <c r="G422" s="7" t="str">
        <f aca="false">_xlfn.XLOOKUP(D422,Catalog!$B$2:$B$4102,Catalog!$A$2:$A$4102,"NOT IN CATALOG")</f>
        <v>RED/WHITE DOT MINI CASES</v>
      </c>
      <c r="H422" s="7" t="n">
        <f aca="false">_xlfn.IFNA(VLOOKUP(D422,Catalog!$B$2:$C$4102,2,FALSE()),"")</f>
        <v>7.95</v>
      </c>
      <c r="I422" s="7" t="str">
        <f aca="false">HLOOKUP(C422,Regions!$B$1:$S$2,2,FALSE())</f>
        <v>EU</v>
      </c>
      <c r="J422" s="7" t="n">
        <f aca="false">E422*F422</f>
        <v>15.9</v>
      </c>
      <c r="K422" s="8" t="n">
        <f aca="false">IF(H422="","",1-F422/H422)</f>
        <v>0</v>
      </c>
    </row>
    <row r="423" customFormat="false" ht="15" hidden="false" customHeight="false" outlineLevel="0" collapsed="false">
      <c r="A423" s="0" t="s">
        <v>374</v>
      </c>
      <c r="B423" s="6" t="n">
        <v>40882.3861111111</v>
      </c>
      <c r="C423" s="0" t="s">
        <v>180</v>
      </c>
      <c r="D423" s="0" t="s">
        <v>376</v>
      </c>
      <c r="E423" s="0" t="n">
        <v>12</v>
      </c>
      <c r="F423" s="0" t="n">
        <v>0.85</v>
      </c>
      <c r="G423" s="7" t="str">
        <f aca="false">_xlfn.XLOOKUP(D423,Catalog!$B$2:$B$4102,Catalog!$A$2:$A$4102,"NOT IN CATALOG")</f>
        <v>NOT IN CATALOG</v>
      </c>
      <c r="H423" s="7" t="str">
        <f aca="false">_xlfn.IFNA(VLOOKUP(D423,Catalog!$B$2:$C$4102,2,FALSE()),"")</f>
        <v/>
      </c>
      <c r="I423" s="7" t="str">
        <f aca="false">HLOOKUP(C423,Regions!$B$1:$S$2,2,FALSE())</f>
        <v>EU</v>
      </c>
      <c r="J423" s="7" t="n">
        <f aca="false">E423*F423</f>
        <v>10.2</v>
      </c>
      <c r="K423" s="8" t="str">
        <f aca="false">IF(H423="","",1-F423/H423)</f>
        <v/>
      </c>
    </row>
    <row r="424" customFormat="false" ht="15" hidden="false" customHeight="false" outlineLevel="0" collapsed="false">
      <c r="A424" s="0" t="s">
        <v>374</v>
      </c>
      <c r="B424" s="6" t="n">
        <v>40882.3861111111</v>
      </c>
      <c r="C424" s="0" t="s">
        <v>180</v>
      </c>
      <c r="D424" s="0" t="s">
        <v>228</v>
      </c>
      <c r="E424" s="0" t="n">
        <v>10</v>
      </c>
      <c r="F424" s="0" t="n">
        <v>1.65</v>
      </c>
      <c r="G424" s="7" t="str">
        <f aca="false">_xlfn.XLOOKUP(D424,Catalog!$B$2:$B$4102,Catalog!$A$2:$A$4102,"NOT IN CATALOG")</f>
        <v>NOT IN CATALOG</v>
      </c>
      <c r="H424" s="7" t="str">
        <f aca="false">_xlfn.IFNA(VLOOKUP(D424,Catalog!$B$2:$C$4102,2,FALSE()),"")</f>
        <v/>
      </c>
      <c r="I424" s="7" t="str">
        <f aca="false">HLOOKUP(C424,Regions!$B$1:$S$2,2,FALSE())</f>
        <v>EU</v>
      </c>
      <c r="J424" s="7" t="n">
        <f aca="false">E424*F424</f>
        <v>16.5</v>
      </c>
      <c r="K424" s="8" t="str">
        <f aca="false">IF(H424="","",1-F424/H424)</f>
        <v/>
      </c>
    </row>
    <row r="425" customFormat="false" ht="15" hidden="false" customHeight="false" outlineLevel="0" collapsed="false">
      <c r="A425" s="0" t="s">
        <v>374</v>
      </c>
      <c r="B425" s="6" t="n">
        <v>40882.3861111111</v>
      </c>
      <c r="C425" s="0" t="s">
        <v>180</v>
      </c>
      <c r="D425" s="0" t="s">
        <v>99</v>
      </c>
      <c r="E425" s="0" t="n">
        <v>3</v>
      </c>
      <c r="F425" s="0" t="n">
        <v>4.95</v>
      </c>
      <c r="G425" s="7" t="str">
        <f aca="false">_xlfn.XLOOKUP(D425,Catalog!$B$2:$B$4102,Catalog!$A$2:$A$4102,"NOT IN CATALOG")</f>
        <v>RETRO SPOT TEA SET CERAMIC 11 PC</v>
      </c>
      <c r="H425" s="7" t="n">
        <f aca="false">_xlfn.IFNA(VLOOKUP(D425,Catalog!$B$2:$C$4102,2,FALSE()),"")</f>
        <v>4.95</v>
      </c>
      <c r="I425" s="7" t="str">
        <f aca="false">HLOOKUP(C425,Regions!$B$1:$S$2,2,FALSE())</f>
        <v>EU</v>
      </c>
      <c r="J425" s="7" t="n">
        <f aca="false">E425*F425</f>
        <v>14.85</v>
      </c>
      <c r="K425" s="8" t="n">
        <f aca="false">IF(H425="","",1-F425/H425)</f>
        <v>0</v>
      </c>
    </row>
    <row r="426" customFormat="false" ht="15" hidden="false" customHeight="false" outlineLevel="0" collapsed="false">
      <c r="A426" s="0" t="s">
        <v>374</v>
      </c>
      <c r="B426" s="6" t="n">
        <v>40882.3861111111</v>
      </c>
      <c r="C426" s="0" t="s">
        <v>180</v>
      </c>
      <c r="D426" s="0" t="s">
        <v>237</v>
      </c>
      <c r="E426" s="0" t="n">
        <v>12</v>
      </c>
      <c r="F426" s="0" t="n">
        <v>1.65</v>
      </c>
      <c r="G426" s="7" t="str">
        <f aca="false">_xlfn.XLOOKUP(D426,Catalog!$B$2:$B$4102,Catalog!$A$2:$A$4102,"NOT IN CATALOG")</f>
        <v>NOT IN CATALOG</v>
      </c>
      <c r="H426" s="7" t="str">
        <f aca="false">_xlfn.IFNA(VLOOKUP(D426,Catalog!$B$2:$C$4102,2,FALSE()),"")</f>
        <v/>
      </c>
      <c r="I426" s="7" t="str">
        <f aca="false">HLOOKUP(C426,Regions!$B$1:$S$2,2,FALSE())</f>
        <v>EU</v>
      </c>
      <c r="J426" s="7" t="n">
        <f aca="false">E426*F426</f>
        <v>19.8</v>
      </c>
      <c r="K426" s="8" t="str">
        <f aca="false">IF(H426="","",1-F426/H426)</f>
        <v/>
      </c>
    </row>
    <row r="427" customFormat="false" ht="15" hidden="false" customHeight="false" outlineLevel="0" collapsed="false">
      <c r="A427" s="0" t="s">
        <v>374</v>
      </c>
      <c r="B427" s="6" t="n">
        <v>40882.3861111111</v>
      </c>
      <c r="C427" s="0" t="s">
        <v>180</v>
      </c>
      <c r="D427" s="0" t="s">
        <v>324</v>
      </c>
      <c r="E427" s="0" t="n">
        <v>10</v>
      </c>
      <c r="F427" s="0" t="n">
        <v>1.65</v>
      </c>
      <c r="G427" s="7" t="str">
        <f aca="false">_xlfn.XLOOKUP(D427,Catalog!$B$2:$B$4102,Catalog!$A$2:$A$4102,"NOT IN CATALOG")</f>
        <v>NOT IN CATALOG</v>
      </c>
      <c r="H427" s="7" t="str">
        <f aca="false">_xlfn.IFNA(VLOOKUP(D427,Catalog!$B$2:$C$4102,2,FALSE()),"")</f>
        <v/>
      </c>
      <c r="I427" s="7" t="str">
        <f aca="false">HLOOKUP(C427,Regions!$B$1:$S$2,2,FALSE())</f>
        <v>EU</v>
      </c>
      <c r="J427" s="7" t="n">
        <f aca="false">E427*F427</f>
        <v>16.5</v>
      </c>
      <c r="K427" s="8" t="str">
        <f aca="false">IF(H427="","",1-F427/H427)</f>
        <v/>
      </c>
    </row>
    <row r="428" customFormat="false" ht="15" hidden="false" customHeight="false" outlineLevel="0" collapsed="false">
      <c r="A428" s="0" t="s">
        <v>374</v>
      </c>
      <c r="B428" s="6" t="n">
        <v>40882.3861111111</v>
      </c>
      <c r="C428" s="0" t="s">
        <v>180</v>
      </c>
      <c r="D428" s="0" t="s">
        <v>377</v>
      </c>
      <c r="E428" s="0" t="n">
        <v>6</v>
      </c>
      <c r="F428" s="0" t="n">
        <v>2.89</v>
      </c>
      <c r="G428" s="7" t="str">
        <f aca="false">_xlfn.XLOOKUP(D428,Catalog!$B$2:$B$4102,Catalog!$A$2:$A$4102,"NOT IN CATALOG")</f>
        <v>NOT IN CATALOG</v>
      </c>
      <c r="H428" s="7" t="str">
        <f aca="false">_xlfn.IFNA(VLOOKUP(D428,Catalog!$B$2:$C$4102,2,FALSE()),"")</f>
        <v/>
      </c>
      <c r="I428" s="7" t="str">
        <f aca="false">HLOOKUP(C428,Regions!$B$1:$S$2,2,FALSE())</f>
        <v>EU</v>
      </c>
      <c r="J428" s="7" t="n">
        <f aca="false">E428*F428</f>
        <v>17.34</v>
      </c>
      <c r="K428" s="8" t="str">
        <f aca="false">IF(H428="","",1-F428/H428)</f>
        <v/>
      </c>
    </row>
    <row r="429" customFormat="false" ht="15" hidden="false" customHeight="false" outlineLevel="0" collapsed="false">
      <c r="A429" s="0" t="s">
        <v>374</v>
      </c>
      <c r="B429" s="6" t="n">
        <v>40882.3861111111</v>
      </c>
      <c r="C429" s="0" t="s">
        <v>180</v>
      </c>
      <c r="D429" s="0" t="s">
        <v>210</v>
      </c>
      <c r="E429" s="0" t="n">
        <v>2</v>
      </c>
      <c r="F429" s="0" t="n">
        <v>6.25</v>
      </c>
      <c r="G429" s="7" t="str">
        <f aca="false">_xlfn.XLOOKUP(D429,Catalog!$B$2:$B$4102,Catalog!$A$2:$A$4102,"NOT IN CATALOG")</f>
        <v>NOT IN CATALOG</v>
      </c>
      <c r="H429" s="7" t="str">
        <f aca="false">_xlfn.IFNA(VLOOKUP(D429,Catalog!$B$2:$C$4102,2,FALSE()),"")</f>
        <v/>
      </c>
      <c r="I429" s="7" t="str">
        <f aca="false">HLOOKUP(C429,Regions!$B$1:$S$2,2,FALSE())</f>
        <v>EU</v>
      </c>
      <c r="J429" s="7" t="n">
        <f aca="false">E429*F429</f>
        <v>12.5</v>
      </c>
      <c r="K429" s="8" t="str">
        <f aca="false">IF(H429="","",1-F429/H429)</f>
        <v/>
      </c>
    </row>
    <row r="430" customFormat="false" ht="15" hidden="false" customHeight="false" outlineLevel="0" collapsed="false">
      <c r="A430" s="0" t="s">
        <v>374</v>
      </c>
      <c r="B430" s="6" t="n">
        <v>40882.3861111111</v>
      </c>
      <c r="C430" s="0" t="s">
        <v>180</v>
      </c>
      <c r="D430" s="0" t="s">
        <v>150</v>
      </c>
      <c r="E430" s="0" t="n">
        <v>24</v>
      </c>
      <c r="F430" s="0" t="n">
        <v>1.45</v>
      </c>
      <c r="G430" s="7" t="str">
        <f aca="false">_xlfn.XLOOKUP(D430,Catalog!$B$2:$B$4102,Catalog!$A$2:$A$4102,"NOT IN CATALOG")</f>
        <v>4 TRADITIONAL SPINNING TOPS</v>
      </c>
      <c r="H430" s="7" t="n">
        <f aca="false">_xlfn.IFNA(VLOOKUP(D430,Catalog!$B$2:$C$4102,2,FALSE()),"")</f>
        <v>1.25</v>
      </c>
      <c r="I430" s="7" t="str">
        <f aca="false">HLOOKUP(C430,Regions!$B$1:$S$2,2,FALSE())</f>
        <v>EU</v>
      </c>
      <c r="J430" s="7" t="n">
        <f aca="false">E430*F430</f>
        <v>34.8</v>
      </c>
      <c r="K430" s="8" t="n">
        <f aca="false">IF(H430="","",1-F430/H430)</f>
        <v>-0.16</v>
      </c>
    </row>
    <row r="431" customFormat="false" ht="15" hidden="false" customHeight="false" outlineLevel="0" collapsed="false">
      <c r="A431" s="0" t="s">
        <v>374</v>
      </c>
      <c r="B431" s="6" t="n">
        <v>40882.3861111111</v>
      </c>
      <c r="C431" s="0" t="s">
        <v>180</v>
      </c>
      <c r="D431" s="0" t="s">
        <v>378</v>
      </c>
      <c r="E431" s="0" t="n">
        <v>12</v>
      </c>
      <c r="F431" s="0" t="n">
        <v>1.45</v>
      </c>
      <c r="G431" s="7" t="str">
        <f aca="false">_xlfn.XLOOKUP(D431,Catalog!$B$2:$B$4102,Catalog!$A$2:$A$4102,"NOT IN CATALOG")</f>
        <v>TRADITIONAL WOODEN SKIPPING ROPE</v>
      </c>
      <c r="H431" s="7" t="n">
        <f aca="false">_xlfn.IFNA(VLOOKUP(D431,Catalog!$B$2:$C$4102,2,FALSE()),"")</f>
        <v>1.25</v>
      </c>
      <c r="I431" s="7" t="str">
        <f aca="false">HLOOKUP(C431,Regions!$B$1:$S$2,2,FALSE())</f>
        <v>EU</v>
      </c>
      <c r="J431" s="7" t="n">
        <f aca="false">E431*F431</f>
        <v>17.4</v>
      </c>
      <c r="K431" s="8" t="n">
        <f aca="false">IF(H431="","",1-F431/H431)</f>
        <v>-0.16</v>
      </c>
    </row>
    <row r="432" customFormat="false" ht="15" hidden="false" customHeight="false" outlineLevel="0" collapsed="false">
      <c r="A432" s="0" t="s">
        <v>374</v>
      </c>
      <c r="B432" s="6" t="n">
        <v>40882.3861111111</v>
      </c>
      <c r="C432" s="0" t="s">
        <v>180</v>
      </c>
      <c r="D432" s="0" t="s">
        <v>379</v>
      </c>
      <c r="E432" s="0" t="n">
        <v>12</v>
      </c>
      <c r="F432" s="0" t="n">
        <v>1.25</v>
      </c>
      <c r="G432" s="7" t="str">
        <f aca="false">_xlfn.XLOOKUP(D432,Catalog!$B$2:$B$4102,Catalog!$A$2:$A$4102,"NOT IN CATALOG")</f>
        <v>NOT IN CATALOG</v>
      </c>
      <c r="H432" s="7" t="str">
        <f aca="false">_xlfn.IFNA(VLOOKUP(D432,Catalog!$B$2:$C$4102,2,FALSE()),"")</f>
        <v/>
      </c>
      <c r="I432" s="7" t="str">
        <f aca="false">HLOOKUP(C432,Regions!$B$1:$S$2,2,FALSE())</f>
        <v>EU</v>
      </c>
      <c r="J432" s="7" t="n">
        <f aca="false">E432*F432</f>
        <v>15</v>
      </c>
      <c r="K432" s="8" t="str">
        <f aca="false">IF(H432="","",1-F432/H432)</f>
        <v/>
      </c>
    </row>
    <row r="433" customFormat="false" ht="15" hidden="false" customHeight="false" outlineLevel="0" collapsed="false">
      <c r="A433" s="0" t="s">
        <v>374</v>
      </c>
      <c r="B433" s="6" t="n">
        <v>40882.3861111111</v>
      </c>
      <c r="C433" s="0" t="s">
        <v>180</v>
      </c>
      <c r="D433" s="0" t="s">
        <v>84</v>
      </c>
      <c r="E433" s="0" t="n">
        <v>10</v>
      </c>
      <c r="F433" s="0" t="n">
        <v>0.85</v>
      </c>
      <c r="G433" s="7" t="str">
        <f aca="false">_xlfn.XLOOKUP(D433,Catalog!$B$2:$B$4102,Catalog!$A$2:$A$4102,"NOT IN CATALOG")</f>
        <v>CHARLOTTE BAG SUKI DESIGN</v>
      </c>
      <c r="H433" s="7" t="n">
        <f aca="false">_xlfn.IFNA(VLOOKUP(D433,Catalog!$B$2:$C$4102,2,FALSE()),"")</f>
        <v>0.85</v>
      </c>
      <c r="I433" s="7" t="str">
        <f aca="false">HLOOKUP(C433,Regions!$B$1:$S$2,2,FALSE())</f>
        <v>EU</v>
      </c>
      <c r="J433" s="7" t="n">
        <f aca="false">E433*F433</f>
        <v>8.5</v>
      </c>
      <c r="K433" s="8" t="n">
        <f aca="false">IF(H433="","",1-F433/H433)</f>
        <v>0</v>
      </c>
    </row>
    <row r="434" customFormat="false" ht="15" hidden="false" customHeight="false" outlineLevel="0" collapsed="false">
      <c r="A434" s="0" t="s">
        <v>374</v>
      </c>
      <c r="B434" s="6" t="n">
        <v>40882.3861111111</v>
      </c>
      <c r="C434" s="0" t="s">
        <v>180</v>
      </c>
      <c r="D434" s="0" t="s">
        <v>39</v>
      </c>
      <c r="E434" s="0" t="n">
        <v>1</v>
      </c>
      <c r="F434" s="0" t="n">
        <v>28</v>
      </c>
      <c r="G434" s="7" t="str">
        <f aca="false">_xlfn.XLOOKUP(D434,Catalog!$B$2:$B$4102,Catalog!$A$2:$A$4102,"NOT IN CATALOG")</f>
        <v>POSTAGE</v>
      </c>
      <c r="H434" s="7" t="n">
        <f aca="false">_xlfn.IFNA(VLOOKUP(D434,Catalog!$B$2:$C$4102,2,FALSE()),"")</f>
        <v>18</v>
      </c>
      <c r="I434" s="7" t="str">
        <f aca="false">HLOOKUP(C434,Regions!$B$1:$S$2,2,FALSE())</f>
        <v>EU</v>
      </c>
      <c r="J434" s="7" t="n">
        <f aca="false">E434*F434</f>
        <v>28</v>
      </c>
      <c r="K434" s="8" t="n">
        <f aca="false">IF(H434="","",1-F434/H434)</f>
        <v>-0.555555555555556</v>
      </c>
    </row>
    <row r="435" customFormat="false" ht="15" hidden="false" customHeight="false" outlineLevel="0" collapsed="false">
      <c r="A435" s="0" t="s">
        <v>380</v>
      </c>
      <c r="B435" s="6" t="n">
        <v>40882.4034722222</v>
      </c>
      <c r="C435" s="0" t="s">
        <v>29</v>
      </c>
      <c r="D435" s="0" t="s">
        <v>222</v>
      </c>
      <c r="E435" s="0" t="n">
        <v>2</v>
      </c>
      <c r="F435" s="0" t="n">
        <v>8.5</v>
      </c>
      <c r="G435" s="7" t="str">
        <f aca="false">_xlfn.XLOOKUP(D435,Catalog!$B$2:$B$4102,Catalog!$A$2:$A$4102,"NOT IN CATALOG")</f>
        <v>IVORY KITCHEN SCALES</v>
      </c>
      <c r="H435" s="7" t="n">
        <f aca="false">_xlfn.IFNA(VLOOKUP(D435,Catalog!$B$2:$C$4102,2,FALSE()),"")</f>
        <v>8.5</v>
      </c>
      <c r="I435" s="7" t="str">
        <f aca="false">HLOOKUP(C435,Regions!$B$1:$S$2,2,FALSE())</f>
        <v>EU</v>
      </c>
      <c r="J435" s="7" t="n">
        <f aca="false">E435*F435</f>
        <v>17</v>
      </c>
      <c r="K435" s="8" t="n">
        <f aca="false">IF(H435="","",1-F435/H435)</f>
        <v>0</v>
      </c>
    </row>
    <row r="436" customFormat="false" ht="15" hidden="false" customHeight="false" outlineLevel="0" collapsed="false">
      <c r="A436" s="0" t="s">
        <v>380</v>
      </c>
      <c r="B436" s="6" t="n">
        <v>40882.4034722222</v>
      </c>
      <c r="C436" s="0" t="s">
        <v>29</v>
      </c>
      <c r="D436" s="0" t="s">
        <v>381</v>
      </c>
      <c r="E436" s="0" t="n">
        <v>2</v>
      </c>
      <c r="F436" s="0" t="n">
        <v>8.5</v>
      </c>
      <c r="G436" s="7" t="str">
        <f aca="false">_xlfn.XLOOKUP(D436,Catalog!$B$2:$B$4102,Catalog!$A$2:$A$4102,"NOT IN CATALOG")</f>
        <v>RED KITCHEN SCALES</v>
      </c>
      <c r="H436" s="7" t="n">
        <f aca="false">_xlfn.IFNA(VLOOKUP(D436,Catalog!$B$2:$C$4102,2,FALSE()),"")</f>
        <v>8.5</v>
      </c>
      <c r="I436" s="7" t="str">
        <f aca="false">HLOOKUP(C436,Regions!$B$1:$S$2,2,FALSE())</f>
        <v>EU</v>
      </c>
      <c r="J436" s="7" t="n">
        <f aca="false">E436*F436</f>
        <v>17</v>
      </c>
      <c r="K436" s="8" t="n">
        <f aca="false">IF(H436="","",1-F436/H436)</f>
        <v>0</v>
      </c>
    </row>
    <row r="437" customFormat="false" ht="15" hidden="false" customHeight="false" outlineLevel="0" collapsed="false">
      <c r="A437" s="0" t="s">
        <v>380</v>
      </c>
      <c r="B437" s="6" t="n">
        <v>40882.4034722222</v>
      </c>
      <c r="C437" s="0" t="s">
        <v>29</v>
      </c>
      <c r="D437" s="0" t="s">
        <v>223</v>
      </c>
      <c r="E437" s="0" t="n">
        <v>2</v>
      </c>
      <c r="F437" s="0" t="n">
        <v>8.5</v>
      </c>
      <c r="G437" s="7" t="str">
        <f aca="false">_xlfn.XLOOKUP(D437,Catalog!$B$2:$B$4102,Catalog!$A$2:$A$4102,"NOT IN CATALOG")</f>
        <v>BLACK KITCHEN SCALES</v>
      </c>
      <c r="H437" s="7" t="n">
        <f aca="false">_xlfn.IFNA(VLOOKUP(D437,Catalog!$B$2:$C$4102,2,FALSE()),"")</f>
        <v>8.5</v>
      </c>
      <c r="I437" s="7" t="str">
        <f aca="false">HLOOKUP(C437,Regions!$B$1:$S$2,2,FALSE())</f>
        <v>EU</v>
      </c>
      <c r="J437" s="7" t="n">
        <f aca="false">E437*F437</f>
        <v>17</v>
      </c>
      <c r="K437" s="8" t="n">
        <f aca="false">IF(H437="","",1-F437/H437)</f>
        <v>0</v>
      </c>
    </row>
    <row r="438" customFormat="false" ht="15" hidden="false" customHeight="false" outlineLevel="0" collapsed="false">
      <c r="A438" s="0" t="s">
        <v>380</v>
      </c>
      <c r="B438" s="6" t="n">
        <v>40882.4034722222</v>
      </c>
      <c r="C438" s="0" t="s">
        <v>29</v>
      </c>
      <c r="D438" s="0" t="s">
        <v>39</v>
      </c>
      <c r="E438" s="0" t="n">
        <v>1</v>
      </c>
      <c r="F438" s="0" t="n">
        <v>18</v>
      </c>
      <c r="G438" s="7" t="str">
        <f aca="false">_xlfn.XLOOKUP(D438,Catalog!$B$2:$B$4102,Catalog!$A$2:$A$4102,"NOT IN CATALOG")</f>
        <v>POSTAGE</v>
      </c>
      <c r="H438" s="7" t="n">
        <f aca="false">_xlfn.IFNA(VLOOKUP(D438,Catalog!$B$2:$C$4102,2,FALSE()),"")</f>
        <v>18</v>
      </c>
      <c r="I438" s="7" t="str">
        <f aca="false">HLOOKUP(C438,Regions!$B$1:$S$2,2,FALSE())</f>
        <v>EU</v>
      </c>
      <c r="J438" s="7" t="n">
        <f aca="false">E438*F438</f>
        <v>18</v>
      </c>
      <c r="K438" s="8" t="n">
        <f aca="false">IF(H438="","",1-F438/H438)</f>
        <v>0</v>
      </c>
    </row>
    <row r="439" customFormat="false" ht="15" hidden="false" customHeight="false" outlineLevel="0" collapsed="false">
      <c r="A439" s="0" t="s">
        <v>382</v>
      </c>
      <c r="B439" s="6" t="n">
        <v>40882.4263888889</v>
      </c>
      <c r="C439" s="0" t="s">
        <v>226</v>
      </c>
      <c r="D439" s="0" t="s">
        <v>383</v>
      </c>
      <c r="E439" s="0" t="n">
        <v>16</v>
      </c>
      <c r="F439" s="0" t="n">
        <v>1.69</v>
      </c>
      <c r="G439" s="7" t="str">
        <f aca="false">_xlfn.XLOOKUP(D439,Catalog!$B$2:$B$4102,Catalog!$A$2:$A$4102,"NOT IN CATALOG")</f>
        <v>RED SPOTTY PLATE</v>
      </c>
      <c r="H439" s="7" t="n">
        <f aca="false">_xlfn.IFNA(VLOOKUP(D439,Catalog!$B$2:$C$4102,2,FALSE()),"")</f>
        <v>1.69</v>
      </c>
      <c r="I439" s="7" t="str">
        <f aca="false">HLOOKUP(C439,Regions!$B$1:$S$2,2,FALSE())</f>
        <v>Non-EU</v>
      </c>
      <c r="J439" s="7" t="n">
        <f aca="false">E439*F439</f>
        <v>27.04</v>
      </c>
      <c r="K439" s="8" t="n">
        <f aca="false">IF(H439="","",1-F439/H439)</f>
        <v>0</v>
      </c>
    </row>
    <row r="440" customFormat="false" ht="15" hidden="false" customHeight="false" outlineLevel="0" collapsed="false">
      <c r="A440" s="0" t="s">
        <v>382</v>
      </c>
      <c r="B440" s="6" t="n">
        <v>40882.4263888889</v>
      </c>
      <c r="C440" s="0" t="s">
        <v>226</v>
      </c>
      <c r="D440" s="0" t="s">
        <v>384</v>
      </c>
      <c r="E440" s="0" t="n">
        <v>16</v>
      </c>
      <c r="F440" s="0" t="n">
        <v>1.69</v>
      </c>
      <c r="G440" s="7" t="str">
        <f aca="false">_xlfn.XLOOKUP(D440,Catalog!$B$2:$B$4102,Catalog!$A$2:$A$4102,"NOT IN CATALOG")</f>
        <v>PINK SPOTTY PLATE</v>
      </c>
      <c r="H440" s="7" t="n">
        <f aca="false">_xlfn.IFNA(VLOOKUP(D440,Catalog!$B$2:$C$4102,2,FALSE()),"")</f>
        <v>1.69</v>
      </c>
      <c r="I440" s="7" t="str">
        <f aca="false">HLOOKUP(C440,Regions!$B$1:$S$2,2,FALSE())</f>
        <v>Non-EU</v>
      </c>
      <c r="J440" s="7" t="n">
        <f aca="false">E440*F440</f>
        <v>27.04</v>
      </c>
      <c r="K440" s="8" t="n">
        <f aca="false">IF(H440="","",1-F440/H440)</f>
        <v>0</v>
      </c>
    </row>
    <row r="441" customFormat="false" ht="15" hidden="false" customHeight="false" outlineLevel="0" collapsed="false">
      <c r="A441" s="0" t="s">
        <v>382</v>
      </c>
      <c r="B441" s="6" t="n">
        <v>40882.4263888889</v>
      </c>
      <c r="C441" s="0" t="s">
        <v>226</v>
      </c>
      <c r="D441" s="0" t="s">
        <v>385</v>
      </c>
      <c r="E441" s="0" t="n">
        <v>16</v>
      </c>
      <c r="F441" s="0" t="n">
        <v>1.69</v>
      </c>
      <c r="G441" s="7" t="str">
        <f aca="false">_xlfn.XLOOKUP(D441,Catalog!$B$2:$B$4102,Catalog!$A$2:$A$4102,"NOT IN CATALOG")</f>
        <v>GREEN SPOTTY PLATE</v>
      </c>
      <c r="H441" s="7" t="n">
        <f aca="false">_xlfn.IFNA(VLOOKUP(D441,Catalog!$B$2:$C$4102,2,FALSE()),"")</f>
        <v>1.69</v>
      </c>
      <c r="I441" s="7" t="str">
        <f aca="false">HLOOKUP(C441,Regions!$B$1:$S$2,2,FALSE())</f>
        <v>Non-EU</v>
      </c>
      <c r="J441" s="7" t="n">
        <f aca="false">E441*F441</f>
        <v>27.04</v>
      </c>
      <c r="K441" s="8" t="n">
        <f aca="false">IF(H441="","",1-F441/H441)</f>
        <v>0</v>
      </c>
    </row>
    <row r="442" customFormat="false" ht="15" hidden="false" customHeight="false" outlineLevel="0" collapsed="false">
      <c r="A442" s="0" t="s">
        <v>382</v>
      </c>
      <c r="B442" s="6" t="n">
        <v>40882.4263888889</v>
      </c>
      <c r="C442" s="0" t="s">
        <v>226</v>
      </c>
      <c r="D442" s="0" t="s">
        <v>386</v>
      </c>
      <c r="E442" s="0" t="n">
        <v>16</v>
      </c>
      <c r="F442" s="0" t="n">
        <v>0.85</v>
      </c>
      <c r="G442" s="7" t="str">
        <f aca="false">_xlfn.XLOOKUP(D442,Catalog!$B$2:$B$4102,Catalog!$A$2:$A$4102,"NOT IN CATALOG")</f>
        <v>RED SPOTTY CUP</v>
      </c>
      <c r="H442" s="7" t="n">
        <f aca="false">_xlfn.IFNA(VLOOKUP(D442,Catalog!$B$2:$C$4102,2,FALSE()),"")</f>
        <v>0.85</v>
      </c>
      <c r="I442" s="7" t="str">
        <f aca="false">HLOOKUP(C442,Regions!$B$1:$S$2,2,FALSE())</f>
        <v>Non-EU</v>
      </c>
      <c r="J442" s="7" t="n">
        <f aca="false">E442*F442</f>
        <v>13.6</v>
      </c>
      <c r="K442" s="8" t="n">
        <f aca="false">IF(H442="","",1-F442/H442)</f>
        <v>0</v>
      </c>
    </row>
    <row r="443" customFormat="false" ht="15" hidden="false" customHeight="false" outlineLevel="0" collapsed="false">
      <c r="A443" s="0" t="s">
        <v>382</v>
      </c>
      <c r="B443" s="6" t="n">
        <v>40882.4263888889</v>
      </c>
      <c r="C443" s="0" t="s">
        <v>226</v>
      </c>
      <c r="D443" s="0" t="s">
        <v>387</v>
      </c>
      <c r="E443" s="0" t="n">
        <v>16</v>
      </c>
      <c r="F443" s="0" t="n">
        <v>0.85</v>
      </c>
      <c r="G443" s="7" t="str">
        <f aca="false">_xlfn.XLOOKUP(D443,Catalog!$B$2:$B$4102,Catalog!$A$2:$A$4102,"NOT IN CATALOG")</f>
        <v>PINK SPOTTY CUP</v>
      </c>
      <c r="H443" s="7" t="n">
        <f aca="false">_xlfn.IFNA(VLOOKUP(D443,Catalog!$B$2:$C$4102,2,FALSE()),"")</f>
        <v>0.85</v>
      </c>
      <c r="I443" s="7" t="str">
        <f aca="false">HLOOKUP(C443,Regions!$B$1:$S$2,2,FALSE())</f>
        <v>Non-EU</v>
      </c>
      <c r="J443" s="7" t="n">
        <f aca="false">E443*F443</f>
        <v>13.6</v>
      </c>
      <c r="K443" s="8" t="n">
        <f aca="false">IF(H443="","",1-F443/H443)</f>
        <v>0</v>
      </c>
    </row>
    <row r="444" customFormat="false" ht="15" hidden="false" customHeight="false" outlineLevel="0" collapsed="false">
      <c r="A444" s="0" t="s">
        <v>382</v>
      </c>
      <c r="B444" s="6" t="n">
        <v>40882.4263888889</v>
      </c>
      <c r="C444" s="0" t="s">
        <v>226</v>
      </c>
      <c r="D444" s="0" t="s">
        <v>95</v>
      </c>
      <c r="E444" s="0" t="n">
        <v>8</v>
      </c>
      <c r="F444" s="0" t="n">
        <v>4.15</v>
      </c>
      <c r="G444" s="7" t="str">
        <f aca="false">_xlfn.XLOOKUP(D444,Catalog!$B$2:$B$4102,Catalog!$A$2:$A$4102,"NOT IN CATALOG")</f>
        <v>GREEN 3 PIECE MINI DOTS CUTLERY SET</v>
      </c>
      <c r="H444" s="7" t="n">
        <f aca="false">_xlfn.IFNA(VLOOKUP(D444,Catalog!$B$2:$C$4102,2,FALSE()),"")</f>
        <v>3.75</v>
      </c>
      <c r="I444" s="7" t="str">
        <f aca="false">HLOOKUP(C444,Regions!$B$1:$S$2,2,FALSE())</f>
        <v>Non-EU</v>
      </c>
      <c r="J444" s="7" t="n">
        <f aca="false">E444*F444</f>
        <v>33.2</v>
      </c>
      <c r="K444" s="8" t="n">
        <f aca="false">IF(H444="","",1-F444/H444)</f>
        <v>-0.106666666666667</v>
      </c>
    </row>
    <row r="445" customFormat="false" ht="15" hidden="false" customHeight="false" outlineLevel="0" collapsed="false">
      <c r="A445" s="0" t="s">
        <v>382</v>
      </c>
      <c r="B445" s="6" t="n">
        <v>40882.4263888889</v>
      </c>
      <c r="C445" s="0" t="s">
        <v>226</v>
      </c>
      <c r="D445" s="0" t="s">
        <v>93</v>
      </c>
      <c r="E445" s="0" t="n">
        <v>8</v>
      </c>
      <c r="F445" s="0" t="n">
        <v>4.15</v>
      </c>
      <c r="G445" s="7" t="str">
        <f aca="false">_xlfn.XLOOKUP(D445,Catalog!$B$2:$B$4102,Catalog!$A$2:$A$4102,"NOT IN CATALOG")</f>
        <v>BLUE 3 PIECE MINI DOTS CUTLERY SET</v>
      </c>
      <c r="H445" s="7" t="n">
        <f aca="false">_xlfn.IFNA(VLOOKUP(D445,Catalog!$B$2:$C$4102,2,FALSE()),"")</f>
        <v>3.75</v>
      </c>
      <c r="I445" s="7" t="str">
        <f aca="false">HLOOKUP(C445,Regions!$B$1:$S$2,2,FALSE())</f>
        <v>Non-EU</v>
      </c>
      <c r="J445" s="7" t="n">
        <f aca="false">E445*F445</f>
        <v>33.2</v>
      </c>
      <c r="K445" s="8" t="n">
        <f aca="false">IF(H445="","",1-F445/H445)</f>
        <v>-0.106666666666667</v>
      </c>
    </row>
    <row r="446" customFormat="false" ht="15" hidden="false" customHeight="false" outlineLevel="0" collapsed="false">
      <c r="A446" s="0" t="s">
        <v>382</v>
      </c>
      <c r="B446" s="6" t="n">
        <v>40882.4263888889</v>
      </c>
      <c r="C446" s="0" t="s">
        <v>226</v>
      </c>
      <c r="D446" s="0" t="s">
        <v>388</v>
      </c>
      <c r="E446" s="0" t="n">
        <v>8</v>
      </c>
      <c r="F446" s="0" t="n">
        <v>4.15</v>
      </c>
      <c r="G446" s="7" t="str">
        <f aca="false">_xlfn.XLOOKUP(D446,Catalog!$B$2:$B$4102,Catalog!$A$2:$A$4102,"NOT IN CATALOG")</f>
        <v>RED 3 PIECE MINI DOTS CUTLERY SET</v>
      </c>
      <c r="H446" s="7" t="n">
        <f aca="false">_xlfn.IFNA(VLOOKUP(D446,Catalog!$B$2:$C$4102,2,FALSE()),"")</f>
        <v>3.75</v>
      </c>
      <c r="I446" s="7" t="str">
        <f aca="false">HLOOKUP(C446,Regions!$B$1:$S$2,2,FALSE())</f>
        <v>Non-EU</v>
      </c>
      <c r="J446" s="7" t="n">
        <f aca="false">E446*F446</f>
        <v>33.2</v>
      </c>
      <c r="K446" s="8" t="n">
        <f aca="false">IF(H446="","",1-F446/H446)</f>
        <v>-0.106666666666667</v>
      </c>
    </row>
    <row r="447" customFormat="false" ht="15" hidden="false" customHeight="false" outlineLevel="0" collapsed="false">
      <c r="A447" s="0" t="s">
        <v>382</v>
      </c>
      <c r="B447" s="6" t="n">
        <v>40882.4263888889</v>
      </c>
      <c r="C447" s="0" t="s">
        <v>226</v>
      </c>
      <c r="D447" s="0" t="s">
        <v>94</v>
      </c>
      <c r="E447" s="0" t="n">
        <v>8</v>
      </c>
      <c r="F447" s="0" t="n">
        <v>4.15</v>
      </c>
      <c r="G447" s="7" t="str">
        <f aca="false">_xlfn.XLOOKUP(D447,Catalog!$B$2:$B$4102,Catalog!$A$2:$A$4102,"NOT IN CATALOG")</f>
        <v>PINK 3 PIECE MINI DOTS CUTLERY SET</v>
      </c>
      <c r="H447" s="7" t="n">
        <f aca="false">_xlfn.IFNA(VLOOKUP(D447,Catalog!$B$2:$C$4102,2,FALSE()),"")</f>
        <v>3.75</v>
      </c>
      <c r="I447" s="7" t="str">
        <f aca="false">HLOOKUP(C447,Regions!$B$1:$S$2,2,FALSE())</f>
        <v>Non-EU</v>
      </c>
      <c r="J447" s="7" t="n">
        <f aca="false">E447*F447</f>
        <v>33.2</v>
      </c>
      <c r="K447" s="8" t="n">
        <f aca="false">IF(H447="","",1-F447/H447)</f>
        <v>-0.106666666666667</v>
      </c>
    </row>
    <row r="448" customFormat="false" ht="15" hidden="false" customHeight="false" outlineLevel="0" collapsed="false">
      <c r="A448" s="0" t="s">
        <v>382</v>
      </c>
      <c r="B448" s="6" t="n">
        <v>40882.4263888889</v>
      </c>
      <c r="C448" s="0" t="s">
        <v>226</v>
      </c>
      <c r="D448" s="0" t="s">
        <v>389</v>
      </c>
      <c r="E448" s="0" t="n">
        <v>24</v>
      </c>
      <c r="F448" s="0" t="n">
        <v>3.39</v>
      </c>
      <c r="G448" s="7" t="str">
        <f aca="false">_xlfn.XLOOKUP(D448,Catalog!$B$2:$B$4102,Catalog!$A$2:$A$4102,"NOT IN CATALOG")</f>
        <v>NOT IN CATALOG</v>
      </c>
      <c r="H448" s="7" t="str">
        <f aca="false">_xlfn.IFNA(VLOOKUP(D448,Catalog!$B$2:$C$4102,2,FALSE()),"")</f>
        <v/>
      </c>
      <c r="I448" s="7" t="str">
        <f aca="false">HLOOKUP(C448,Regions!$B$1:$S$2,2,FALSE())</f>
        <v>Non-EU</v>
      </c>
      <c r="J448" s="7" t="n">
        <f aca="false">E448*F448</f>
        <v>81.36</v>
      </c>
      <c r="K448" s="8" t="str">
        <f aca="false">IF(H448="","",1-F448/H448)</f>
        <v/>
      </c>
    </row>
    <row r="449" customFormat="false" ht="15" hidden="false" customHeight="false" outlineLevel="0" collapsed="false">
      <c r="A449" s="0" t="s">
        <v>382</v>
      </c>
      <c r="B449" s="6" t="n">
        <v>40882.4263888889</v>
      </c>
      <c r="C449" s="0" t="s">
        <v>226</v>
      </c>
      <c r="D449" s="0" t="s">
        <v>288</v>
      </c>
      <c r="E449" s="0" t="n">
        <v>72</v>
      </c>
      <c r="F449" s="0" t="n">
        <v>0.65</v>
      </c>
      <c r="G449" s="7" t="str">
        <f aca="false">_xlfn.XLOOKUP(D449,Catalog!$B$2:$B$4102,Catalog!$A$2:$A$4102,"NOT IN CATALOG")</f>
        <v>NOT IN CATALOG</v>
      </c>
      <c r="H449" s="7" t="str">
        <f aca="false">_xlfn.IFNA(VLOOKUP(D449,Catalog!$B$2:$C$4102,2,FALSE()),"")</f>
        <v/>
      </c>
      <c r="I449" s="7" t="str">
        <f aca="false">HLOOKUP(C449,Regions!$B$1:$S$2,2,FALSE())</f>
        <v>Non-EU</v>
      </c>
      <c r="J449" s="7" t="n">
        <f aca="false">E449*F449</f>
        <v>46.8</v>
      </c>
      <c r="K449" s="8" t="str">
        <f aca="false">IF(H449="","",1-F449/H449)</f>
        <v/>
      </c>
    </row>
    <row r="450" customFormat="false" ht="15" hidden="false" customHeight="false" outlineLevel="0" collapsed="false">
      <c r="A450" s="0" t="s">
        <v>382</v>
      </c>
      <c r="B450" s="6" t="n">
        <v>40882.4263888889</v>
      </c>
      <c r="C450" s="0" t="s">
        <v>226</v>
      </c>
      <c r="D450" s="0" t="s">
        <v>390</v>
      </c>
      <c r="E450" s="0" t="n">
        <v>12</v>
      </c>
      <c r="F450" s="0" t="n">
        <v>1.95</v>
      </c>
      <c r="G450" s="7" t="str">
        <f aca="false">_xlfn.XLOOKUP(D450,Catalog!$B$2:$B$4102,Catalog!$A$2:$A$4102,"NOT IN CATALOG")</f>
        <v>NOT IN CATALOG</v>
      </c>
      <c r="H450" s="7" t="str">
        <f aca="false">_xlfn.IFNA(VLOOKUP(D450,Catalog!$B$2:$C$4102,2,FALSE()),"")</f>
        <v/>
      </c>
      <c r="I450" s="7" t="str">
        <f aca="false">HLOOKUP(C450,Regions!$B$1:$S$2,2,FALSE())</f>
        <v>Non-EU</v>
      </c>
      <c r="J450" s="7" t="n">
        <f aca="false">E450*F450</f>
        <v>23.4</v>
      </c>
      <c r="K450" s="8" t="str">
        <f aca="false">IF(H450="","",1-F450/H450)</f>
        <v/>
      </c>
    </row>
    <row r="451" customFormat="false" ht="15" hidden="false" customHeight="false" outlineLevel="0" collapsed="false">
      <c r="A451" s="0" t="s">
        <v>382</v>
      </c>
      <c r="B451" s="6" t="n">
        <v>40882.4263888889</v>
      </c>
      <c r="C451" s="0" t="s">
        <v>226</v>
      </c>
      <c r="D451" s="0" t="s">
        <v>391</v>
      </c>
      <c r="E451" s="0" t="n">
        <v>12</v>
      </c>
      <c r="F451" s="0" t="n">
        <v>1.95</v>
      </c>
      <c r="G451" s="7" t="str">
        <f aca="false">_xlfn.XLOOKUP(D451,Catalog!$B$2:$B$4102,Catalog!$A$2:$A$4102,"NOT IN CATALOG")</f>
        <v>NOT IN CATALOG</v>
      </c>
      <c r="H451" s="7" t="str">
        <f aca="false">_xlfn.IFNA(VLOOKUP(D451,Catalog!$B$2:$C$4102,2,FALSE()),"")</f>
        <v/>
      </c>
      <c r="I451" s="7" t="str">
        <f aca="false">HLOOKUP(C451,Regions!$B$1:$S$2,2,FALSE())</f>
        <v>Non-EU</v>
      </c>
      <c r="J451" s="7" t="n">
        <f aca="false">E451*F451</f>
        <v>23.4</v>
      </c>
      <c r="K451" s="8" t="str">
        <f aca="false">IF(H451="","",1-F451/H451)</f>
        <v/>
      </c>
    </row>
    <row r="452" customFormat="false" ht="15" hidden="false" customHeight="false" outlineLevel="0" collapsed="false">
      <c r="A452" s="0" t="s">
        <v>382</v>
      </c>
      <c r="B452" s="6" t="n">
        <v>40882.4263888889</v>
      </c>
      <c r="C452" s="0" t="s">
        <v>226</v>
      </c>
      <c r="D452" s="0" t="s">
        <v>392</v>
      </c>
      <c r="E452" s="0" t="n">
        <v>12</v>
      </c>
      <c r="F452" s="0" t="n">
        <v>1.95</v>
      </c>
      <c r="G452" s="7" t="str">
        <f aca="false">_xlfn.XLOOKUP(D452,Catalog!$B$2:$B$4102,Catalog!$A$2:$A$4102,"NOT IN CATALOG")</f>
        <v>NOT IN CATALOG</v>
      </c>
      <c r="H452" s="7" t="str">
        <f aca="false">_xlfn.IFNA(VLOOKUP(D452,Catalog!$B$2:$C$4102,2,FALSE()),"")</f>
        <v/>
      </c>
      <c r="I452" s="7" t="str">
        <f aca="false">HLOOKUP(C452,Regions!$B$1:$S$2,2,FALSE())</f>
        <v>Non-EU</v>
      </c>
      <c r="J452" s="7" t="n">
        <f aca="false">E452*F452</f>
        <v>23.4</v>
      </c>
      <c r="K452" s="8" t="str">
        <f aca="false">IF(H452="","",1-F452/H452)</f>
        <v/>
      </c>
    </row>
    <row r="453" customFormat="false" ht="15" hidden="false" customHeight="false" outlineLevel="0" collapsed="false">
      <c r="A453" s="0" t="s">
        <v>382</v>
      </c>
      <c r="B453" s="6" t="n">
        <v>40882.4263888889</v>
      </c>
      <c r="C453" s="0" t="s">
        <v>226</v>
      </c>
      <c r="D453" s="0" t="s">
        <v>393</v>
      </c>
      <c r="E453" s="0" t="n">
        <v>16</v>
      </c>
      <c r="F453" s="0" t="n">
        <v>1.25</v>
      </c>
      <c r="G453" s="7" t="str">
        <f aca="false">_xlfn.XLOOKUP(D453,Catalog!$B$2:$B$4102,Catalog!$A$2:$A$4102,"NOT IN CATALOG")</f>
        <v>PINK SPOTTY BOWL</v>
      </c>
      <c r="H453" s="7" t="n">
        <f aca="false">_xlfn.IFNA(VLOOKUP(D453,Catalog!$B$2:$C$4102,2,FALSE()),"")</f>
        <v>1.25</v>
      </c>
      <c r="I453" s="7" t="str">
        <f aca="false">HLOOKUP(C453,Regions!$B$1:$S$2,2,FALSE())</f>
        <v>Non-EU</v>
      </c>
      <c r="J453" s="7" t="n">
        <f aca="false">E453*F453</f>
        <v>20</v>
      </c>
      <c r="K453" s="8" t="n">
        <f aca="false">IF(H453="","",1-F453/H453)</f>
        <v>0</v>
      </c>
    </row>
    <row r="454" customFormat="false" ht="15" hidden="false" customHeight="false" outlineLevel="0" collapsed="false">
      <c r="A454" s="0" t="s">
        <v>382</v>
      </c>
      <c r="B454" s="6" t="n">
        <v>40882.4263888889</v>
      </c>
      <c r="C454" s="0" t="s">
        <v>226</v>
      </c>
      <c r="D454" s="0" t="s">
        <v>394</v>
      </c>
      <c r="E454" s="0" t="n">
        <v>16</v>
      </c>
      <c r="F454" s="0" t="n">
        <v>1.25</v>
      </c>
      <c r="G454" s="7" t="str">
        <f aca="false">_xlfn.XLOOKUP(D454,Catalog!$B$2:$B$4102,Catalog!$A$2:$A$4102,"NOT IN CATALOG")</f>
        <v>GREEN SPOTTY BOWL</v>
      </c>
      <c r="H454" s="7" t="n">
        <f aca="false">_xlfn.IFNA(VLOOKUP(D454,Catalog!$B$2:$C$4102,2,FALSE()),"")</f>
        <v>1.25</v>
      </c>
      <c r="I454" s="7" t="str">
        <f aca="false">HLOOKUP(C454,Regions!$B$1:$S$2,2,FALSE())</f>
        <v>Non-EU</v>
      </c>
      <c r="J454" s="7" t="n">
        <f aca="false">E454*F454</f>
        <v>20</v>
      </c>
      <c r="K454" s="8" t="n">
        <f aca="false">IF(H454="","",1-F454/H454)</f>
        <v>0</v>
      </c>
    </row>
    <row r="455" customFormat="false" ht="15" hidden="false" customHeight="false" outlineLevel="0" collapsed="false">
      <c r="A455" s="0" t="s">
        <v>382</v>
      </c>
      <c r="B455" s="6" t="n">
        <v>40882.4263888889</v>
      </c>
      <c r="C455" s="0" t="s">
        <v>226</v>
      </c>
      <c r="D455" s="0" t="s">
        <v>395</v>
      </c>
      <c r="E455" s="0" t="n">
        <v>16</v>
      </c>
      <c r="F455" s="0" t="n">
        <v>1.25</v>
      </c>
      <c r="G455" s="7" t="str">
        <f aca="false">_xlfn.XLOOKUP(D455,Catalog!$B$2:$B$4102,Catalog!$A$2:$A$4102,"NOT IN CATALOG")</f>
        <v>BLUE SPOTTY BOWL</v>
      </c>
      <c r="H455" s="7" t="n">
        <f aca="false">_xlfn.IFNA(VLOOKUP(D455,Catalog!$B$2:$C$4102,2,FALSE()),"")</f>
        <v>1.25</v>
      </c>
      <c r="I455" s="7" t="str">
        <f aca="false">HLOOKUP(C455,Regions!$B$1:$S$2,2,FALSE())</f>
        <v>Non-EU</v>
      </c>
      <c r="J455" s="7" t="n">
        <f aca="false">E455*F455</f>
        <v>20</v>
      </c>
      <c r="K455" s="8" t="n">
        <f aca="false">IF(H455="","",1-F455/H455)</f>
        <v>0</v>
      </c>
    </row>
    <row r="456" customFormat="false" ht="15" hidden="false" customHeight="false" outlineLevel="0" collapsed="false">
      <c r="A456" s="0" t="s">
        <v>382</v>
      </c>
      <c r="B456" s="6" t="n">
        <v>40882.4263888889</v>
      </c>
      <c r="C456" s="0" t="s">
        <v>226</v>
      </c>
      <c r="D456" s="0" t="s">
        <v>396</v>
      </c>
      <c r="E456" s="0" t="n">
        <v>16</v>
      </c>
      <c r="F456" s="0" t="n">
        <v>1.25</v>
      </c>
      <c r="G456" s="7" t="str">
        <f aca="false">_xlfn.XLOOKUP(D456,Catalog!$B$2:$B$4102,Catalog!$A$2:$A$4102,"NOT IN CATALOG")</f>
        <v>RED SPOTTY BOWL</v>
      </c>
      <c r="H456" s="7" t="n">
        <f aca="false">_xlfn.IFNA(VLOOKUP(D456,Catalog!$B$2:$C$4102,2,FALSE()),"")</f>
        <v>1.25</v>
      </c>
      <c r="I456" s="7" t="str">
        <f aca="false">HLOOKUP(C456,Regions!$B$1:$S$2,2,FALSE())</f>
        <v>Non-EU</v>
      </c>
      <c r="J456" s="7" t="n">
        <f aca="false">E456*F456</f>
        <v>20</v>
      </c>
      <c r="K456" s="8" t="n">
        <f aca="false">IF(H456="","",1-F456/H456)</f>
        <v>0</v>
      </c>
    </row>
    <row r="457" customFormat="false" ht="15" hidden="false" customHeight="false" outlineLevel="0" collapsed="false">
      <c r="A457" s="0" t="s">
        <v>382</v>
      </c>
      <c r="B457" s="6" t="n">
        <v>40882.4263888889</v>
      </c>
      <c r="C457" s="0" t="s">
        <v>226</v>
      </c>
      <c r="D457" s="0" t="s">
        <v>397</v>
      </c>
      <c r="E457" s="0" t="n">
        <v>72</v>
      </c>
      <c r="F457" s="0" t="n">
        <v>0.65</v>
      </c>
      <c r="G457" s="7" t="str">
        <f aca="false">_xlfn.XLOOKUP(D457,Catalog!$B$2:$B$4102,Catalog!$A$2:$A$4102,"NOT IN CATALOG")</f>
        <v>12 PENCILS SMALL TUBE RED SPOTTY</v>
      </c>
      <c r="H457" s="7" t="n">
        <f aca="false">_xlfn.IFNA(VLOOKUP(D457,Catalog!$B$2:$C$4102,2,FALSE()),"")</f>
        <v>0.65</v>
      </c>
      <c r="I457" s="7" t="str">
        <f aca="false">HLOOKUP(C457,Regions!$B$1:$S$2,2,FALSE())</f>
        <v>Non-EU</v>
      </c>
      <c r="J457" s="7" t="n">
        <f aca="false">E457*F457</f>
        <v>46.8</v>
      </c>
      <c r="K457" s="8" t="n">
        <f aca="false">IF(H457="","",1-F457/H457)</f>
        <v>0</v>
      </c>
    </row>
    <row r="458" customFormat="false" ht="15" hidden="false" customHeight="false" outlineLevel="0" collapsed="false">
      <c r="A458" s="0" t="s">
        <v>382</v>
      </c>
      <c r="B458" s="6" t="n">
        <v>40882.4263888889</v>
      </c>
      <c r="C458" s="0" t="s">
        <v>226</v>
      </c>
      <c r="D458" s="0" t="s">
        <v>398</v>
      </c>
      <c r="E458" s="0" t="n">
        <v>12</v>
      </c>
      <c r="F458" s="0" t="n">
        <v>2.95</v>
      </c>
      <c r="G458" s="7" t="str">
        <f aca="false">_xlfn.XLOOKUP(D458,Catalog!$B$2:$B$4102,Catalog!$A$2:$A$4102,"NOT IN CATALOG")</f>
        <v>PAPER CHAIN KIT RETRO SPOT</v>
      </c>
      <c r="H458" s="7" t="n">
        <f aca="false">_xlfn.IFNA(VLOOKUP(D458,Catalog!$B$2:$C$4102,2,FALSE()),"")</f>
        <v>2.95</v>
      </c>
      <c r="I458" s="7" t="str">
        <f aca="false">HLOOKUP(C458,Regions!$B$1:$S$2,2,FALSE())</f>
        <v>Non-EU</v>
      </c>
      <c r="J458" s="7" t="n">
        <f aca="false">E458*F458</f>
        <v>35.4</v>
      </c>
      <c r="K458" s="8" t="n">
        <f aca="false">IF(H458="","",1-F458/H458)</f>
        <v>0</v>
      </c>
    </row>
    <row r="459" customFormat="false" ht="15" hidden="false" customHeight="false" outlineLevel="0" collapsed="false">
      <c r="A459" s="0" t="s">
        <v>382</v>
      </c>
      <c r="B459" s="6" t="n">
        <v>40882.4263888889</v>
      </c>
      <c r="C459" s="0" t="s">
        <v>226</v>
      </c>
      <c r="D459" s="0" t="s">
        <v>399</v>
      </c>
      <c r="E459" s="0" t="n">
        <v>16</v>
      </c>
      <c r="F459" s="0" t="n">
        <v>0.85</v>
      </c>
      <c r="G459" s="7" t="str">
        <f aca="false">_xlfn.XLOOKUP(D459,Catalog!$B$2:$B$4102,Catalog!$A$2:$A$4102,"NOT IN CATALOG")</f>
        <v>BLUE SPOTTY CUP</v>
      </c>
      <c r="H459" s="7" t="n">
        <f aca="false">_xlfn.IFNA(VLOOKUP(D459,Catalog!$B$2:$C$4102,2,FALSE()),"")</f>
        <v>0.85</v>
      </c>
      <c r="I459" s="7" t="str">
        <f aca="false">HLOOKUP(C459,Regions!$B$1:$S$2,2,FALSE())</f>
        <v>Non-EU</v>
      </c>
      <c r="J459" s="7" t="n">
        <f aca="false">E459*F459</f>
        <v>13.6</v>
      </c>
      <c r="K459" s="8" t="n">
        <f aca="false">IF(H459="","",1-F459/H459)</f>
        <v>0</v>
      </c>
    </row>
    <row r="460" customFormat="false" ht="15" hidden="false" customHeight="false" outlineLevel="0" collapsed="false">
      <c r="A460" s="0" t="s">
        <v>400</v>
      </c>
      <c r="B460" s="6" t="n">
        <v>40882.4291666667</v>
      </c>
      <c r="C460" s="0" t="s">
        <v>41</v>
      </c>
      <c r="D460" s="0" t="s">
        <v>401</v>
      </c>
      <c r="E460" s="0" t="n">
        <v>4</v>
      </c>
      <c r="F460" s="0" t="n">
        <v>12.5</v>
      </c>
      <c r="G460" s="7" t="str">
        <f aca="false">_xlfn.XLOOKUP(D460,Catalog!$B$2:$B$4102,Catalog!$A$2:$A$4102,"NOT IN CATALOG")</f>
        <v>NOT IN CATALOG</v>
      </c>
      <c r="H460" s="7" t="str">
        <f aca="false">_xlfn.IFNA(VLOOKUP(D460,Catalog!$B$2:$C$4102,2,FALSE()),"")</f>
        <v/>
      </c>
      <c r="I460" s="7" t="str">
        <f aca="false">HLOOKUP(C460,Regions!$B$1:$S$2,2,FALSE())</f>
        <v>EU</v>
      </c>
      <c r="J460" s="7" t="n">
        <f aca="false">E460*F460</f>
        <v>50</v>
      </c>
      <c r="K460" s="8" t="str">
        <f aca="false">IF(H460="","",1-F460/H460)</f>
        <v/>
      </c>
    </row>
    <row r="461" customFormat="false" ht="15" hidden="false" customHeight="false" outlineLevel="0" collapsed="false">
      <c r="A461" s="0" t="s">
        <v>400</v>
      </c>
      <c r="B461" s="6" t="n">
        <v>40882.4291666667</v>
      </c>
      <c r="C461" s="0" t="s">
        <v>41</v>
      </c>
      <c r="D461" s="0" t="s">
        <v>402</v>
      </c>
      <c r="E461" s="0" t="n">
        <v>4</v>
      </c>
      <c r="F461" s="0" t="n">
        <v>3.75</v>
      </c>
      <c r="G461" s="7" t="str">
        <f aca="false">_xlfn.XLOOKUP(D461,Catalog!$B$2:$B$4102,Catalog!$A$2:$A$4102,"NOT IN CATALOG")</f>
        <v>NOT IN CATALOG</v>
      </c>
      <c r="H461" s="7" t="str">
        <f aca="false">_xlfn.IFNA(VLOOKUP(D461,Catalog!$B$2:$C$4102,2,FALSE()),"")</f>
        <v/>
      </c>
      <c r="I461" s="7" t="str">
        <f aca="false">HLOOKUP(C461,Regions!$B$1:$S$2,2,FALSE())</f>
        <v>EU</v>
      </c>
      <c r="J461" s="7" t="n">
        <f aca="false">E461*F461</f>
        <v>15</v>
      </c>
      <c r="K461" s="8" t="str">
        <f aca="false">IF(H461="","",1-F461/H461)</f>
        <v/>
      </c>
    </row>
    <row r="462" customFormat="false" ht="15" hidden="false" customHeight="false" outlineLevel="0" collapsed="false">
      <c r="A462" s="0" t="s">
        <v>400</v>
      </c>
      <c r="B462" s="6" t="n">
        <v>40882.4291666667</v>
      </c>
      <c r="C462" s="0" t="s">
        <v>41</v>
      </c>
      <c r="D462" s="0" t="s">
        <v>403</v>
      </c>
      <c r="E462" s="0" t="n">
        <v>12</v>
      </c>
      <c r="F462" s="0" t="n">
        <v>1.65</v>
      </c>
      <c r="G462" s="7" t="str">
        <f aca="false">_xlfn.XLOOKUP(D462,Catalog!$B$2:$B$4102,Catalog!$A$2:$A$4102,"NOT IN CATALOG")</f>
        <v>NOT IN CATALOG</v>
      </c>
      <c r="H462" s="7" t="str">
        <f aca="false">_xlfn.IFNA(VLOOKUP(D462,Catalog!$B$2:$C$4102,2,FALSE()),"")</f>
        <v/>
      </c>
      <c r="I462" s="7" t="str">
        <f aca="false">HLOOKUP(C462,Regions!$B$1:$S$2,2,FALSE())</f>
        <v>EU</v>
      </c>
      <c r="J462" s="7" t="n">
        <f aca="false">E462*F462</f>
        <v>19.8</v>
      </c>
      <c r="K462" s="8" t="str">
        <f aca="false">IF(H462="","",1-F462/H462)</f>
        <v/>
      </c>
    </row>
    <row r="463" customFormat="false" ht="15" hidden="false" customHeight="false" outlineLevel="0" collapsed="false">
      <c r="A463" s="0" t="s">
        <v>400</v>
      </c>
      <c r="B463" s="6" t="n">
        <v>40882.4291666667</v>
      </c>
      <c r="C463" s="0" t="s">
        <v>41</v>
      </c>
      <c r="D463" s="0" t="s">
        <v>404</v>
      </c>
      <c r="E463" s="0" t="n">
        <v>12</v>
      </c>
      <c r="F463" s="0" t="n">
        <v>1.65</v>
      </c>
      <c r="G463" s="7" t="str">
        <f aca="false">_xlfn.XLOOKUP(D463,Catalog!$B$2:$B$4102,Catalog!$A$2:$A$4102,"NOT IN CATALOG")</f>
        <v>NOT IN CATALOG</v>
      </c>
      <c r="H463" s="7" t="str">
        <f aca="false">_xlfn.IFNA(VLOOKUP(D463,Catalog!$B$2:$C$4102,2,FALSE()),"")</f>
        <v/>
      </c>
      <c r="I463" s="7" t="str">
        <f aca="false">HLOOKUP(C463,Regions!$B$1:$S$2,2,FALSE())</f>
        <v>EU</v>
      </c>
      <c r="J463" s="7" t="n">
        <f aca="false">E463*F463</f>
        <v>19.8</v>
      </c>
      <c r="K463" s="8" t="str">
        <f aca="false">IF(H463="","",1-F463/H463)</f>
        <v/>
      </c>
    </row>
    <row r="464" customFormat="false" ht="15" hidden="false" customHeight="false" outlineLevel="0" collapsed="false">
      <c r="A464" s="0" t="s">
        <v>400</v>
      </c>
      <c r="B464" s="6" t="n">
        <v>40882.4291666667</v>
      </c>
      <c r="C464" s="0" t="s">
        <v>41</v>
      </c>
      <c r="D464" s="0" t="s">
        <v>405</v>
      </c>
      <c r="E464" s="0" t="n">
        <v>12</v>
      </c>
      <c r="F464" s="0" t="n">
        <v>1.65</v>
      </c>
      <c r="G464" s="7" t="str">
        <f aca="false">_xlfn.XLOOKUP(D464,Catalog!$B$2:$B$4102,Catalog!$A$2:$A$4102,"NOT IN CATALOG")</f>
        <v>NOT IN CATALOG</v>
      </c>
      <c r="H464" s="7" t="str">
        <f aca="false">_xlfn.IFNA(VLOOKUP(D464,Catalog!$B$2:$C$4102,2,FALSE()),"")</f>
        <v/>
      </c>
      <c r="I464" s="7" t="str">
        <f aca="false">HLOOKUP(C464,Regions!$B$1:$S$2,2,FALSE())</f>
        <v>EU</v>
      </c>
      <c r="J464" s="7" t="n">
        <f aca="false">E464*F464</f>
        <v>19.8</v>
      </c>
      <c r="K464" s="8" t="str">
        <f aca="false">IF(H464="","",1-F464/H464)</f>
        <v/>
      </c>
    </row>
    <row r="465" customFormat="false" ht="15" hidden="false" customHeight="false" outlineLevel="0" collapsed="false">
      <c r="A465" s="0" t="s">
        <v>400</v>
      </c>
      <c r="B465" s="6" t="n">
        <v>40882.4291666667</v>
      </c>
      <c r="C465" s="0" t="s">
        <v>41</v>
      </c>
      <c r="D465" s="0" t="s">
        <v>406</v>
      </c>
      <c r="E465" s="0" t="n">
        <v>16</v>
      </c>
      <c r="F465" s="0" t="n">
        <v>1.25</v>
      </c>
      <c r="G465" s="7" t="str">
        <f aca="false">_xlfn.XLOOKUP(D465,Catalog!$B$2:$B$4102,Catalog!$A$2:$A$4102,"NOT IN CATALOG")</f>
        <v>NOT IN CATALOG</v>
      </c>
      <c r="H465" s="7" t="str">
        <f aca="false">_xlfn.IFNA(VLOOKUP(D465,Catalog!$B$2:$C$4102,2,FALSE()),"")</f>
        <v/>
      </c>
      <c r="I465" s="7" t="str">
        <f aca="false">HLOOKUP(C465,Regions!$B$1:$S$2,2,FALSE())</f>
        <v>EU</v>
      </c>
      <c r="J465" s="7" t="n">
        <f aca="false">E465*F465</f>
        <v>20</v>
      </c>
      <c r="K465" s="8" t="str">
        <f aca="false">IF(H465="","",1-F465/H465)</f>
        <v/>
      </c>
    </row>
    <row r="466" customFormat="false" ht="15" hidden="false" customHeight="false" outlineLevel="0" collapsed="false">
      <c r="A466" s="0" t="s">
        <v>400</v>
      </c>
      <c r="B466" s="6" t="n">
        <v>40882.4291666667</v>
      </c>
      <c r="C466" s="0" t="s">
        <v>41</v>
      </c>
      <c r="D466" s="0" t="s">
        <v>407</v>
      </c>
      <c r="E466" s="0" t="n">
        <v>32</v>
      </c>
      <c r="F466" s="0" t="n">
        <v>2.55</v>
      </c>
      <c r="G466" s="7" t="str">
        <f aca="false">_xlfn.XLOOKUP(D466,Catalog!$B$2:$B$4102,Catalog!$A$2:$A$4102,"NOT IN CATALOG")</f>
        <v>RED HANGING HEART T-LIGHT HOLDER</v>
      </c>
      <c r="H466" s="7" t="n">
        <f aca="false">_xlfn.IFNA(VLOOKUP(D466,Catalog!$B$2:$C$4102,2,FALSE()),"")</f>
        <v>2.95</v>
      </c>
      <c r="I466" s="7" t="str">
        <f aca="false">HLOOKUP(C466,Regions!$B$1:$S$2,2,FALSE())</f>
        <v>EU</v>
      </c>
      <c r="J466" s="7" t="n">
        <f aca="false">E466*F466</f>
        <v>81.6</v>
      </c>
      <c r="K466" s="8" t="n">
        <f aca="false">IF(H466="","",1-F466/H466)</f>
        <v>0.135593220338983</v>
      </c>
    </row>
    <row r="467" customFormat="false" ht="15" hidden="false" customHeight="false" outlineLevel="0" collapsed="false">
      <c r="A467" s="0" t="s">
        <v>400</v>
      </c>
      <c r="B467" s="6" t="n">
        <v>40882.4291666667</v>
      </c>
      <c r="C467" s="0" t="s">
        <v>41</v>
      </c>
      <c r="D467" s="0" t="s">
        <v>408</v>
      </c>
      <c r="E467" s="0" t="n">
        <v>12</v>
      </c>
      <c r="F467" s="0" t="n">
        <v>1.65</v>
      </c>
      <c r="G467" s="7" t="str">
        <f aca="false">_xlfn.XLOOKUP(D467,Catalog!$B$2:$B$4102,Catalog!$A$2:$A$4102,"NOT IN CATALOG")</f>
        <v>NOT IN CATALOG</v>
      </c>
      <c r="H467" s="7" t="str">
        <f aca="false">_xlfn.IFNA(VLOOKUP(D467,Catalog!$B$2:$C$4102,2,FALSE()),"")</f>
        <v/>
      </c>
      <c r="I467" s="7" t="str">
        <f aca="false">HLOOKUP(C467,Regions!$B$1:$S$2,2,FALSE())</f>
        <v>EU</v>
      </c>
      <c r="J467" s="7" t="n">
        <f aca="false">E467*F467</f>
        <v>19.8</v>
      </c>
      <c r="K467" s="8" t="str">
        <f aca="false">IF(H467="","",1-F467/H467)</f>
        <v/>
      </c>
    </row>
    <row r="468" customFormat="false" ht="15" hidden="false" customHeight="false" outlineLevel="0" collapsed="false">
      <c r="A468" s="0" t="s">
        <v>400</v>
      </c>
      <c r="B468" s="6" t="n">
        <v>40882.4291666667</v>
      </c>
      <c r="C468" s="0" t="s">
        <v>41</v>
      </c>
      <c r="D468" s="0" t="s">
        <v>409</v>
      </c>
      <c r="E468" s="0" t="n">
        <v>12</v>
      </c>
      <c r="F468" s="0" t="n">
        <v>1.65</v>
      </c>
      <c r="G468" s="7" t="str">
        <f aca="false">_xlfn.XLOOKUP(D468,Catalog!$B$2:$B$4102,Catalog!$A$2:$A$4102,"NOT IN CATALOG")</f>
        <v>NOT IN CATALOG</v>
      </c>
      <c r="H468" s="7" t="str">
        <f aca="false">_xlfn.IFNA(VLOOKUP(D468,Catalog!$B$2:$C$4102,2,FALSE()),"")</f>
        <v/>
      </c>
      <c r="I468" s="7" t="str">
        <f aca="false">HLOOKUP(C468,Regions!$B$1:$S$2,2,FALSE())</f>
        <v>EU</v>
      </c>
      <c r="J468" s="7" t="n">
        <f aca="false">E468*F468</f>
        <v>19.8</v>
      </c>
      <c r="K468" s="8" t="str">
        <f aca="false">IF(H468="","",1-F468/H468)</f>
        <v/>
      </c>
    </row>
    <row r="469" customFormat="false" ht="15" hidden="false" customHeight="false" outlineLevel="0" collapsed="false">
      <c r="A469" s="0" t="s">
        <v>400</v>
      </c>
      <c r="B469" s="6" t="n">
        <v>40882.4291666667</v>
      </c>
      <c r="C469" s="0" t="s">
        <v>41</v>
      </c>
      <c r="D469" s="0" t="s">
        <v>410</v>
      </c>
      <c r="E469" s="0" t="n">
        <v>2</v>
      </c>
      <c r="F469" s="0" t="n">
        <v>6.65</v>
      </c>
      <c r="G469" s="7" t="str">
        <f aca="false">_xlfn.XLOOKUP(D469,Catalog!$B$2:$B$4102,Catalog!$A$2:$A$4102,"NOT IN CATALOG")</f>
        <v>NOT IN CATALOG</v>
      </c>
      <c r="H469" s="7" t="str">
        <f aca="false">_xlfn.IFNA(VLOOKUP(D469,Catalog!$B$2:$C$4102,2,FALSE()),"")</f>
        <v/>
      </c>
      <c r="I469" s="7" t="str">
        <f aca="false">HLOOKUP(C469,Regions!$B$1:$S$2,2,FALSE())</f>
        <v>EU</v>
      </c>
      <c r="J469" s="7" t="n">
        <f aca="false">E469*F469</f>
        <v>13.3</v>
      </c>
      <c r="K469" s="8" t="str">
        <f aca="false">IF(H469="","",1-F469/H469)</f>
        <v/>
      </c>
    </row>
    <row r="470" customFormat="false" ht="15" hidden="false" customHeight="false" outlineLevel="0" collapsed="false">
      <c r="A470" s="0" t="s">
        <v>400</v>
      </c>
      <c r="B470" s="6" t="n">
        <v>40882.4291666667</v>
      </c>
      <c r="C470" s="0" t="s">
        <v>41</v>
      </c>
      <c r="D470" s="0" t="s">
        <v>411</v>
      </c>
      <c r="E470" s="0" t="n">
        <v>2</v>
      </c>
      <c r="F470" s="0" t="n">
        <v>9.95</v>
      </c>
      <c r="G470" s="7" t="str">
        <f aca="false">_xlfn.XLOOKUP(D470,Catalog!$B$2:$B$4102,Catalog!$A$2:$A$4102,"NOT IN CATALOG")</f>
        <v>TRIPLE PHOTO FRAME CORNICE</v>
      </c>
      <c r="H470" s="7" t="n">
        <f aca="false">_xlfn.IFNA(VLOOKUP(D470,Catalog!$B$2:$C$4102,2,FALSE()),"")</f>
        <v>9.95</v>
      </c>
      <c r="I470" s="7" t="str">
        <f aca="false">HLOOKUP(C470,Regions!$B$1:$S$2,2,FALSE())</f>
        <v>EU</v>
      </c>
      <c r="J470" s="7" t="n">
        <f aca="false">E470*F470</f>
        <v>19.9</v>
      </c>
      <c r="K470" s="8" t="n">
        <f aca="false">IF(H470="","",1-F470/H470)</f>
        <v>0</v>
      </c>
    </row>
    <row r="471" customFormat="false" ht="15" hidden="false" customHeight="false" outlineLevel="0" collapsed="false">
      <c r="A471" s="0" t="s">
        <v>400</v>
      </c>
      <c r="B471" s="6" t="n">
        <v>40882.4291666667</v>
      </c>
      <c r="C471" s="0" t="s">
        <v>41</v>
      </c>
      <c r="D471" s="0" t="s">
        <v>56</v>
      </c>
      <c r="E471" s="0" t="n">
        <v>1</v>
      </c>
      <c r="F471" s="0" t="n">
        <v>50</v>
      </c>
      <c r="G471" s="7" t="str">
        <f aca="false">_xlfn.XLOOKUP(D471,Catalog!$B$2:$B$4102,Catalog!$A$2:$A$4102,"NOT IN CATALOG")</f>
        <v>CARRIAGE</v>
      </c>
      <c r="H471" s="7" t="n">
        <f aca="false">_xlfn.IFNA(VLOOKUP(D471,Catalog!$B$2:$C$4102,2,FALSE()),"")</f>
        <v>50</v>
      </c>
      <c r="I471" s="7" t="str">
        <f aca="false">HLOOKUP(C471,Regions!$B$1:$S$2,2,FALSE())</f>
        <v>EU</v>
      </c>
      <c r="J471" s="7" t="n">
        <f aca="false">E471*F471</f>
        <v>50</v>
      </c>
      <c r="K471" s="8" t="n">
        <f aca="false">IF(H471="","",1-F471/H471)</f>
        <v>0</v>
      </c>
    </row>
    <row r="472" customFormat="false" ht="15" hidden="false" customHeight="false" outlineLevel="0" collapsed="false">
      <c r="A472" s="0" t="s">
        <v>400</v>
      </c>
      <c r="B472" s="6" t="n">
        <v>40882.4291666667</v>
      </c>
      <c r="C472" s="0" t="s">
        <v>41</v>
      </c>
      <c r="D472" s="0" t="s">
        <v>412</v>
      </c>
      <c r="E472" s="0" t="n">
        <v>64</v>
      </c>
      <c r="F472" s="0" t="n">
        <v>2.55</v>
      </c>
      <c r="G472" s="7" t="str">
        <f aca="false">_xlfn.XLOOKUP(D472,Catalog!$B$2:$B$4102,Catalog!$A$2:$A$4102,"NOT IN CATALOG")</f>
        <v>WHITE HANGING HEART T-LIGHT HOLDER</v>
      </c>
      <c r="H472" s="7" t="n">
        <f aca="false">_xlfn.IFNA(VLOOKUP(D472,Catalog!$B$2:$C$4102,2,FALSE()),"")</f>
        <v>2.95</v>
      </c>
      <c r="I472" s="7" t="str">
        <f aca="false">HLOOKUP(C472,Regions!$B$1:$S$2,2,FALSE())</f>
        <v>EU</v>
      </c>
      <c r="J472" s="7" t="n">
        <f aca="false">E472*F472</f>
        <v>163.2</v>
      </c>
      <c r="K472" s="8" t="n">
        <f aca="false">IF(H472="","",1-F472/H472)</f>
        <v>0.135593220338983</v>
      </c>
    </row>
    <row r="473" customFormat="false" ht="15" hidden="false" customHeight="false" outlineLevel="0" collapsed="false">
      <c r="A473" s="0" t="s">
        <v>413</v>
      </c>
      <c r="B473" s="6" t="n">
        <v>40882.4298611111</v>
      </c>
      <c r="C473" s="0" t="s">
        <v>41</v>
      </c>
      <c r="D473" s="0" t="s">
        <v>414</v>
      </c>
      <c r="E473" s="0" t="n">
        <v>12</v>
      </c>
      <c r="F473" s="0" t="n">
        <v>1.65</v>
      </c>
      <c r="G473" s="7" t="str">
        <f aca="false">_xlfn.XLOOKUP(D473,Catalog!$B$2:$B$4102,Catalog!$A$2:$A$4102,"NOT IN CATALOG")</f>
        <v>HANGING METAL STAR LANTERN</v>
      </c>
      <c r="H473" s="7" t="n">
        <f aca="false">_xlfn.IFNA(VLOOKUP(D473,Catalog!$B$2:$C$4102,2,FALSE()),"")</f>
        <v>1.65</v>
      </c>
      <c r="I473" s="7" t="str">
        <f aca="false">HLOOKUP(C473,Regions!$B$1:$S$2,2,FALSE())</f>
        <v>EU</v>
      </c>
      <c r="J473" s="7" t="n">
        <f aca="false">E473*F473</f>
        <v>19.8</v>
      </c>
      <c r="K473" s="8" t="n">
        <f aca="false">IF(H473="","",1-F473/H473)</f>
        <v>0</v>
      </c>
    </row>
    <row r="474" customFormat="false" ht="15" hidden="false" customHeight="false" outlineLevel="0" collapsed="false">
      <c r="A474" s="0" t="s">
        <v>413</v>
      </c>
      <c r="B474" s="6" t="n">
        <v>40882.4298611111</v>
      </c>
      <c r="C474" s="0" t="s">
        <v>41</v>
      </c>
      <c r="D474" s="0" t="s">
        <v>415</v>
      </c>
      <c r="E474" s="0" t="n">
        <v>12</v>
      </c>
      <c r="F474" s="0" t="n">
        <v>1.25</v>
      </c>
      <c r="G474" s="7" t="str">
        <f aca="false">_xlfn.XLOOKUP(D474,Catalog!$B$2:$B$4102,Catalog!$A$2:$A$4102,"NOT IN CATALOG")</f>
        <v>SINGLE HEART ZINC T-LIGHT HOLDER</v>
      </c>
      <c r="H474" s="7" t="n">
        <f aca="false">_xlfn.IFNA(VLOOKUP(D474,Catalog!$B$2:$C$4102,2,FALSE()),"")</f>
        <v>0.95</v>
      </c>
      <c r="I474" s="7" t="str">
        <f aca="false">HLOOKUP(C474,Regions!$B$1:$S$2,2,FALSE())</f>
        <v>EU</v>
      </c>
      <c r="J474" s="7" t="n">
        <f aca="false">E474*F474</f>
        <v>15</v>
      </c>
      <c r="K474" s="8" t="n">
        <f aca="false">IF(H474="","",1-F474/H474)</f>
        <v>-0.315789473684211</v>
      </c>
    </row>
    <row r="475" customFormat="false" ht="15" hidden="false" customHeight="false" outlineLevel="0" collapsed="false">
      <c r="A475" s="0" t="s">
        <v>413</v>
      </c>
      <c r="B475" s="6" t="n">
        <v>40882.4298611111</v>
      </c>
      <c r="C475" s="0" t="s">
        <v>41</v>
      </c>
      <c r="D475" s="0" t="s">
        <v>50</v>
      </c>
      <c r="E475" s="0" t="n">
        <v>8</v>
      </c>
      <c r="F475" s="0" t="n">
        <v>2.95</v>
      </c>
      <c r="G475" s="7" t="str">
        <f aca="false">_xlfn.XLOOKUP(D475,Catalog!$B$2:$B$4102,Catalog!$A$2:$A$4102,"NOT IN CATALOG")</f>
        <v>PHOTO FRAME CORNICE</v>
      </c>
      <c r="H475" s="7" t="n">
        <f aca="false">_xlfn.IFNA(VLOOKUP(D475,Catalog!$B$2:$C$4102,2,FALSE()),"")</f>
        <v>2.95</v>
      </c>
      <c r="I475" s="7" t="str">
        <f aca="false">HLOOKUP(C475,Regions!$B$1:$S$2,2,FALSE())</f>
        <v>EU</v>
      </c>
      <c r="J475" s="7" t="n">
        <f aca="false">E475*F475</f>
        <v>23.6</v>
      </c>
      <c r="K475" s="8" t="n">
        <f aca="false">IF(H475="","",1-F475/H475)</f>
        <v>0</v>
      </c>
    </row>
    <row r="476" customFormat="false" ht="15" hidden="false" customHeight="false" outlineLevel="0" collapsed="false">
      <c r="A476" s="0" t="s">
        <v>413</v>
      </c>
      <c r="B476" s="6" t="n">
        <v>40882.4298611111</v>
      </c>
      <c r="C476" s="0" t="s">
        <v>41</v>
      </c>
      <c r="D476" s="0" t="s">
        <v>416</v>
      </c>
      <c r="E476" s="0" t="n">
        <v>2</v>
      </c>
      <c r="F476" s="0" t="n">
        <v>8.5</v>
      </c>
      <c r="G476" s="7" t="str">
        <f aca="false">_xlfn.XLOOKUP(D476,Catalog!$B$2:$B$4102,Catalog!$A$2:$A$4102,"NOT IN CATALOG")</f>
        <v>FAMILY ALBUM WHITE PICTURE FRAME</v>
      </c>
      <c r="H476" s="7" t="n">
        <f aca="false">_xlfn.IFNA(VLOOKUP(D476,Catalog!$B$2:$C$4102,2,FALSE()),"")</f>
        <v>8.5</v>
      </c>
      <c r="I476" s="7" t="str">
        <f aca="false">HLOOKUP(C476,Regions!$B$1:$S$2,2,FALSE())</f>
        <v>EU</v>
      </c>
      <c r="J476" s="7" t="n">
        <f aca="false">E476*F476</f>
        <v>17</v>
      </c>
      <c r="K476" s="8" t="n">
        <f aca="false">IF(H476="","",1-F476/H476)</f>
        <v>0</v>
      </c>
    </row>
    <row r="477" customFormat="false" ht="15" hidden="false" customHeight="false" outlineLevel="0" collapsed="false">
      <c r="A477" s="0" t="s">
        <v>417</v>
      </c>
      <c r="B477" s="6" t="n">
        <v>40882.4298611111</v>
      </c>
      <c r="C477" s="0" t="s">
        <v>418</v>
      </c>
      <c r="D477" s="0" t="s">
        <v>419</v>
      </c>
      <c r="E477" s="0" t="n">
        <v>6</v>
      </c>
      <c r="F477" s="0" t="n">
        <v>2.95</v>
      </c>
      <c r="G477" s="7" t="str">
        <f aca="false">_xlfn.XLOOKUP(D477,Catalog!$B$2:$B$4102,Catalog!$A$2:$A$4102,"NOT IN CATALOG")</f>
        <v>PAPER CHAIN KIT 50'S CHRISTMAS</v>
      </c>
      <c r="H477" s="7" t="n">
        <f aca="false">_xlfn.IFNA(VLOOKUP(D477,Catalog!$B$2:$C$4102,2,FALSE()),"")</f>
        <v>2.95</v>
      </c>
      <c r="I477" s="7" t="str">
        <f aca="false">HLOOKUP(C477,Regions!$B$1:$S$2,2,FALSE())</f>
        <v>Non-EU</v>
      </c>
      <c r="J477" s="7" t="n">
        <f aca="false">E477*F477</f>
        <v>17.7</v>
      </c>
      <c r="K477" s="8" t="n">
        <f aca="false">IF(H477="","",1-F477/H477)</f>
        <v>0</v>
      </c>
    </row>
    <row r="478" customFormat="false" ht="15" hidden="false" customHeight="false" outlineLevel="0" collapsed="false">
      <c r="A478" s="0" t="s">
        <v>417</v>
      </c>
      <c r="B478" s="6" t="n">
        <v>40882.4298611111</v>
      </c>
      <c r="C478" s="0" t="s">
        <v>418</v>
      </c>
      <c r="D478" s="0" t="s">
        <v>420</v>
      </c>
      <c r="E478" s="0" t="n">
        <v>6</v>
      </c>
      <c r="F478" s="0" t="n">
        <v>2.95</v>
      </c>
      <c r="G478" s="7" t="str">
        <f aca="false">_xlfn.XLOOKUP(D478,Catalog!$B$2:$B$4102,Catalog!$A$2:$A$4102,"NOT IN CATALOG")</f>
        <v>PAPER CHAIN KIT VINTAGE CHRISTMAS</v>
      </c>
      <c r="H478" s="7" t="n">
        <f aca="false">_xlfn.IFNA(VLOOKUP(D478,Catalog!$B$2:$C$4102,2,FALSE()),"")</f>
        <v>2.95</v>
      </c>
      <c r="I478" s="7" t="str">
        <f aca="false">HLOOKUP(C478,Regions!$B$1:$S$2,2,FALSE())</f>
        <v>Non-EU</v>
      </c>
      <c r="J478" s="7" t="n">
        <f aca="false">E478*F478</f>
        <v>17.7</v>
      </c>
      <c r="K478" s="8" t="n">
        <f aca="false">IF(H478="","",1-F478/H478)</f>
        <v>0</v>
      </c>
    </row>
    <row r="479" customFormat="false" ht="15" hidden="false" customHeight="false" outlineLevel="0" collapsed="false">
      <c r="A479" s="0" t="s">
        <v>417</v>
      </c>
      <c r="B479" s="6" t="n">
        <v>40882.4298611111</v>
      </c>
      <c r="C479" s="0" t="s">
        <v>418</v>
      </c>
      <c r="D479" s="0" t="s">
        <v>421</v>
      </c>
      <c r="E479" s="0" t="n">
        <v>4</v>
      </c>
      <c r="F479" s="0" t="n">
        <v>8.5</v>
      </c>
      <c r="G479" s="7" t="str">
        <f aca="false">_xlfn.XLOOKUP(D479,Catalog!$B$2:$B$4102,Catalog!$A$2:$A$4102,"NOT IN CATALOG")</f>
        <v>VINTAGE UNION JACK BUNTING</v>
      </c>
      <c r="H479" s="7" t="n">
        <f aca="false">_xlfn.IFNA(VLOOKUP(D479,Catalog!$B$2:$C$4102,2,FALSE()),"")</f>
        <v>8.5</v>
      </c>
      <c r="I479" s="7" t="str">
        <f aca="false">HLOOKUP(C479,Regions!$B$1:$S$2,2,FALSE())</f>
        <v>Non-EU</v>
      </c>
      <c r="J479" s="7" t="n">
        <f aca="false">E479*F479</f>
        <v>34</v>
      </c>
      <c r="K479" s="8" t="n">
        <f aca="false">IF(H479="","",1-F479/H479)</f>
        <v>0</v>
      </c>
    </row>
    <row r="480" customFormat="false" ht="15" hidden="false" customHeight="false" outlineLevel="0" collapsed="false">
      <c r="A480" s="0" t="s">
        <v>417</v>
      </c>
      <c r="B480" s="6" t="n">
        <v>40882.4298611111</v>
      </c>
      <c r="C480" s="0" t="s">
        <v>418</v>
      </c>
      <c r="D480" s="0" t="s">
        <v>422</v>
      </c>
      <c r="E480" s="0" t="n">
        <v>24</v>
      </c>
      <c r="F480" s="0" t="n">
        <v>1.25</v>
      </c>
      <c r="G480" s="7" t="str">
        <f aca="false">_xlfn.XLOOKUP(D480,Catalog!$B$2:$B$4102,Catalog!$A$2:$A$4102,"NOT IN CATALOG")</f>
        <v>NOT IN CATALOG</v>
      </c>
      <c r="H480" s="7" t="str">
        <f aca="false">_xlfn.IFNA(VLOOKUP(D480,Catalog!$B$2:$C$4102,2,FALSE()),"")</f>
        <v/>
      </c>
      <c r="I480" s="7" t="str">
        <f aca="false">HLOOKUP(C480,Regions!$B$1:$S$2,2,FALSE())</f>
        <v>Non-EU</v>
      </c>
      <c r="J480" s="7" t="n">
        <f aca="false">E480*F480</f>
        <v>30</v>
      </c>
      <c r="K480" s="8" t="str">
        <f aca="false">IF(H480="","",1-F480/H480)</f>
        <v/>
      </c>
    </row>
    <row r="481" customFormat="false" ht="15" hidden="false" customHeight="false" outlineLevel="0" collapsed="false">
      <c r="A481" s="0" t="s">
        <v>417</v>
      </c>
      <c r="B481" s="6" t="n">
        <v>40882.4298611111</v>
      </c>
      <c r="C481" s="0" t="s">
        <v>418</v>
      </c>
      <c r="D481" s="0" t="s">
        <v>423</v>
      </c>
      <c r="E481" s="0" t="n">
        <v>20</v>
      </c>
      <c r="F481" s="0" t="n">
        <v>4.95</v>
      </c>
      <c r="G481" s="7" t="str">
        <f aca="false">_xlfn.XLOOKUP(D481,Catalog!$B$2:$B$4102,Catalog!$A$2:$A$4102,"NOT IN CATALOG")</f>
        <v>NOT IN CATALOG</v>
      </c>
      <c r="H481" s="7" t="str">
        <f aca="false">_xlfn.IFNA(VLOOKUP(D481,Catalog!$B$2:$C$4102,2,FALSE()),"")</f>
        <v/>
      </c>
      <c r="I481" s="7" t="str">
        <f aca="false">HLOOKUP(C481,Regions!$B$1:$S$2,2,FALSE())</f>
        <v>Non-EU</v>
      </c>
      <c r="J481" s="7" t="n">
        <f aca="false">E481*F481</f>
        <v>99</v>
      </c>
      <c r="K481" s="8" t="str">
        <f aca="false">IF(H481="","",1-F481/H481)</f>
        <v/>
      </c>
    </row>
    <row r="482" customFormat="false" ht="15" hidden="false" customHeight="false" outlineLevel="0" collapsed="false">
      <c r="A482" s="0" t="s">
        <v>424</v>
      </c>
      <c r="B482" s="6" t="n">
        <v>40882.5305555556</v>
      </c>
      <c r="C482" s="0" t="s">
        <v>425</v>
      </c>
      <c r="D482" s="0" t="s">
        <v>426</v>
      </c>
      <c r="E482" s="0" t="n">
        <v>6</v>
      </c>
      <c r="F482" s="0" t="n">
        <v>4.95</v>
      </c>
      <c r="G482" s="7" t="str">
        <f aca="false">_xlfn.XLOOKUP(D482,Catalog!$B$2:$B$4102,Catalog!$A$2:$A$4102,"NOT IN CATALOG")</f>
        <v>NOT IN CATALOG</v>
      </c>
      <c r="H482" s="7" t="str">
        <f aca="false">_xlfn.IFNA(VLOOKUP(D482,Catalog!$B$2:$C$4102,2,FALSE()),"")</f>
        <v/>
      </c>
      <c r="I482" s="7" t="str">
        <f aca="false">HLOOKUP(C482,Regions!$B$1:$S$2,2,FALSE())</f>
        <v>Non-EU</v>
      </c>
      <c r="J482" s="7" t="n">
        <f aca="false">E482*F482</f>
        <v>29.7</v>
      </c>
      <c r="K482" s="8" t="str">
        <f aca="false">IF(H482="","",1-F482/H482)</f>
        <v/>
      </c>
    </row>
    <row r="483" customFormat="false" ht="15" hidden="false" customHeight="false" outlineLevel="0" collapsed="false">
      <c r="A483" s="0" t="s">
        <v>424</v>
      </c>
      <c r="B483" s="6" t="n">
        <v>40882.5305555556</v>
      </c>
      <c r="C483" s="0" t="s">
        <v>425</v>
      </c>
      <c r="D483" s="0" t="s">
        <v>82</v>
      </c>
      <c r="E483" s="0" t="n">
        <v>12</v>
      </c>
      <c r="F483" s="0" t="n">
        <v>2.08</v>
      </c>
      <c r="G483" s="7" t="str">
        <f aca="false">_xlfn.XLOOKUP(D483,Catalog!$B$2:$B$4102,Catalog!$A$2:$A$4102,"NOT IN CATALOG")</f>
        <v>NOT IN CATALOG</v>
      </c>
      <c r="H483" s="7" t="str">
        <f aca="false">_xlfn.IFNA(VLOOKUP(D483,Catalog!$B$2:$C$4102,2,FALSE()),"")</f>
        <v/>
      </c>
      <c r="I483" s="7" t="str">
        <f aca="false">HLOOKUP(C483,Regions!$B$1:$S$2,2,FALSE())</f>
        <v>Non-EU</v>
      </c>
      <c r="J483" s="7" t="n">
        <f aca="false">E483*F483</f>
        <v>24.96</v>
      </c>
      <c r="K483" s="8" t="str">
        <f aca="false">IF(H483="","",1-F483/H483)</f>
        <v/>
      </c>
    </row>
    <row r="484" customFormat="false" ht="15" hidden="false" customHeight="false" outlineLevel="0" collapsed="false">
      <c r="A484" s="0" t="s">
        <v>424</v>
      </c>
      <c r="B484" s="6" t="n">
        <v>40882.5305555556</v>
      </c>
      <c r="C484" s="0" t="s">
        <v>425</v>
      </c>
      <c r="D484" s="0" t="s">
        <v>54</v>
      </c>
      <c r="E484" s="0" t="n">
        <v>1</v>
      </c>
      <c r="F484" s="0" t="n">
        <v>12.75</v>
      </c>
      <c r="G484" s="7" t="str">
        <f aca="false">_xlfn.XLOOKUP(D484,Catalog!$B$2:$B$4102,Catalog!$A$2:$A$4102,"NOT IN CATALOG")</f>
        <v>REGENCY CAKESTAND 3 TIER</v>
      </c>
      <c r="H484" s="7" t="n">
        <f aca="false">_xlfn.IFNA(VLOOKUP(D484,Catalog!$B$2:$C$4102,2,FALSE()),"")</f>
        <v>12.75</v>
      </c>
      <c r="I484" s="7" t="str">
        <f aca="false">HLOOKUP(C484,Regions!$B$1:$S$2,2,FALSE())</f>
        <v>Non-EU</v>
      </c>
      <c r="J484" s="7" t="n">
        <f aca="false">E484*F484</f>
        <v>12.75</v>
      </c>
      <c r="K484" s="8" t="n">
        <f aca="false">IF(H484="","",1-F484/H484)</f>
        <v>0</v>
      </c>
    </row>
    <row r="485" customFormat="false" ht="15" hidden="false" customHeight="false" outlineLevel="0" collapsed="false">
      <c r="A485" s="0" t="s">
        <v>424</v>
      </c>
      <c r="B485" s="6" t="n">
        <v>40882.5305555556</v>
      </c>
      <c r="C485" s="0" t="s">
        <v>425</v>
      </c>
      <c r="D485" s="0" t="s">
        <v>427</v>
      </c>
      <c r="E485" s="0" t="n">
        <v>24</v>
      </c>
      <c r="F485" s="0" t="n">
        <v>0.55</v>
      </c>
      <c r="G485" s="7" t="str">
        <f aca="false">_xlfn.XLOOKUP(D485,Catalog!$B$2:$B$4102,Catalog!$A$2:$A$4102,"NOT IN CATALOG")</f>
        <v>PACK OF 60 MUSHROOM CAKE CASES</v>
      </c>
      <c r="H485" s="7" t="n">
        <f aca="false">_xlfn.IFNA(VLOOKUP(D485,Catalog!$B$2:$C$4102,2,FALSE()),"")</f>
        <v>0.55</v>
      </c>
      <c r="I485" s="7" t="str">
        <f aca="false">HLOOKUP(C485,Regions!$B$1:$S$2,2,FALSE())</f>
        <v>Non-EU</v>
      </c>
      <c r="J485" s="7" t="n">
        <f aca="false">E485*F485</f>
        <v>13.2</v>
      </c>
      <c r="K485" s="8" t="n">
        <f aca="false">IF(H485="","",1-F485/H485)</f>
        <v>0</v>
      </c>
    </row>
    <row r="486" customFormat="false" ht="15" hidden="false" customHeight="false" outlineLevel="0" collapsed="false">
      <c r="A486" s="0" t="s">
        <v>424</v>
      </c>
      <c r="B486" s="6" t="n">
        <v>40882.5305555556</v>
      </c>
      <c r="C486" s="0" t="s">
        <v>425</v>
      </c>
      <c r="D486" s="0" t="s">
        <v>218</v>
      </c>
      <c r="E486" s="0" t="n">
        <v>24</v>
      </c>
      <c r="F486" s="0" t="n">
        <v>0.55</v>
      </c>
      <c r="G486" s="7" t="str">
        <f aca="false">_xlfn.XLOOKUP(D486,Catalog!$B$2:$B$4102,Catalog!$A$2:$A$4102,"NOT IN CATALOG")</f>
        <v>PACK OF 60 SPACEBOY CAKE CASES</v>
      </c>
      <c r="H486" s="7" t="n">
        <f aca="false">_xlfn.IFNA(VLOOKUP(D486,Catalog!$B$2:$C$4102,2,FALSE()),"")</f>
        <v>0.55</v>
      </c>
      <c r="I486" s="7" t="str">
        <f aca="false">HLOOKUP(C486,Regions!$B$1:$S$2,2,FALSE())</f>
        <v>Non-EU</v>
      </c>
      <c r="J486" s="7" t="n">
        <f aca="false">E486*F486</f>
        <v>13.2</v>
      </c>
      <c r="K486" s="8" t="n">
        <f aca="false">IF(H486="","",1-F486/H486)</f>
        <v>0</v>
      </c>
    </row>
    <row r="487" customFormat="false" ht="15" hidden="false" customHeight="false" outlineLevel="0" collapsed="false">
      <c r="A487" s="0" t="s">
        <v>424</v>
      </c>
      <c r="B487" s="6" t="n">
        <v>40882.5305555556</v>
      </c>
      <c r="C487" s="0" t="s">
        <v>425</v>
      </c>
      <c r="D487" s="0" t="s">
        <v>44</v>
      </c>
      <c r="E487" s="0" t="n">
        <v>24</v>
      </c>
      <c r="F487" s="0" t="n">
        <v>0.55</v>
      </c>
      <c r="G487" s="7" t="str">
        <f aca="false">_xlfn.XLOOKUP(D487,Catalog!$B$2:$B$4102,Catalog!$A$2:$A$4102,"NOT IN CATALOG")</f>
        <v>PACK OF 72 RETRO SPOT CAKE CASES</v>
      </c>
      <c r="H487" s="7" t="n">
        <f aca="false">_xlfn.IFNA(VLOOKUP(D487,Catalog!$B$2:$C$4102,2,FALSE()),"")</f>
        <v>0.55</v>
      </c>
      <c r="I487" s="7" t="str">
        <f aca="false">HLOOKUP(C487,Regions!$B$1:$S$2,2,FALSE())</f>
        <v>Non-EU</v>
      </c>
      <c r="J487" s="7" t="n">
        <f aca="false">E487*F487</f>
        <v>13.2</v>
      </c>
      <c r="K487" s="8" t="n">
        <f aca="false">IF(H487="","",1-F487/H487)</f>
        <v>0</v>
      </c>
    </row>
    <row r="488" customFormat="false" ht="15" hidden="false" customHeight="false" outlineLevel="0" collapsed="false">
      <c r="A488" s="0" t="s">
        <v>424</v>
      </c>
      <c r="B488" s="6" t="n">
        <v>40882.5305555556</v>
      </c>
      <c r="C488" s="0" t="s">
        <v>425</v>
      </c>
      <c r="D488" s="0" t="s">
        <v>39</v>
      </c>
      <c r="E488" s="0" t="n">
        <v>1</v>
      </c>
      <c r="F488" s="0" t="n">
        <v>40</v>
      </c>
      <c r="G488" s="7" t="str">
        <f aca="false">_xlfn.XLOOKUP(D488,Catalog!$B$2:$B$4102,Catalog!$A$2:$A$4102,"NOT IN CATALOG")</f>
        <v>POSTAGE</v>
      </c>
      <c r="H488" s="7" t="n">
        <f aca="false">_xlfn.IFNA(VLOOKUP(D488,Catalog!$B$2:$C$4102,2,FALSE()),"")</f>
        <v>18</v>
      </c>
      <c r="I488" s="7" t="str">
        <f aca="false">HLOOKUP(C488,Regions!$B$1:$S$2,2,FALSE())</f>
        <v>Non-EU</v>
      </c>
      <c r="J488" s="7" t="n">
        <f aca="false">E488*F488</f>
        <v>40</v>
      </c>
      <c r="K488" s="8" t="n">
        <f aca="false">IF(H488="","",1-F488/H488)</f>
        <v>-1.22222222222222</v>
      </c>
    </row>
    <row r="489" customFormat="false" ht="15" hidden="false" customHeight="false" outlineLevel="0" collapsed="false">
      <c r="A489" s="0" t="s">
        <v>428</v>
      </c>
      <c r="B489" s="6" t="n">
        <v>40882.5520833333</v>
      </c>
      <c r="C489" s="0" t="s">
        <v>29</v>
      </c>
      <c r="D489" s="0" t="s">
        <v>157</v>
      </c>
      <c r="E489" s="0" t="n">
        <v>25</v>
      </c>
      <c r="F489" s="0" t="n">
        <v>0.42</v>
      </c>
      <c r="G489" s="7" t="str">
        <f aca="false">_xlfn.XLOOKUP(D489,Catalog!$B$2:$B$4102,Catalog!$A$2:$A$4102,"NOT IN CATALOG")</f>
        <v>RED SPOTS WRAP</v>
      </c>
      <c r="H489" s="7" t="n">
        <f aca="false">_xlfn.IFNA(VLOOKUP(D489,Catalog!$B$2:$C$4102,2,FALSE()),"")</f>
        <v>0.42</v>
      </c>
      <c r="I489" s="7" t="str">
        <f aca="false">HLOOKUP(C489,Regions!$B$1:$S$2,2,FALSE())</f>
        <v>EU</v>
      </c>
      <c r="J489" s="7" t="n">
        <f aca="false">E489*F489</f>
        <v>10.5</v>
      </c>
      <c r="K489" s="8" t="n">
        <f aca="false">IF(H489="","",1-F489/H489)</f>
        <v>0</v>
      </c>
    </row>
    <row r="490" customFormat="false" ht="15" hidden="false" customHeight="false" outlineLevel="0" collapsed="false">
      <c r="A490" s="0" t="s">
        <v>428</v>
      </c>
      <c r="B490" s="6" t="n">
        <v>40882.5520833333</v>
      </c>
      <c r="C490" s="0" t="s">
        <v>29</v>
      </c>
      <c r="D490" s="0" t="s">
        <v>117</v>
      </c>
      <c r="E490" s="0" t="n">
        <v>12</v>
      </c>
      <c r="F490" s="0" t="n">
        <v>1.25</v>
      </c>
      <c r="G490" s="7" t="str">
        <f aca="false">_xlfn.XLOOKUP(D490,Catalog!$B$2:$B$4102,Catalog!$A$2:$A$4102,"NOT IN CATALOG")</f>
        <v>NOT IN CATALOG</v>
      </c>
      <c r="H490" s="7" t="str">
        <f aca="false">_xlfn.IFNA(VLOOKUP(D490,Catalog!$B$2:$C$4102,2,FALSE()),"")</f>
        <v/>
      </c>
      <c r="I490" s="7" t="str">
        <f aca="false">HLOOKUP(C490,Regions!$B$1:$S$2,2,FALSE())</f>
        <v>EU</v>
      </c>
      <c r="J490" s="7" t="n">
        <f aca="false">E490*F490</f>
        <v>15</v>
      </c>
      <c r="K490" s="8" t="str">
        <f aca="false">IF(H490="","",1-F490/H490)</f>
        <v/>
      </c>
    </row>
    <row r="491" customFormat="false" ht="15" hidden="false" customHeight="false" outlineLevel="0" collapsed="false">
      <c r="A491" s="0" t="s">
        <v>428</v>
      </c>
      <c r="B491" s="6" t="n">
        <v>40882.5520833333</v>
      </c>
      <c r="C491" s="0" t="s">
        <v>29</v>
      </c>
      <c r="D491" s="0" t="s">
        <v>429</v>
      </c>
      <c r="E491" s="0" t="n">
        <v>12</v>
      </c>
      <c r="F491" s="0" t="n">
        <v>1.25</v>
      </c>
      <c r="G491" s="7" t="str">
        <f aca="false">_xlfn.XLOOKUP(D491,Catalog!$B$2:$B$4102,Catalog!$A$2:$A$4102,"NOT IN CATALOG")</f>
        <v>NOT IN CATALOG</v>
      </c>
      <c r="H491" s="7" t="str">
        <f aca="false">_xlfn.IFNA(VLOOKUP(D491,Catalog!$B$2:$C$4102,2,FALSE()),"")</f>
        <v/>
      </c>
      <c r="I491" s="7" t="str">
        <f aca="false">HLOOKUP(C491,Regions!$B$1:$S$2,2,FALSE())</f>
        <v>EU</v>
      </c>
      <c r="J491" s="7" t="n">
        <f aca="false">E491*F491</f>
        <v>15</v>
      </c>
      <c r="K491" s="8" t="str">
        <f aca="false">IF(H491="","",1-F491/H491)</f>
        <v/>
      </c>
    </row>
    <row r="492" customFormat="false" ht="15" hidden="false" customHeight="false" outlineLevel="0" collapsed="false">
      <c r="A492" s="0" t="s">
        <v>428</v>
      </c>
      <c r="B492" s="6" t="n">
        <v>40882.5520833333</v>
      </c>
      <c r="C492" s="0" t="s">
        <v>29</v>
      </c>
      <c r="D492" s="0" t="s">
        <v>430</v>
      </c>
      <c r="E492" s="0" t="n">
        <v>12</v>
      </c>
      <c r="F492" s="0" t="n">
        <v>0.83</v>
      </c>
      <c r="G492" s="7" t="str">
        <f aca="false">_xlfn.XLOOKUP(D492,Catalog!$B$2:$B$4102,Catalog!$A$2:$A$4102,"NOT IN CATALOG")</f>
        <v>NOT IN CATALOG</v>
      </c>
      <c r="H492" s="7" t="str">
        <f aca="false">_xlfn.IFNA(VLOOKUP(D492,Catalog!$B$2:$C$4102,2,FALSE()),"")</f>
        <v/>
      </c>
      <c r="I492" s="7" t="str">
        <f aca="false">HLOOKUP(C492,Regions!$B$1:$S$2,2,FALSE())</f>
        <v>EU</v>
      </c>
      <c r="J492" s="7" t="n">
        <f aca="false">E492*F492</f>
        <v>9.96</v>
      </c>
      <c r="K492" s="8" t="str">
        <f aca="false">IF(H492="","",1-F492/H492)</f>
        <v/>
      </c>
    </row>
    <row r="493" customFormat="false" ht="15" hidden="false" customHeight="false" outlineLevel="0" collapsed="false">
      <c r="A493" s="0" t="s">
        <v>428</v>
      </c>
      <c r="B493" s="6" t="n">
        <v>40882.5520833333</v>
      </c>
      <c r="C493" s="0" t="s">
        <v>29</v>
      </c>
      <c r="D493" s="0" t="s">
        <v>364</v>
      </c>
      <c r="E493" s="0" t="n">
        <v>10</v>
      </c>
      <c r="F493" s="0" t="n">
        <v>2.08</v>
      </c>
      <c r="G493" s="7" t="str">
        <f aca="false">_xlfn.XLOOKUP(D493,Catalog!$B$2:$B$4102,Catalog!$A$2:$A$4102,"NOT IN CATALOG")</f>
        <v>NOT IN CATALOG</v>
      </c>
      <c r="H493" s="7" t="str">
        <f aca="false">_xlfn.IFNA(VLOOKUP(D493,Catalog!$B$2:$C$4102,2,FALSE()),"")</f>
        <v/>
      </c>
      <c r="I493" s="7" t="str">
        <f aca="false">HLOOKUP(C493,Regions!$B$1:$S$2,2,FALSE())</f>
        <v>EU</v>
      </c>
      <c r="J493" s="7" t="n">
        <f aca="false">E493*F493</f>
        <v>20.8</v>
      </c>
      <c r="K493" s="8" t="str">
        <f aca="false">IF(H493="","",1-F493/H493)</f>
        <v/>
      </c>
    </row>
    <row r="494" customFormat="false" ht="15" hidden="false" customHeight="false" outlineLevel="0" collapsed="false">
      <c r="A494" s="0" t="s">
        <v>428</v>
      </c>
      <c r="B494" s="6" t="n">
        <v>40882.5520833333</v>
      </c>
      <c r="C494" s="0" t="s">
        <v>29</v>
      </c>
      <c r="D494" s="0" t="s">
        <v>238</v>
      </c>
      <c r="E494" s="0" t="n">
        <v>10</v>
      </c>
      <c r="F494" s="0" t="n">
        <v>2.08</v>
      </c>
      <c r="G494" s="7" t="str">
        <f aca="false">_xlfn.XLOOKUP(D494,Catalog!$B$2:$B$4102,Catalog!$A$2:$A$4102,"NOT IN CATALOG")</f>
        <v>NOT IN CATALOG</v>
      </c>
      <c r="H494" s="7" t="str">
        <f aca="false">_xlfn.IFNA(VLOOKUP(D494,Catalog!$B$2:$C$4102,2,FALSE()),"")</f>
        <v/>
      </c>
      <c r="I494" s="7" t="str">
        <f aca="false">HLOOKUP(C494,Regions!$B$1:$S$2,2,FALSE())</f>
        <v>EU</v>
      </c>
      <c r="J494" s="7" t="n">
        <f aca="false">E494*F494</f>
        <v>20.8</v>
      </c>
      <c r="K494" s="8" t="str">
        <f aca="false">IF(H494="","",1-F494/H494)</f>
        <v/>
      </c>
    </row>
    <row r="495" customFormat="false" ht="15" hidden="false" customHeight="false" outlineLevel="0" collapsed="false">
      <c r="A495" s="0" t="s">
        <v>428</v>
      </c>
      <c r="B495" s="6" t="n">
        <v>40882.5520833333</v>
      </c>
      <c r="C495" s="0" t="s">
        <v>29</v>
      </c>
      <c r="D495" s="0" t="s">
        <v>294</v>
      </c>
      <c r="E495" s="0" t="n">
        <v>20</v>
      </c>
      <c r="F495" s="0" t="n">
        <v>1.25</v>
      </c>
      <c r="G495" s="7" t="str">
        <f aca="false">_xlfn.XLOOKUP(D495,Catalog!$B$2:$B$4102,Catalog!$A$2:$A$4102,"NOT IN CATALOG")</f>
        <v>NOT IN CATALOG</v>
      </c>
      <c r="H495" s="7" t="str">
        <f aca="false">_xlfn.IFNA(VLOOKUP(D495,Catalog!$B$2:$C$4102,2,FALSE()),"")</f>
        <v/>
      </c>
      <c r="I495" s="7" t="str">
        <f aca="false">HLOOKUP(C495,Regions!$B$1:$S$2,2,FALSE())</f>
        <v>EU</v>
      </c>
      <c r="J495" s="7" t="n">
        <f aca="false">E495*F495</f>
        <v>25</v>
      </c>
      <c r="K495" s="8" t="str">
        <f aca="false">IF(H495="","",1-F495/H495)</f>
        <v/>
      </c>
    </row>
    <row r="496" customFormat="false" ht="15" hidden="false" customHeight="false" outlineLevel="0" collapsed="false">
      <c r="A496" s="0" t="s">
        <v>428</v>
      </c>
      <c r="B496" s="6" t="n">
        <v>40882.5520833333</v>
      </c>
      <c r="C496" s="0" t="s">
        <v>29</v>
      </c>
      <c r="D496" s="0" t="s">
        <v>431</v>
      </c>
      <c r="E496" s="0" t="n">
        <v>6</v>
      </c>
      <c r="F496" s="0" t="n">
        <v>2.89</v>
      </c>
      <c r="G496" s="7" t="str">
        <f aca="false">_xlfn.XLOOKUP(D496,Catalog!$B$2:$B$4102,Catalog!$A$2:$A$4102,"NOT IN CATALOG")</f>
        <v>NOT IN CATALOG</v>
      </c>
      <c r="H496" s="7" t="str">
        <f aca="false">_xlfn.IFNA(VLOOKUP(D496,Catalog!$B$2:$C$4102,2,FALSE()),"")</f>
        <v/>
      </c>
      <c r="I496" s="7" t="str">
        <f aca="false">HLOOKUP(C496,Regions!$B$1:$S$2,2,FALSE())</f>
        <v>EU</v>
      </c>
      <c r="J496" s="7" t="n">
        <f aca="false">E496*F496</f>
        <v>17.34</v>
      </c>
      <c r="K496" s="8" t="str">
        <f aca="false">IF(H496="","",1-F496/H496)</f>
        <v/>
      </c>
    </row>
    <row r="497" customFormat="false" ht="15" hidden="false" customHeight="false" outlineLevel="0" collapsed="false">
      <c r="A497" s="0" t="s">
        <v>428</v>
      </c>
      <c r="B497" s="6" t="n">
        <v>40882.5520833333</v>
      </c>
      <c r="C497" s="0" t="s">
        <v>29</v>
      </c>
      <c r="D497" s="0" t="s">
        <v>39</v>
      </c>
      <c r="E497" s="0" t="n">
        <v>1</v>
      </c>
      <c r="F497" s="0" t="n">
        <v>18</v>
      </c>
      <c r="G497" s="7" t="str">
        <f aca="false">_xlfn.XLOOKUP(D497,Catalog!$B$2:$B$4102,Catalog!$A$2:$A$4102,"NOT IN CATALOG")</f>
        <v>POSTAGE</v>
      </c>
      <c r="H497" s="7" t="n">
        <f aca="false">_xlfn.IFNA(VLOOKUP(D497,Catalog!$B$2:$C$4102,2,FALSE()),"")</f>
        <v>18</v>
      </c>
      <c r="I497" s="7" t="str">
        <f aca="false">HLOOKUP(C497,Regions!$B$1:$S$2,2,FALSE())</f>
        <v>EU</v>
      </c>
      <c r="J497" s="7" t="n">
        <f aca="false">E497*F497</f>
        <v>18</v>
      </c>
      <c r="K497" s="8" t="n">
        <f aca="false">IF(H497="","",1-F497/H497)</f>
        <v>0</v>
      </c>
    </row>
    <row r="498" customFormat="false" ht="15" hidden="false" customHeight="false" outlineLevel="0" collapsed="false">
      <c r="A498" s="0" t="s">
        <v>428</v>
      </c>
      <c r="B498" s="6" t="n">
        <v>40882.5520833333</v>
      </c>
      <c r="C498" s="0" t="s">
        <v>29</v>
      </c>
      <c r="D498" s="0" t="s">
        <v>432</v>
      </c>
      <c r="E498" s="0" t="n">
        <v>12</v>
      </c>
      <c r="F498" s="0" t="n">
        <v>1.25</v>
      </c>
      <c r="G498" s="7" t="str">
        <f aca="false">_xlfn.XLOOKUP(D498,Catalog!$B$2:$B$4102,Catalog!$A$2:$A$4102,"NOT IN CATALOG")</f>
        <v>NOT IN CATALOG</v>
      </c>
      <c r="H498" s="7" t="str">
        <f aca="false">_xlfn.IFNA(VLOOKUP(D498,Catalog!$B$2:$C$4102,2,FALSE()),"")</f>
        <v/>
      </c>
      <c r="I498" s="7" t="str">
        <f aca="false">HLOOKUP(C498,Regions!$B$1:$S$2,2,FALSE())</f>
        <v>EU</v>
      </c>
      <c r="J498" s="7" t="n">
        <f aca="false">E498*F498</f>
        <v>15</v>
      </c>
      <c r="K498" s="8" t="str">
        <f aca="false">IF(H498="","",1-F498/H498)</f>
        <v/>
      </c>
    </row>
    <row r="499" customFormat="false" ht="15" hidden="false" customHeight="false" outlineLevel="0" collapsed="false">
      <c r="A499" s="0" t="s">
        <v>428</v>
      </c>
      <c r="B499" s="6" t="n">
        <v>40882.5520833333</v>
      </c>
      <c r="C499" s="0" t="s">
        <v>29</v>
      </c>
      <c r="D499" s="0" t="s">
        <v>433</v>
      </c>
      <c r="E499" s="0" t="n">
        <v>12</v>
      </c>
      <c r="F499" s="0" t="n">
        <v>1.25</v>
      </c>
      <c r="G499" s="7" t="str">
        <f aca="false">_xlfn.XLOOKUP(D499,Catalog!$B$2:$B$4102,Catalog!$A$2:$A$4102,"NOT IN CATALOG")</f>
        <v>NOT IN CATALOG</v>
      </c>
      <c r="H499" s="7" t="str">
        <f aca="false">_xlfn.IFNA(VLOOKUP(D499,Catalog!$B$2:$C$4102,2,FALSE()),"")</f>
        <v/>
      </c>
      <c r="I499" s="7" t="str">
        <f aca="false">HLOOKUP(C499,Regions!$B$1:$S$2,2,FALSE())</f>
        <v>EU</v>
      </c>
      <c r="J499" s="7" t="n">
        <f aca="false">E499*F499</f>
        <v>15</v>
      </c>
      <c r="K499" s="8" t="str">
        <f aca="false">IF(H499="","",1-F499/H499)</f>
        <v/>
      </c>
    </row>
    <row r="500" customFormat="false" ht="15" hidden="false" customHeight="false" outlineLevel="0" collapsed="false">
      <c r="A500" s="0" t="s">
        <v>428</v>
      </c>
      <c r="B500" s="6" t="n">
        <v>40882.5520833333</v>
      </c>
      <c r="C500" s="0" t="s">
        <v>29</v>
      </c>
      <c r="D500" s="0" t="s">
        <v>137</v>
      </c>
      <c r="E500" s="0" t="n">
        <v>12</v>
      </c>
      <c r="F500" s="0" t="n">
        <v>1.25</v>
      </c>
      <c r="G500" s="7" t="str">
        <f aca="false">_xlfn.XLOOKUP(D500,Catalog!$B$2:$B$4102,Catalog!$A$2:$A$4102,"NOT IN CATALOG")</f>
        <v>NOT IN CATALOG</v>
      </c>
      <c r="H500" s="7" t="str">
        <f aca="false">_xlfn.IFNA(VLOOKUP(D500,Catalog!$B$2:$C$4102,2,FALSE()),"")</f>
        <v/>
      </c>
      <c r="I500" s="7" t="str">
        <f aca="false">HLOOKUP(C500,Regions!$B$1:$S$2,2,FALSE())</f>
        <v>EU</v>
      </c>
      <c r="J500" s="7" t="n">
        <f aca="false">E500*F500</f>
        <v>15</v>
      </c>
      <c r="K500" s="8" t="str">
        <f aca="false">IF(H500="","",1-F500/H500)</f>
        <v/>
      </c>
    </row>
    <row r="501" customFormat="false" ht="15" hidden="false" customHeight="false" outlineLevel="0" collapsed="false">
      <c r="A501" s="0" t="s">
        <v>428</v>
      </c>
      <c r="B501" s="6" t="n">
        <v>40882.5520833333</v>
      </c>
      <c r="C501" s="0" t="s">
        <v>29</v>
      </c>
      <c r="D501" s="0" t="s">
        <v>434</v>
      </c>
      <c r="E501" s="0" t="n">
        <v>3</v>
      </c>
      <c r="F501" s="0" t="n">
        <v>5.95</v>
      </c>
      <c r="G501" s="7" t="str">
        <f aca="false">_xlfn.XLOOKUP(D501,Catalog!$B$2:$B$4102,Catalog!$A$2:$A$4102,"NOT IN CATALOG")</f>
        <v>DELUXE SEWING KIT</v>
      </c>
      <c r="H501" s="7" t="n">
        <f aca="false">_xlfn.IFNA(VLOOKUP(D501,Catalog!$B$2:$C$4102,2,FALSE()),"")</f>
        <v>5.95</v>
      </c>
      <c r="I501" s="7" t="str">
        <f aca="false">HLOOKUP(C501,Regions!$B$1:$S$2,2,FALSE())</f>
        <v>EU</v>
      </c>
      <c r="J501" s="7" t="n">
        <f aca="false">E501*F501</f>
        <v>17.85</v>
      </c>
      <c r="K501" s="8" t="n">
        <f aca="false">IF(H501="","",1-F501/H501)</f>
        <v>0</v>
      </c>
    </row>
    <row r="502" customFormat="false" ht="15" hidden="false" customHeight="false" outlineLevel="0" collapsed="false">
      <c r="A502" s="0" t="s">
        <v>435</v>
      </c>
      <c r="B502" s="6" t="n">
        <v>40882.6847222222</v>
      </c>
      <c r="C502" s="0" t="s">
        <v>436</v>
      </c>
      <c r="D502" s="0" t="s">
        <v>120</v>
      </c>
      <c r="E502" s="0" t="n">
        <v>40</v>
      </c>
      <c r="F502" s="0" t="n">
        <v>5.95</v>
      </c>
      <c r="G502" s="7" t="str">
        <f aca="false">_xlfn.XLOOKUP(D502,Catalog!$B$2:$B$4102,Catalog!$A$2:$A$4102,"NOT IN CATALOG")</f>
        <v>NOT IN CATALOG</v>
      </c>
      <c r="H502" s="7" t="str">
        <f aca="false">_xlfn.IFNA(VLOOKUP(D502,Catalog!$B$2:$C$4102,2,FALSE()),"")</f>
        <v/>
      </c>
      <c r="I502" s="7" t="str">
        <f aca="false">HLOOKUP(C502,Regions!$B$1:$S$2,2,FALSE())</f>
        <v>EU</v>
      </c>
      <c r="J502" s="7" t="n">
        <f aca="false">E502*F502</f>
        <v>238</v>
      </c>
      <c r="K502" s="8" t="str">
        <f aca="false">IF(H502="","",1-F502/H502)</f>
        <v/>
      </c>
    </row>
    <row r="503" customFormat="false" ht="15" hidden="false" customHeight="false" outlineLevel="0" collapsed="false">
      <c r="A503" s="0" t="s">
        <v>437</v>
      </c>
      <c r="B503" s="6" t="n">
        <v>40882.6861111111</v>
      </c>
      <c r="C503" s="0" t="s">
        <v>81</v>
      </c>
      <c r="D503" s="0" t="s">
        <v>438</v>
      </c>
      <c r="E503" s="0" t="n">
        <v>12</v>
      </c>
      <c r="F503" s="0" t="n">
        <v>0.42</v>
      </c>
      <c r="G503" s="7" t="str">
        <f aca="false">_xlfn.XLOOKUP(D503,Catalog!$B$2:$B$4102,Catalog!$A$2:$A$4102,"NOT IN CATALOG")</f>
        <v>CARD MOTORBIKE SANTA</v>
      </c>
      <c r="H503" s="7" t="n">
        <f aca="false">_xlfn.IFNA(VLOOKUP(D503,Catalog!$B$2:$C$4102,2,FALSE()),"")</f>
        <v>0.42</v>
      </c>
      <c r="I503" s="7" t="str">
        <f aca="false">HLOOKUP(C503,Regions!$B$1:$S$2,2,FALSE())</f>
        <v>EU</v>
      </c>
      <c r="J503" s="7" t="n">
        <f aca="false">E503*F503</f>
        <v>5.04</v>
      </c>
      <c r="K503" s="8" t="n">
        <f aca="false">IF(H503="","",1-F503/H503)</f>
        <v>0</v>
      </c>
    </row>
    <row r="504" customFormat="false" ht="15" hidden="false" customHeight="false" outlineLevel="0" collapsed="false">
      <c r="A504" s="0" t="s">
        <v>437</v>
      </c>
      <c r="B504" s="6" t="n">
        <v>40882.6861111111</v>
      </c>
      <c r="C504" s="0" t="s">
        <v>81</v>
      </c>
      <c r="D504" s="0" t="s">
        <v>250</v>
      </c>
      <c r="E504" s="0" t="n">
        <v>24</v>
      </c>
      <c r="F504" s="0" t="n">
        <v>2.55</v>
      </c>
      <c r="G504" s="7" t="str">
        <f aca="false">_xlfn.XLOOKUP(D504,Catalog!$B$2:$B$4102,Catalog!$A$2:$A$4102,"NOT IN CATALOG")</f>
        <v>COFFEE MUG APPLES DESIGN</v>
      </c>
      <c r="H504" s="7" t="n">
        <f aca="false">_xlfn.IFNA(VLOOKUP(D504,Catalog!$B$2:$C$4102,2,FALSE()),"")</f>
        <v>2.55</v>
      </c>
      <c r="I504" s="7" t="str">
        <f aca="false">HLOOKUP(C504,Regions!$B$1:$S$2,2,FALSE())</f>
        <v>EU</v>
      </c>
      <c r="J504" s="7" t="n">
        <f aca="false">E504*F504</f>
        <v>61.2</v>
      </c>
      <c r="K504" s="8" t="n">
        <f aca="false">IF(H504="","",1-F504/H504)</f>
        <v>0</v>
      </c>
    </row>
    <row r="505" customFormat="false" ht="15" hidden="false" customHeight="false" outlineLevel="0" collapsed="false">
      <c r="A505" s="0" t="s">
        <v>437</v>
      </c>
      <c r="B505" s="6" t="n">
        <v>40882.6861111111</v>
      </c>
      <c r="C505" s="0" t="s">
        <v>81</v>
      </c>
      <c r="D505" s="0" t="s">
        <v>125</v>
      </c>
      <c r="E505" s="0" t="n">
        <v>12</v>
      </c>
      <c r="F505" s="0" t="n">
        <v>1.65</v>
      </c>
      <c r="G505" s="7" t="str">
        <f aca="false">_xlfn.XLOOKUP(D505,Catalog!$B$2:$B$4102,Catalog!$A$2:$A$4102,"NOT IN CATALOG")</f>
        <v>CHILDREN'S SPACEBOY MUG</v>
      </c>
      <c r="H505" s="7" t="n">
        <f aca="false">_xlfn.IFNA(VLOOKUP(D505,Catalog!$B$2:$C$4102,2,FALSE()),"")</f>
        <v>1.65</v>
      </c>
      <c r="I505" s="7" t="str">
        <f aca="false">HLOOKUP(C505,Regions!$B$1:$S$2,2,FALSE())</f>
        <v>EU</v>
      </c>
      <c r="J505" s="7" t="n">
        <f aca="false">E505*F505</f>
        <v>19.8</v>
      </c>
      <c r="K505" s="8" t="n">
        <f aca="false">IF(H505="","",1-F505/H505)</f>
        <v>0</v>
      </c>
    </row>
    <row r="506" customFormat="false" ht="15" hidden="false" customHeight="false" outlineLevel="0" collapsed="false">
      <c r="A506" s="0" t="s">
        <v>437</v>
      </c>
      <c r="B506" s="6" t="n">
        <v>40882.6861111111</v>
      </c>
      <c r="C506" s="0" t="s">
        <v>81</v>
      </c>
      <c r="D506" s="0" t="s">
        <v>439</v>
      </c>
      <c r="E506" s="0" t="n">
        <v>12</v>
      </c>
      <c r="F506" s="0" t="n">
        <v>3.25</v>
      </c>
      <c r="G506" s="7" t="str">
        <f aca="false">_xlfn.XLOOKUP(D506,Catalog!$B$2:$B$4102,Catalog!$A$2:$A$4102,"NOT IN CATALOG")</f>
        <v>SET OF 2 TEA TOWELS APPLE AND PEARS</v>
      </c>
      <c r="H506" s="7" t="n">
        <f aca="false">_xlfn.IFNA(VLOOKUP(D506,Catalog!$B$2:$C$4102,2,FALSE()),"")</f>
        <v>2.95</v>
      </c>
      <c r="I506" s="7" t="str">
        <f aca="false">HLOOKUP(C506,Regions!$B$1:$S$2,2,FALSE())</f>
        <v>EU</v>
      </c>
      <c r="J506" s="7" t="n">
        <f aca="false">E506*F506</f>
        <v>39</v>
      </c>
      <c r="K506" s="8" t="n">
        <f aca="false">IF(H506="","",1-F506/H506)</f>
        <v>-0.101694915254237</v>
      </c>
    </row>
    <row r="507" customFormat="false" ht="15" hidden="false" customHeight="false" outlineLevel="0" collapsed="false">
      <c r="A507" s="0" t="s">
        <v>437</v>
      </c>
      <c r="B507" s="6" t="n">
        <v>40882.6861111111</v>
      </c>
      <c r="C507" s="0" t="s">
        <v>81</v>
      </c>
      <c r="D507" s="0" t="s">
        <v>440</v>
      </c>
      <c r="E507" s="0" t="n">
        <v>12</v>
      </c>
      <c r="F507" s="0" t="n">
        <v>1.65</v>
      </c>
      <c r="G507" s="7" t="str">
        <f aca="false">_xlfn.XLOOKUP(D507,Catalog!$B$2:$B$4102,Catalog!$A$2:$A$4102,"NOT IN CATALOG")</f>
        <v>CHILDREN'S CIRCUS PARADE MUG</v>
      </c>
      <c r="H507" s="7" t="n">
        <f aca="false">_xlfn.IFNA(VLOOKUP(D507,Catalog!$B$2:$C$4102,2,FALSE()),"")</f>
        <v>1.65</v>
      </c>
      <c r="I507" s="7" t="str">
        <f aca="false">HLOOKUP(C507,Regions!$B$1:$S$2,2,FALSE())</f>
        <v>EU</v>
      </c>
      <c r="J507" s="7" t="n">
        <f aca="false">E507*F507</f>
        <v>19.8</v>
      </c>
      <c r="K507" s="8" t="n">
        <f aca="false">IF(H507="","",1-F507/H507)</f>
        <v>0</v>
      </c>
    </row>
    <row r="508" customFormat="false" ht="15" hidden="false" customHeight="false" outlineLevel="0" collapsed="false">
      <c r="A508" s="0" t="s">
        <v>437</v>
      </c>
      <c r="B508" s="6" t="n">
        <v>40882.6861111111</v>
      </c>
      <c r="C508" s="0" t="s">
        <v>81</v>
      </c>
      <c r="D508" s="0" t="s">
        <v>388</v>
      </c>
      <c r="E508" s="0" t="n">
        <v>4</v>
      </c>
      <c r="F508" s="0" t="n">
        <v>4.15</v>
      </c>
      <c r="G508" s="7" t="str">
        <f aca="false">_xlfn.XLOOKUP(D508,Catalog!$B$2:$B$4102,Catalog!$A$2:$A$4102,"NOT IN CATALOG")</f>
        <v>RED 3 PIECE MINI DOTS CUTLERY SET</v>
      </c>
      <c r="H508" s="7" t="n">
        <f aca="false">_xlfn.IFNA(VLOOKUP(D508,Catalog!$B$2:$C$4102,2,FALSE()),"")</f>
        <v>3.75</v>
      </c>
      <c r="I508" s="7" t="str">
        <f aca="false">HLOOKUP(C508,Regions!$B$1:$S$2,2,FALSE())</f>
        <v>EU</v>
      </c>
      <c r="J508" s="7" t="n">
        <f aca="false">E508*F508</f>
        <v>16.6</v>
      </c>
      <c r="K508" s="8" t="n">
        <f aca="false">IF(H508="","",1-F508/H508)</f>
        <v>-0.106666666666667</v>
      </c>
    </row>
    <row r="509" customFormat="false" ht="15" hidden="false" customHeight="false" outlineLevel="0" collapsed="false">
      <c r="A509" s="0" t="s">
        <v>437</v>
      </c>
      <c r="B509" s="6" t="n">
        <v>40882.6861111111</v>
      </c>
      <c r="C509" s="0" t="s">
        <v>81</v>
      </c>
      <c r="D509" s="0" t="s">
        <v>94</v>
      </c>
      <c r="E509" s="0" t="n">
        <v>4</v>
      </c>
      <c r="F509" s="0" t="n">
        <v>4.15</v>
      </c>
      <c r="G509" s="7" t="str">
        <f aca="false">_xlfn.XLOOKUP(D509,Catalog!$B$2:$B$4102,Catalog!$A$2:$A$4102,"NOT IN CATALOG")</f>
        <v>PINK 3 PIECE MINI DOTS CUTLERY SET</v>
      </c>
      <c r="H509" s="7" t="n">
        <f aca="false">_xlfn.IFNA(VLOOKUP(D509,Catalog!$B$2:$C$4102,2,FALSE()),"")</f>
        <v>3.75</v>
      </c>
      <c r="I509" s="7" t="str">
        <f aca="false">HLOOKUP(C509,Regions!$B$1:$S$2,2,FALSE())</f>
        <v>EU</v>
      </c>
      <c r="J509" s="7" t="n">
        <f aca="false">E509*F509</f>
        <v>16.6</v>
      </c>
      <c r="K509" s="8" t="n">
        <f aca="false">IF(H509="","",1-F509/H509)</f>
        <v>-0.106666666666667</v>
      </c>
    </row>
    <row r="510" customFormat="false" ht="15" hidden="false" customHeight="false" outlineLevel="0" collapsed="false">
      <c r="A510" s="0" t="s">
        <v>437</v>
      </c>
      <c r="B510" s="6" t="n">
        <v>40882.6861111111</v>
      </c>
      <c r="C510" s="0" t="s">
        <v>81</v>
      </c>
      <c r="D510" s="0" t="s">
        <v>93</v>
      </c>
      <c r="E510" s="0" t="n">
        <v>4</v>
      </c>
      <c r="F510" s="0" t="n">
        <v>4.15</v>
      </c>
      <c r="G510" s="7" t="str">
        <f aca="false">_xlfn.XLOOKUP(D510,Catalog!$B$2:$B$4102,Catalog!$A$2:$A$4102,"NOT IN CATALOG")</f>
        <v>BLUE 3 PIECE MINI DOTS CUTLERY SET</v>
      </c>
      <c r="H510" s="7" t="n">
        <f aca="false">_xlfn.IFNA(VLOOKUP(D510,Catalog!$B$2:$C$4102,2,FALSE()),"")</f>
        <v>3.75</v>
      </c>
      <c r="I510" s="7" t="str">
        <f aca="false">HLOOKUP(C510,Regions!$B$1:$S$2,2,FALSE())</f>
        <v>EU</v>
      </c>
      <c r="J510" s="7" t="n">
        <f aca="false">E510*F510</f>
        <v>16.6</v>
      </c>
      <c r="K510" s="8" t="n">
        <f aca="false">IF(H510="","",1-F510/H510)</f>
        <v>-0.106666666666667</v>
      </c>
    </row>
    <row r="511" customFormat="false" ht="15" hidden="false" customHeight="false" outlineLevel="0" collapsed="false">
      <c r="A511" s="0" t="s">
        <v>437</v>
      </c>
      <c r="B511" s="6" t="n">
        <v>40882.6861111111</v>
      </c>
      <c r="C511" s="0" t="s">
        <v>81</v>
      </c>
      <c r="D511" s="0" t="s">
        <v>441</v>
      </c>
      <c r="E511" s="0" t="n">
        <v>6</v>
      </c>
      <c r="F511" s="0" t="n">
        <v>2.95</v>
      </c>
      <c r="G511" s="7" t="str">
        <f aca="false">_xlfn.XLOOKUP(D511,Catalog!$B$2:$B$4102,Catalog!$A$2:$A$4102,"NOT IN CATALOG")</f>
        <v>ROUND SNACK BOXES SET OF 4 FRUITS</v>
      </c>
      <c r="H511" s="7" t="n">
        <f aca="false">_xlfn.IFNA(VLOOKUP(D511,Catalog!$B$2:$C$4102,2,FALSE()),"")</f>
        <v>2.95</v>
      </c>
      <c r="I511" s="7" t="str">
        <f aca="false">HLOOKUP(C511,Regions!$B$1:$S$2,2,FALSE())</f>
        <v>EU</v>
      </c>
      <c r="J511" s="7" t="n">
        <f aca="false">E511*F511</f>
        <v>17.7</v>
      </c>
      <c r="K511" s="8" t="n">
        <f aca="false">IF(H511="","",1-F511/H511)</f>
        <v>0</v>
      </c>
    </row>
    <row r="512" customFormat="false" ht="15" hidden="false" customHeight="false" outlineLevel="0" collapsed="false">
      <c r="A512" s="0" t="s">
        <v>437</v>
      </c>
      <c r="B512" s="6" t="n">
        <v>40882.6861111111</v>
      </c>
      <c r="C512" s="0" t="s">
        <v>81</v>
      </c>
      <c r="D512" s="0" t="s">
        <v>442</v>
      </c>
      <c r="E512" s="0" t="n">
        <v>4</v>
      </c>
      <c r="F512" s="0" t="n">
        <v>4.95</v>
      </c>
      <c r="G512" s="7" t="str">
        <f aca="false">_xlfn.XLOOKUP(D512,Catalog!$B$2:$B$4102,Catalog!$A$2:$A$4102,"NOT IN CATALOG")</f>
        <v>NOT IN CATALOG</v>
      </c>
      <c r="H512" s="7" t="str">
        <f aca="false">_xlfn.IFNA(VLOOKUP(D512,Catalog!$B$2:$C$4102,2,FALSE()),"")</f>
        <v/>
      </c>
      <c r="I512" s="7" t="str">
        <f aca="false">HLOOKUP(C512,Regions!$B$1:$S$2,2,FALSE())</f>
        <v>EU</v>
      </c>
      <c r="J512" s="7" t="n">
        <f aca="false">E512*F512</f>
        <v>19.8</v>
      </c>
      <c r="K512" s="8" t="str">
        <f aca="false">IF(H512="","",1-F512/H512)</f>
        <v/>
      </c>
    </row>
    <row r="513" customFormat="false" ht="15" hidden="false" customHeight="false" outlineLevel="0" collapsed="false">
      <c r="A513" s="0" t="s">
        <v>437</v>
      </c>
      <c r="B513" s="6" t="n">
        <v>40882.6861111111</v>
      </c>
      <c r="C513" s="0" t="s">
        <v>81</v>
      </c>
      <c r="D513" s="0" t="s">
        <v>372</v>
      </c>
      <c r="E513" s="0" t="n">
        <v>6</v>
      </c>
      <c r="F513" s="0" t="n">
        <v>2.95</v>
      </c>
      <c r="G513" s="7" t="str">
        <f aca="false">_xlfn.XLOOKUP(D513,Catalog!$B$2:$B$4102,Catalog!$A$2:$A$4102,"NOT IN CATALOG")</f>
        <v>PAPER BUNTING RETRO SPOTS</v>
      </c>
      <c r="H513" s="7" t="n">
        <f aca="false">_xlfn.IFNA(VLOOKUP(D513,Catalog!$B$2:$C$4102,2,FALSE()),"")</f>
        <v>2.95</v>
      </c>
      <c r="I513" s="7" t="str">
        <f aca="false">HLOOKUP(C513,Regions!$B$1:$S$2,2,FALSE())</f>
        <v>EU</v>
      </c>
      <c r="J513" s="7" t="n">
        <f aca="false">E513*F513</f>
        <v>17.7</v>
      </c>
      <c r="K513" s="8" t="n">
        <f aca="false">IF(H513="","",1-F513/H513)</f>
        <v>0</v>
      </c>
    </row>
    <row r="514" customFormat="false" ht="15" hidden="false" customHeight="false" outlineLevel="0" collapsed="false">
      <c r="A514" s="0" t="s">
        <v>437</v>
      </c>
      <c r="B514" s="6" t="n">
        <v>40882.6861111111</v>
      </c>
      <c r="C514" s="0" t="s">
        <v>81</v>
      </c>
      <c r="D514" s="0" t="s">
        <v>314</v>
      </c>
      <c r="E514" s="0" t="n">
        <v>10</v>
      </c>
      <c r="F514" s="0" t="n">
        <v>1.25</v>
      </c>
      <c r="G514" s="7" t="str">
        <f aca="false">_xlfn.XLOOKUP(D514,Catalog!$B$2:$B$4102,Catalog!$A$2:$A$4102,"NOT IN CATALOG")</f>
        <v>RED SPOTTY OVEN GLOVE</v>
      </c>
      <c r="H514" s="7" t="n">
        <f aca="false">_xlfn.IFNA(VLOOKUP(D514,Catalog!$B$2:$C$4102,2,FALSE()),"")</f>
        <v>1.25</v>
      </c>
      <c r="I514" s="7" t="str">
        <f aca="false">HLOOKUP(C514,Regions!$B$1:$S$2,2,FALSE())</f>
        <v>EU</v>
      </c>
      <c r="J514" s="7" t="n">
        <f aca="false">E514*F514</f>
        <v>12.5</v>
      </c>
      <c r="K514" s="8" t="n">
        <f aca="false">IF(H514="","",1-F514/H514)</f>
        <v>0</v>
      </c>
    </row>
    <row r="515" customFormat="false" ht="15" hidden="false" customHeight="false" outlineLevel="0" collapsed="false">
      <c r="A515" s="0" t="s">
        <v>437</v>
      </c>
      <c r="B515" s="6" t="n">
        <v>40882.6861111111</v>
      </c>
      <c r="C515" s="0" t="s">
        <v>81</v>
      </c>
      <c r="D515" s="0" t="s">
        <v>443</v>
      </c>
      <c r="E515" s="0" t="n">
        <v>6</v>
      </c>
      <c r="F515" s="0" t="n">
        <v>3.25</v>
      </c>
      <c r="G515" s="7" t="str">
        <f aca="false">_xlfn.XLOOKUP(D515,Catalog!$B$2:$B$4102,Catalog!$A$2:$A$4102,"NOT IN CATALOG")</f>
        <v>SET/2 RED SPOTTY TEA TOWELS</v>
      </c>
      <c r="H515" s="7" t="n">
        <f aca="false">_xlfn.IFNA(VLOOKUP(D515,Catalog!$B$2:$C$4102,2,FALSE()),"")</f>
        <v>2.95</v>
      </c>
      <c r="I515" s="7" t="str">
        <f aca="false">HLOOKUP(C515,Regions!$B$1:$S$2,2,FALSE())</f>
        <v>EU</v>
      </c>
      <c r="J515" s="7" t="n">
        <f aca="false">E515*F515</f>
        <v>19.5</v>
      </c>
      <c r="K515" s="8" t="n">
        <f aca="false">IF(H515="","",1-F515/H515)</f>
        <v>-0.101694915254237</v>
      </c>
    </row>
    <row r="516" customFormat="false" ht="15" hidden="false" customHeight="false" outlineLevel="0" collapsed="false">
      <c r="A516" s="0" t="s">
        <v>437</v>
      </c>
      <c r="B516" s="6" t="n">
        <v>40882.6861111111</v>
      </c>
      <c r="C516" s="0" t="s">
        <v>81</v>
      </c>
      <c r="D516" s="0" t="s">
        <v>381</v>
      </c>
      <c r="E516" s="0" t="n">
        <v>2</v>
      </c>
      <c r="F516" s="0" t="n">
        <v>8.5</v>
      </c>
      <c r="G516" s="7" t="str">
        <f aca="false">_xlfn.XLOOKUP(D516,Catalog!$B$2:$B$4102,Catalog!$A$2:$A$4102,"NOT IN CATALOG")</f>
        <v>RED KITCHEN SCALES</v>
      </c>
      <c r="H516" s="7" t="n">
        <f aca="false">_xlfn.IFNA(VLOOKUP(D516,Catalog!$B$2:$C$4102,2,FALSE()),"")</f>
        <v>8.5</v>
      </c>
      <c r="I516" s="7" t="str">
        <f aca="false">HLOOKUP(C516,Regions!$B$1:$S$2,2,FALSE())</f>
        <v>EU</v>
      </c>
      <c r="J516" s="7" t="n">
        <f aca="false">E516*F516</f>
        <v>17</v>
      </c>
      <c r="K516" s="8" t="n">
        <f aca="false">IF(H516="","",1-F516/H516)</f>
        <v>0</v>
      </c>
    </row>
    <row r="517" customFormat="false" ht="15" hidden="false" customHeight="false" outlineLevel="0" collapsed="false">
      <c r="A517" s="0" t="s">
        <v>437</v>
      </c>
      <c r="B517" s="6" t="n">
        <v>40882.6861111111</v>
      </c>
      <c r="C517" s="0" t="s">
        <v>81</v>
      </c>
      <c r="D517" s="0" t="s">
        <v>222</v>
      </c>
      <c r="E517" s="0" t="n">
        <v>2</v>
      </c>
      <c r="F517" s="0" t="n">
        <v>8.5</v>
      </c>
      <c r="G517" s="7" t="str">
        <f aca="false">_xlfn.XLOOKUP(D517,Catalog!$B$2:$B$4102,Catalog!$A$2:$A$4102,"NOT IN CATALOG")</f>
        <v>IVORY KITCHEN SCALES</v>
      </c>
      <c r="H517" s="7" t="n">
        <f aca="false">_xlfn.IFNA(VLOOKUP(D517,Catalog!$B$2:$C$4102,2,FALSE()),"")</f>
        <v>8.5</v>
      </c>
      <c r="I517" s="7" t="str">
        <f aca="false">HLOOKUP(C517,Regions!$B$1:$S$2,2,FALSE())</f>
        <v>EU</v>
      </c>
      <c r="J517" s="7" t="n">
        <f aca="false">E517*F517</f>
        <v>17</v>
      </c>
      <c r="K517" s="8" t="n">
        <f aca="false">IF(H517="","",1-F517/H517)</f>
        <v>0</v>
      </c>
    </row>
    <row r="518" customFormat="false" ht="15" hidden="false" customHeight="false" outlineLevel="0" collapsed="false">
      <c r="A518" s="0" t="s">
        <v>437</v>
      </c>
      <c r="B518" s="6" t="n">
        <v>40882.6861111111</v>
      </c>
      <c r="C518" s="0" t="s">
        <v>81</v>
      </c>
      <c r="D518" s="0" t="s">
        <v>444</v>
      </c>
      <c r="E518" s="0" t="n">
        <v>2</v>
      </c>
      <c r="F518" s="0" t="n">
        <v>8.5</v>
      </c>
      <c r="G518" s="7" t="str">
        <f aca="false">_xlfn.XLOOKUP(D518,Catalog!$B$2:$B$4102,Catalog!$A$2:$A$4102,"NOT IN CATALOG")</f>
        <v>MINT KITCHEN SCALES</v>
      </c>
      <c r="H518" s="7" t="n">
        <f aca="false">_xlfn.IFNA(VLOOKUP(D518,Catalog!$B$2:$C$4102,2,FALSE()),"")</f>
        <v>8.5</v>
      </c>
      <c r="I518" s="7" t="str">
        <f aca="false">HLOOKUP(C518,Regions!$B$1:$S$2,2,FALSE())</f>
        <v>EU</v>
      </c>
      <c r="J518" s="7" t="n">
        <f aca="false">E518*F518</f>
        <v>17</v>
      </c>
      <c r="K518" s="8" t="n">
        <f aca="false">IF(H518="","",1-F518/H518)</f>
        <v>0</v>
      </c>
    </row>
    <row r="519" customFormat="false" ht="15" hidden="false" customHeight="false" outlineLevel="0" collapsed="false">
      <c r="A519" s="0" t="s">
        <v>437</v>
      </c>
      <c r="B519" s="6" t="n">
        <v>40882.6861111111</v>
      </c>
      <c r="C519" s="0" t="s">
        <v>81</v>
      </c>
      <c r="D519" s="0" t="s">
        <v>223</v>
      </c>
      <c r="E519" s="0" t="n">
        <v>2</v>
      </c>
      <c r="F519" s="0" t="n">
        <v>8.5</v>
      </c>
      <c r="G519" s="7" t="str">
        <f aca="false">_xlfn.XLOOKUP(D519,Catalog!$B$2:$B$4102,Catalog!$A$2:$A$4102,"NOT IN CATALOG")</f>
        <v>BLACK KITCHEN SCALES</v>
      </c>
      <c r="H519" s="7" t="n">
        <f aca="false">_xlfn.IFNA(VLOOKUP(D519,Catalog!$B$2:$C$4102,2,FALSE()),"")</f>
        <v>8.5</v>
      </c>
      <c r="I519" s="7" t="str">
        <f aca="false">HLOOKUP(C519,Regions!$B$1:$S$2,2,FALSE())</f>
        <v>EU</v>
      </c>
      <c r="J519" s="7" t="n">
        <f aca="false">E519*F519</f>
        <v>17</v>
      </c>
      <c r="K519" s="8" t="n">
        <f aca="false">IF(H519="","",1-F519/H519)</f>
        <v>0</v>
      </c>
    </row>
    <row r="520" customFormat="false" ht="15" hidden="false" customHeight="false" outlineLevel="0" collapsed="false">
      <c r="A520" s="0" t="s">
        <v>437</v>
      </c>
      <c r="B520" s="6" t="n">
        <v>40882.6861111111</v>
      </c>
      <c r="C520" s="0" t="s">
        <v>81</v>
      </c>
      <c r="D520" s="0" t="s">
        <v>445</v>
      </c>
      <c r="E520" s="0" t="n">
        <v>12</v>
      </c>
      <c r="F520" s="0" t="n">
        <v>0.65</v>
      </c>
      <c r="G520" s="7" t="str">
        <f aca="false">_xlfn.XLOOKUP(D520,Catalog!$B$2:$B$4102,Catalog!$A$2:$A$4102,"NOT IN CATALOG")</f>
        <v>SET/6 RED SPOTTY PAPER CUPS</v>
      </c>
      <c r="H520" s="7" t="n">
        <f aca="false">_xlfn.IFNA(VLOOKUP(D520,Catalog!$B$2:$C$4102,2,FALSE()),"")</f>
        <v>0.65</v>
      </c>
      <c r="I520" s="7" t="str">
        <f aca="false">HLOOKUP(C520,Regions!$B$1:$S$2,2,FALSE())</f>
        <v>EU</v>
      </c>
      <c r="J520" s="7" t="n">
        <f aca="false">E520*F520</f>
        <v>7.8</v>
      </c>
      <c r="K520" s="8" t="n">
        <f aca="false">IF(H520="","",1-F520/H520)</f>
        <v>0</v>
      </c>
    </row>
    <row r="521" customFormat="false" ht="15" hidden="false" customHeight="false" outlineLevel="0" collapsed="false">
      <c r="A521" s="0" t="s">
        <v>437</v>
      </c>
      <c r="B521" s="6" t="n">
        <v>40882.6861111111</v>
      </c>
      <c r="C521" s="0" t="s">
        <v>81</v>
      </c>
      <c r="D521" s="0" t="s">
        <v>446</v>
      </c>
      <c r="E521" s="0" t="n">
        <v>12</v>
      </c>
      <c r="F521" s="0" t="n">
        <v>0.65</v>
      </c>
      <c r="G521" s="7" t="str">
        <f aca="false">_xlfn.XLOOKUP(D521,Catalog!$B$2:$B$4102,Catalog!$A$2:$A$4102,"NOT IN CATALOG")</f>
        <v>PACK OF 6 SKULL PAPER CUPS</v>
      </c>
      <c r="H521" s="7" t="n">
        <f aca="false">_xlfn.IFNA(VLOOKUP(D521,Catalog!$B$2:$C$4102,2,FALSE()),"")</f>
        <v>0.65</v>
      </c>
      <c r="I521" s="7" t="str">
        <f aca="false">HLOOKUP(C521,Regions!$B$1:$S$2,2,FALSE())</f>
        <v>EU</v>
      </c>
      <c r="J521" s="7" t="n">
        <f aca="false">E521*F521</f>
        <v>7.8</v>
      </c>
      <c r="K521" s="8" t="n">
        <f aca="false">IF(H521="","",1-F521/H521)</f>
        <v>0</v>
      </c>
    </row>
    <row r="522" customFormat="false" ht="15" hidden="false" customHeight="false" outlineLevel="0" collapsed="false">
      <c r="A522" s="0" t="s">
        <v>437</v>
      </c>
      <c r="B522" s="6" t="n">
        <v>40882.6861111111</v>
      </c>
      <c r="C522" s="0" t="s">
        <v>81</v>
      </c>
      <c r="D522" s="0" t="s">
        <v>447</v>
      </c>
      <c r="E522" s="0" t="n">
        <v>12</v>
      </c>
      <c r="F522" s="0" t="n">
        <v>0.85</v>
      </c>
      <c r="G522" s="7" t="str">
        <f aca="false">_xlfn.XLOOKUP(D522,Catalog!$B$2:$B$4102,Catalog!$A$2:$A$4102,"NOT IN CATALOG")</f>
        <v>PACK OF 6 SKULL PAPER PLATES</v>
      </c>
      <c r="H522" s="7" t="n">
        <f aca="false">_xlfn.IFNA(VLOOKUP(D522,Catalog!$B$2:$C$4102,2,FALSE()),"")</f>
        <v>0.85</v>
      </c>
      <c r="I522" s="7" t="str">
        <f aca="false">HLOOKUP(C522,Regions!$B$1:$S$2,2,FALSE())</f>
        <v>EU</v>
      </c>
      <c r="J522" s="7" t="n">
        <f aca="false">E522*F522</f>
        <v>10.2</v>
      </c>
      <c r="K522" s="8" t="n">
        <f aca="false">IF(H522="","",1-F522/H522)</f>
        <v>0</v>
      </c>
    </row>
    <row r="523" customFormat="false" ht="15" hidden="false" customHeight="false" outlineLevel="0" collapsed="false">
      <c r="A523" s="0" t="s">
        <v>437</v>
      </c>
      <c r="B523" s="6" t="n">
        <v>40882.6861111111</v>
      </c>
      <c r="C523" s="0" t="s">
        <v>81</v>
      </c>
      <c r="D523" s="0" t="s">
        <v>448</v>
      </c>
      <c r="E523" s="0" t="n">
        <v>12</v>
      </c>
      <c r="F523" s="0" t="n">
        <v>0.85</v>
      </c>
      <c r="G523" s="7" t="str">
        <f aca="false">_xlfn.XLOOKUP(D523,Catalog!$B$2:$B$4102,Catalog!$A$2:$A$4102,"NOT IN CATALOG")</f>
        <v>SET/6 RED SPOTTY PAPER PLATES</v>
      </c>
      <c r="H523" s="7" t="n">
        <f aca="false">_xlfn.IFNA(VLOOKUP(D523,Catalog!$B$2:$C$4102,2,FALSE()),"")</f>
        <v>0.85</v>
      </c>
      <c r="I523" s="7" t="str">
        <f aca="false">HLOOKUP(C523,Regions!$B$1:$S$2,2,FALSE())</f>
        <v>EU</v>
      </c>
      <c r="J523" s="7" t="n">
        <f aca="false">E523*F523</f>
        <v>10.2</v>
      </c>
      <c r="K523" s="8" t="n">
        <f aca="false">IF(H523="","",1-F523/H523)</f>
        <v>0</v>
      </c>
    </row>
    <row r="524" customFormat="false" ht="15" hidden="false" customHeight="false" outlineLevel="0" collapsed="false">
      <c r="A524" s="0" t="s">
        <v>437</v>
      </c>
      <c r="B524" s="6" t="n">
        <v>40882.6861111111</v>
      </c>
      <c r="C524" s="0" t="s">
        <v>81</v>
      </c>
      <c r="D524" s="0" t="s">
        <v>449</v>
      </c>
      <c r="E524" s="0" t="n">
        <v>12</v>
      </c>
      <c r="F524" s="0" t="n">
        <v>0.85</v>
      </c>
      <c r="G524" s="7" t="str">
        <f aca="false">_xlfn.XLOOKUP(D524,Catalog!$B$2:$B$4102,Catalog!$A$2:$A$4102,"NOT IN CATALOG")</f>
        <v>PACK OF 20 SKULL PAPER NAPKINS</v>
      </c>
      <c r="H524" s="7" t="n">
        <f aca="false">_xlfn.IFNA(VLOOKUP(D524,Catalog!$B$2:$C$4102,2,FALSE()),"")</f>
        <v>0.85</v>
      </c>
      <c r="I524" s="7" t="str">
        <f aca="false">HLOOKUP(C524,Regions!$B$1:$S$2,2,FALSE())</f>
        <v>EU</v>
      </c>
      <c r="J524" s="7" t="n">
        <f aca="false">E524*F524</f>
        <v>10.2</v>
      </c>
      <c r="K524" s="8" t="n">
        <f aca="false">IF(H524="","",1-F524/H524)</f>
        <v>0</v>
      </c>
    </row>
    <row r="525" customFormat="false" ht="15" hidden="false" customHeight="false" outlineLevel="0" collapsed="false">
      <c r="A525" s="0" t="s">
        <v>437</v>
      </c>
      <c r="B525" s="6" t="n">
        <v>40882.6861111111</v>
      </c>
      <c r="C525" s="0" t="s">
        <v>81</v>
      </c>
      <c r="D525" s="0" t="s">
        <v>450</v>
      </c>
      <c r="E525" s="0" t="n">
        <v>24</v>
      </c>
      <c r="F525" s="0" t="n">
        <v>0.85</v>
      </c>
      <c r="G525" s="7" t="str">
        <f aca="false">_xlfn.XLOOKUP(D525,Catalog!$B$2:$B$4102,Catalog!$A$2:$A$4102,"NOT IN CATALOG")</f>
        <v>SET/20 RED SPOTTY PAPER NAPKINS</v>
      </c>
      <c r="H525" s="7" t="n">
        <f aca="false">_xlfn.IFNA(VLOOKUP(D525,Catalog!$B$2:$C$4102,2,FALSE()),"")</f>
        <v>0.85</v>
      </c>
      <c r="I525" s="7" t="str">
        <f aca="false">HLOOKUP(C525,Regions!$B$1:$S$2,2,FALSE())</f>
        <v>EU</v>
      </c>
      <c r="J525" s="7" t="n">
        <f aca="false">E525*F525</f>
        <v>20.4</v>
      </c>
      <c r="K525" s="8" t="n">
        <f aca="false">IF(H525="","",1-F525/H525)</f>
        <v>0</v>
      </c>
    </row>
    <row r="526" customFormat="false" ht="15" hidden="false" customHeight="false" outlineLevel="0" collapsed="false">
      <c r="A526" s="0" t="s">
        <v>437</v>
      </c>
      <c r="B526" s="6" t="n">
        <v>40882.6861111111</v>
      </c>
      <c r="C526" s="0" t="s">
        <v>81</v>
      </c>
      <c r="D526" s="0" t="s">
        <v>88</v>
      </c>
      <c r="E526" s="0" t="n">
        <v>100</v>
      </c>
      <c r="F526" s="0" t="n">
        <v>1.06</v>
      </c>
      <c r="G526" s="7" t="str">
        <f aca="false">_xlfn.XLOOKUP(D526,Catalog!$B$2:$B$4102,Catalog!$A$2:$A$4102,"NOT IN CATALOG")</f>
        <v>SET OF 9 HEART SHAPED BALLOONS</v>
      </c>
      <c r="H526" s="7" t="n">
        <f aca="false">_xlfn.IFNA(VLOOKUP(D526,Catalog!$B$2:$C$4102,2,FALSE()),"")</f>
        <v>1.25</v>
      </c>
      <c r="I526" s="7" t="str">
        <f aca="false">HLOOKUP(C526,Regions!$B$1:$S$2,2,FALSE())</f>
        <v>EU</v>
      </c>
      <c r="J526" s="7" t="n">
        <f aca="false">E526*F526</f>
        <v>106</v>
      </c>
      <c r="K526" s="8" t="n">
        <f aca="false">IF(H526="","",1-F526/H526)</f>
        <v>0.152</v>
      </c>
    </row>
    <row r="527" customFormat="false" ht="15" hidden="false" customHeight="false" outlineLevel="0" collapsed="false">
      <c r="A527" s="0" t="s">
        <v>437</v>
      </c>
      <c r="B527" s="6" t="n">
        <v>40882.6861111111</v>
      </c>
      <c r="C527" s="0" t="s">
        <v>81</v>
      </c>
      <c r="D527" s="0" t="s">
        <v>451</v>
      </c>
      <c r="E527" s="0" t="n">
        <v>24</v>
      </c>
      <c r="F527" s="0" t="n">
        <v>2.08</v>
      </c>
      <c r="G527" s="7" t="str">
        <f aca="false">_xlfn.XLOOKUP(D527,Catalog!$B$2:$B$4102,Catalog!$A$2:$A$4102,"NOT IN CATALOG")</f>
        <v>NOT IN CATALOG</v>
      </c>
      <c r="H527" s="7" t="str">
        <f aca="false">_xlfn.IFNA(VLOOKUP(D527,Catalog!$B$2:$C$4102,2,FALSE()),"")</f>
        <v/>
      </c>
      <c r="I527" s="7" t="str">
        <f aca="false">HLOOKUP(C527,Regions!$B$1:$S$2,2,FALSE())</f>
        <v>EU</v>
      </c>
      <c r="J527" s="7" t="n">
        <f aca="false">E527*F527</f>
        <v>49.92</v>
      </c>
      <c r="K527" s="8" t="str">
        <f aca="false">IF(H527="","",1-F527/H527)</f>
        <v/>
      </c>
    </row>
    <row r="528" customFormat="false" ht="15" hidden="false" customHeight="false" outlineLevel="0" collapsed="false">
      <c r="A528" s="0" t="s">
        <v>437</v>
      </c>
      <c r="B528" s="6" t="n">
        <v>40882.6861111111</v>
      </c>
      <c r="C528" s="0" t="s">
        <v>81</v>
      </c>
      <c r="D528" s="0" t="s">
        <v>452</v>
      </c>
      <c r="E528" s="0" t="n">
        <v>40</v>
      </c>
      <c r="F528" s="0" t="n">
        <v>0.85</v>
      </c>
      <c r="G528" s="7" t="str">
        <f aca="false">_xlfn.XLOOKUP(D528,Catalog!$B$2:$B$4102,Catalog!$A$2:$A$4102,"NOT IN CATALOG")</f>
        <v>SET OF 9 BLACK SKULL BALLOONS</v>
      </c>
      <c r="H528" s="7" t="n">
        <f aca="false">_xlfn.IFNA(VLOOKUP(D528,Catalog!$B$2:$C$4102,2,FALSE()),"")</f>
        <v>0.85</v>
      </c>
      <c r="I528" s="7" t="str">
        <f aca="false">HLOOKUP(C528,Regions!$B$1:$S$2,2,FALSE())</f>
        <v>EU</v>
      </c>
      <c r="J528" s="7" t="n">
        <f aca="false">E528*F528</f>
        <v>34</v>
      </c>
      <c r="K528" s="8" t="n">
        <f aca="false">IF(H528="","",1-F528/H528)</f>
        <v>0</v>
      </c>
    </row>
    <row r="529" customFormat="false" ht="15" hidden="false" customHeight="false" outlineLevel="0" collapsed="false">
      <c r="A529" s="0" t="s">
        <v>437</v>
      </c>
      <c r="B529" s="6" t="n">
        <v>40882.6861111111</v>
      </c>
      <c r="C529" s="0" t="s">
        <v>81</v>
      </c>
      <c r="D529" s="0" t="s">
        <v>453</v>
      </c>
      <c r="E529" s="0" t="n">
        <v>8</v>
      </c>
      <c r="F529" s="0" t="n">
        <v>0.83</v>
      </c>
      <c r="G529" s="7" t="str">
        <f aca="false">_xlfn.XLOOKUP(D529,Catalog!$B$2:$B$4102,Catalog!$A$2:$A$4102,"NOT IN CATALOG")</f>
        <v>NOT IN CATALOG</v>
      </c>
      <c r="H529" s="7" t="str">
        <f aca="false">_xlfn.IFNA(VLOOKUP(D529,Catalog!$B$2:$C$4102,2,FALSE()),"")</f>
        <v/>
      </c>
      <c r="I529" s="7" t="str">
        <f aca="false">HLOOKUP(C529,Regions!$B$1:$S$2,2,FALSE())</f>
        <v>EU</v>
      </c>
      <c r="J529" s="7" t="n">
        <f aca="false">E529*F529</f>
        <v>6.64</v>
      </c>
      <c r="K529" s="8" t="str">
        <f aca="false">IF(H529="","",1-F529/H529)</f>
        <v/>
      </c>
    </row>
    <row r="530" customFormat="false" ht="15" hidden="false" customHeight="false" outlineLevel="0" collapsed="false">
      <c r="A530" s="0" t="s">
        <v>437</v>
      </c>
      <c r="B530" s="6" t="n">
        <v>40882.6861111111</v>
      </c>
      <c r="C530" s="0" t="s">
        <v>81</v>
      </c>
      <c r="D530" s="0" t="s">
        <v>454</v>
      </c>
      <c r="E530" s="0" t="n">
        <v>8</v>
      </c>
      <c r="F530" s="0" t="n">
        <v>0.83</v>
      </c>
      <c r="G530" s="7" t="str">
        <f aca="false">_xlfn.XLOOKUP(D530,Catalog!$B$2:$B$4102,Catalog!$A$2:$A$4102,"NOT IN CATALOG")</f>
        <v>NOT IN CATALOG</v>
      </c>
      <c r="H530" s="7" t="str">
        <f aca="false">_xlfn.IFNA(VLOOKUP(D530,Catalog!$B$2:$C$4102,2,FALSE()),"")</f>
        <v/>
      </c>
      <c r="I530" s="7" t="str">
        <f aca="false">HLOOKUP(C530,Regions!$B$1:$S$2,2,FALSE())</f>
        <v>EU</v>
      </c>
      <c r="J530" s="7" t="n">
        <f aca="false">E530*F530</f>
        <v>6.64</v>
      </c>
      <c r="K530" s="8" t="str">
        <f aca="false">IF(H530="","",1-F530/H530)</f>
        <v/>
      </c>
    </row>
    <row r="531" customFormat="false" ht="15" hidden="false" customHeight="false" outlineLevel="0" collapsed="false">
      <c r="A531" s="0" t="s">
        <v>437</v>
      </c>
      <c r="B531" s="6" t="n">
        <v>40882.6861111111</v>
      </c>
      <c r="C531" s="0" t="s">
        <v>81</v>
      </c>
      <c r="D531" s="0" t="s">
        <v>306</v>
      </c>
      <c r="E531" s="0" t="n">
        <v>6</v>
      </c>
      <c r="F531" s="0" t="n">
        <v>2.89</v>
      </c>
      <c r="G531" s="7" t="str">
        <f aca="false">_xlfn.XLOOKUP(D531,Catalog!$B$2:$B$4102,Catalog!$A$2:$A$4102,"NOT IN CATALOG")</f>
        <v>NOT IN CATALOG</v>
      </c>
      <c r="H531" s="7" t="str">
        <f aca="false">_xlfn.IFNA(VLOOKUP(D531,Catalog!$B$2:$C$4102,2,FALSE()),"")</f>
        <v/>
      </c>
      <c r="I531" s="7" t="str">
        <f aca="false">HLOOKUP(C531,Regions!$B$1:$S$2,2,FALSE())</f>
        <v>EU</v>
      </c>
      <c r="J531" s="7" t="n">
        <f aca="false">E531*F531</f>
        <v>17.34</v>
      </c>
      <c r="K531" s="8" t="str">
        <f aca="false">IF(H531="","",1-F531/H531)</f>
        <v/>
      </c>
    </row>
    <row r="532" customFormat="false" ht="15" hidden="false" customHeight="false" outlineLevel="0" collapsed="false">
      <c r="A532" s="0" t="s">
        <v>437</v>
      </c>
      <c r="B532" s="6" t="n">
        <v>40882.6861111111</v>
      </c>
      <c r="C532" s="0" t="s">
        <v>81</v>
      </c>
      <c r="D532" s="0" t="s">
        <v>455</v>
      </c>
      <c r="E532" s="0" t="n">
        <v>25</v>
      </c>
      <c r="F532" s="0" t="n">
        <v>0.42</v>
      </c>
      <c r="G532" s="7" t="str">
        <f aca="false">_xlfn.XLOOKUP(D532,Catalog!$B$2:$B$4102,Catalog!$A$2:$A$4102,"NOT IN CATALOG")</f>
        <v>NOT IN CATALOG</v>
      </c>
      <c r="H532" s="7" t="str">
        <f aca="false">_xlfn.IFNA(VLOOKUP(D532,Catalog!$B$2:$C$4102,2,FALSE()),"")</f>
        <v/>
      </c>
      <c r="I532" s="7" t="str">
        <f aca="false">HLOOKUP(C532,Regions!$B$1:$S$2,2,FALSE())</f>
        <v>EU</v>
      </c>
      <c r="J532" s="7" t="n">
        <f aca="false">E532*F532</f>
        <v>10.5</v>
      </c>
      <c r="K532" s="8" t="str">
        <f aca="false">IF(H532="","",1-F532/H532)</f>
        <v/>
      </c>
    </row>
    <row r="533" customFormat="false" ht="15" hidden="false" customHeight="false" outlineLevel="0" collapsed="false">
      <c r="A533" s="0" t="s">
        <v>437</v>
      </c>
      <c r="B533" s="6" t="n">
        <v>40882.6861111111</v>
      </c>
      <c r="C533" s="0" t="s">
        <v>81</v>
      </c>
      <c r="D533" s="0" t="s">
        <v>429</v>
      </c>
      <c r="E533" s="0" t="n">
        <v>12</v>
      </c>
      <c r="F533" s="0" t="n">
        <v>1.25</v>
      </c>
      <c r="G533" s="7" t="str">
        <f aca="false">_xlfn.XLOOKUP(D533,Catalog!$B$2:$B$4102,Catalog!$A$2:$A$4102,"NOT IN CATALOG")</f>
        <v>NOT IN CATALOG</v>
      </c>
      <c r="H533" s="7" t="str">
        <f aca="false">_xlfn.IFNA(VLOOKUP(D533,Catalog!$B$2:$C$4102,2,FALSE()),"")</f>
        <v/>
      </c>
      <c r="I533" s="7" t="str">
        <f aca="false">HLOOKUP(C533,Regions!$B$1:$S$2,2,FALSE())</f>
        <v>EU</v>
      </c>
      <c r="J533" s="7" t="n">
        <f aca="false">E533*F533</f>
        <v>15</v>
      </c>
      <c r="K533" s="8" t="str">
        <f aca="false">IF(H533="","",1-F533/H533)</f>
        <v/>
      </c>
    </row>
    <row r="534" customFormat="false" ht="15" hidden="false" customHeight="false" outlineLevel="0" collapsed="false">
      <c r="A534" s="0" t="s">
        <v>437</v>
      </c>
      <c r="B534" s="6" t="n">
        <v>40882.6861111111</v>
      </c>
      <c r="C534" s="0" t="s">
        <v>81</v>
      </c>
      <c r="D534" s="0" t="s">
        <v>117</v>
      </c>
      <c r="E534" s="0" t="n">
        <v>12</v>
      </c>
      <c r="F534" s="0" t="n">
        <v>1.25</v>
      </c>
      <c r="G534" s="7" t="str">
        <f aca="false">_xlfn.XLOOKUP(D534,Catalog!$B$2:$B$4102,Catalog!$A$2:$A$4102,"NOT IN CATALOG")</f>
        <v>NOT IN CATALOG</v>
      </c>
      <c r="H534" s="7" t="str">
        <f aca="false">_xlfn.IFNA(VLOOKUP(D534,Catalog!$B$2:$C$4102,2,FALSE()),"")</f>
        <v/>
      </c>
      <c r="I534" s="7" t="str">
        <f aca="false">HLOOKUP(C534,Regions!$B$1:$S$2,2,FALSE())</f>
        <v>EU</v>
      </c>
      <c r="J534" s="7" t="n">
        <f aca="false">E534*F534</f>
        <v>15</v>
      </c>
      <c r="K534" s="8" t="str">
        <f aca="false">IF(H534="","",1-F534/H534)</f>
        <v/>
      </c>
    </row>
    <row r="535" customFormat="false" ht="15" hidden="false" customHeight="false" outlineLevel="0" collapsed="false">
      <c r="A535" s="0" t="s">
        <v>437</v>
      </c>
      <c r="B535" s="6" t="n">
        <v>40882.6861111111</v>
      </c>
      <c r="C535" s="0" t="s">
        <v>81</v>
      </c>
      <c r="D535" s="0" t="s">
        <v>39</v>
      </c>
      <c r="E535" s="0" t="n">
        <v>5</v>
      </c>
      <c r="F535" s="0" t="n">
        <v>1</v>
      </c>
      <c r="G535" s="7" t="str">
        <f aca="false">_xlfn.XLOOKUP(D535,Catalog!$B$2:$B$4102,Catalog!$A$2:$A$4102,"NOT IN CATALOG")</f>
        <v>POSTAGE</v>
      </c>
      <c r="H535" s="7" t="n">
        <f aca="false">_xlfn.IFNA(VLOOKUP(D535,Catalog!$B$2:$C$4102,2,FALSE()),"")</f>
        <v>18</v>
      </c>
      <c r="I535" s="7" t="str">
        <f aca="false">HLOOKUP(C535,Regions!$B$1:$S$2,2,FALSE())</f>
        <v>EU</v>
      </c>
      <c r="J535" s="7" t="n">
        <f aca="false">E535*F535</f>
        <v>5</v>
      </c>
      <c r="K535" s="8" t="n">
        <f aca="false">IF(H535="","",1-F535/H535)</f>
        <v>0.944444444444444</v>
      </c>
    </row>
    <row r="536" customFormat="false" ht="15" hidden="false" customHeight="false" outlineLevel="0" collapsed="false">
      <c r="A536" s="0" t="s">
        <v>437</v>
      </c>
      <c r="B536" s="6" t="n">
        <v>40882.6861111111</v>
      </c>
      <c r="C536" s="0" t="s">
        <v>81</v>
      </c>
      <c r="D536" s="0" t="s">
        <v>456</v>
      </c>
      <c r="E536" s="0" t="n">
        <v>24</v>
      </c>
      <c r="F536" s="0" t="n">
        <v>1.25</v>
      </c>
      <c r="G536" s="7" t="str">
        <f aca="false">_xlfn.XLOOKUP(D536,Catalog!$B$2:$B$4102,Catalog!$A$2:$A$4102,"NOT IN CATALOG")</f>
        <v>NOT IN CATALOG</v>
      </c>
      <c r="H536" s="7" t="str">
        <f aca="false">_xlfn.IFNA(VLOOKUP(D536,Catalog!$B$2:$C$4102,2,FALSE()),"")</f>
        <v/>
      </c>
      <c r="I536" s="7" t="str">
        <f aca="false">HLOOKUP(C536,Regions!$B$1:$S$2,2,FALSE())</f>
        <v>EU</v>
      </c>
      <c r="J536" s="7" t="n">
        <f aca="false">E536*F536</f>
        <v>30</v>
      </c>
      <c r="K536" s="8" t="str">
        <f aca="false">IF(H536="","",1-F536/H536)</f>
        <v/>
      </c>
    </row>
    <row r="537" customFormat="false" ht="15" hidden="false" customHeight="false" outlineLevel="0" collapsed="false">
      <c r="A537" s="0" t="s">
        <v>457</v>
      </c>
      <c r="B537" s="6" t="n">
        <v>40882.6881944445</v>
      </c>
      <c r="C537" s="0" t="s">
        <v>81</v>
      </c>
      <c r="D537" s="0" t="s">
        <v>39</v>
      </c>
      <c r="E537" s="0" t="n">
        <v>5</v>
      </c>
      <c r="F537" s="0" t="n">
        <v>17</v>
      </c>
      <c r="G537" s="7" t="str">
        <f aca="false">_xlfn.XLOOKUP(D537,Catalog!$B$2:$B$4102,Catalog!$A$2:$A$4102,"NOT IN CATALOG")</f>
        <v>POSTAGE</v>
      </c>
      <c r="H537" s="7" t="n">
        <f aca="false">_xlfn.IFNA(VLOOKUP(D537,Catalog!$B$2:$C$4102,2,FALSE()),"")</f>
        <v>18</v>
      </c>
      <c r="I537" s="7" t="str">
        <f aca="false">HLOOKUP(C537,Regions!$B$1:$S$2,2,FALSE())</f>
        <v>EU</v>
      </c>
      <c r="J537" s="7" t="n">
        <f aca="false">E537*F537</f>
        <v>85</v>
      </c>
      <c r="K537" s="8" t="n">
        <f aca="false">IF(H537="","",1-F537/H537)</f>
        <v>0.0555555555555556</v>
      </c>
    </row>
    <row r="538" customFormat="false" ht="15" hidden="false" customHeight="false" outlineLevel="0" collapsed="false">
      <c r="A538" s="0" t="s">
        <v>458</v>
      </c>
      <c r="B538" s="6" t="n">
        <v>40882.7</v>
      </c>
      <c r="C538" s="0" t="s">
        <v>459</v>
      </c>
      <c r="D538" s="0" t="s">
        <v>460</v>
      </c>
      <c r="E538" s="0" t="n">
        <v>12</v>
      </c>
      <c r="F538" s="0" t="n">
        <v>0.85</v>
      </c>
      <c r="G538" s="7" t="str">
        <f aca="false">_xlfn.XLOOKUP(D538,Catalog!$B$2:$B$4102,Catalog!$A$2:$A$4102,"NOT IN CATALOG")</f>
        <v>SET OF 6 3D KIT CARDS FOR KIDS</v>
      </c>
      <c r="H538" s="7" t="n">
        <f aca="false">_xlfn.IFNA(VLOOKUP(D538,Catalog!$B$2:$C$4102,2,FALSE()),"")</f>
        <v>0.85</v>
      </c>
      <c r="I538" s="7" t="str">
        <f aca="false">HLOOKUP(C538,Regions!$B$1:$S$2,2,FALSE())</f>
        <v>EU</v>
      </c>
      <c r="J538" s="7" t="n">
        <f aca="false">E538*F538</f>
        <v>10.2</v>
      </c>
      <c r="K538" s="8" t="n">
        <f aca="false">IF(H538="","",1-F538/H538)</f>
        <v>0</v>
      </c>
    </row>
    <row r="539" customFormat="false" ht="15" hidden="false" customHeight="false" outlineLevel="0" collapsed="false">
      <c r="A539" s="0" t="s">
        <v>458</v>
      </c>
      <c r="B539" s="6" t="n">
        <v>40882.7</v>
      </c>
      <c r="C539" s="0" t="s">
        <v>459</v>
      </c>
      <c r="D539" s="0" t="s">
        <v>461</v>
      </c>
      <c r="E539" s="0" t="n">
        <v>60</v>
      </c>
      <c r="F539" s="0" t="n">
        <v>0.21</v>
      </c>
      <c r="G539" s="7" t="str">
        <f aca="false">_xlfn.XLOOKUP(D539,Catalog!$B$2:$B$4102,Catalog!$A$2:$A$4102,"NOT IN CATALOG")</f>
        <v>SLEEPING CAT ERASERS</v>
      </c>
      <c r="H539" s="7" t="n">
        <f aca="false">_xlfn.IFNA(VLOOKUP(D539,Catalog!$B$2:$C$4102,2,FALSE()),"")</f>
        <v>0.21</v>
      </c>
      <c r="I539" s="7" t="str">
        <f aca="false">HLOOKUP(C539,Regions!$B$1:$S$2,2,FALSE())</f>
        <v>EU</v>
      </c>
      <c r="J539" s="7" t="n">
        <f aca="false">E539*F539</f>
        <v>12.6</v>
      </c>
      <c r="K539" s="8" t="n">
        <f aca="false">IF(H539="","",1-F539/H539)</f>
        <v>0</v>
      </c>
    </row>
    <row r="540" customFormat="false" ht="15" hidden="false" customHeight="false" outlineLevel="0" collapsed="false">
      <c r="A540" s="0" t="s">
        <v>458</v>
      </c>
      <c r="B540" s="6" t="n">
        <v>40882.7</v>
      </c>
      <c r="C540" s="0" t="s">
        <v>459</v>
      </c>
      <c r="D540" s="0" t="s">
        <v>462</v>
      </c>
      <c r="E540" s="0" t="n">
        <v>6</v>
      </c>
      <c r="F540" s="0" t="n">
        <v>2.25</v>
      </c>
      <c r="G540" s="7" t="str">
        <f aca="false">_xlfn.XLOOKUP(D540,Catalog!$B$2:$B$4102,Catalog!$A$2:$A$4102,"NOT IN CATALOG")</f>
        <v>LETS GO SHOPPING COTTON TOTE BAG</v>
      </c>
      <c r="H540" s="7" t="n">
        <f aca="false">_xlfn.IFNA(VLOOKUP(D540,Catalog!$B$2:$C$4102,2,FALSE()),"")</f>
        <v>2.25</v>
      </c>
      <c r="I540" s="7" t="str">
        <f aca="false">HLOOKUP(C540,Regions!$B$1:$S$2,2,FALSE())</f>
        <v>EU</v>
      </c>
      <c r="J540" s="7" t="n">
        <f aca="false">E540*F540</f>
        <v>13.5</v>
      </c>
      <c r="K540" s="8" t="n">
        <f aca="false">IF(H540="","",1-F540/H540)</f>
        <v>0</v>
      </c>
    </row>
    <row r="541" customFormat="false" ht="15" hidden="false" customHeight="false" outlineLevel="0" collapsed="false">
      <c r="A541" s="0" t="s">
        <v>458</v>
      </c>
      <c r="B541" s="6" t="n">
        <v>40882.7</v>
      </c>
      <c r="C541" s="0" t="s">
        <v>459</v>
      </c>
      <c r="D541" s="0" t="s">
        <v>463</v>
      </c>
      <c r="E541" s="0" t="n">
        <v>6</v>
      </c>
      <c r="F541" s="0" t="n">
        <v>2.25</v>
      </c>
      <c r="G541" s="7" t="str">
        <f aca="false">_xlfn.XLOOKUP(D541,Catalog!$B$2:$B$4102,Catalog!$A$2:$A$4102,"NOT IN CATALOG")</f>
        <v>LOLITA DESIGN COTTON TOTE BAG</v>
      </c>
      <c r="H541" s="7" t="n">
        <f aca="false">_xlfn.IFNA(VLOOKUP(D541,Catalog!$B$2:$C$4102,2,FALSE()),"")</f>
        <v>2.25</v>
      </c>
      <c r="I541" s="7" t="str">
        <f aca="false">HLOOKUP(C541,Regions!$B$1:$S$2,2,FALSE())</f>
        <v>EU</v>
      </c>
      <c r="J541" s="7" t="n">
        <f aca="false">E541*F541</f>
        <v>13.5</v>
      </c>
      <c r="K541" s="8" t="n">
        <f aca="false">IF(H541="","",1-F541/H541)</f>
        <v>0</v>
      </c>
    </row>
    <row r="542" customFormat="false" ht="15" hidden="false" customHeight="false" outlineLevel="0" collapsed="false">
      <c r="A542" s="0" t="s">
        <v>458</v>
      </c>
      <c r="B542" s="6" t="n">
        <v>40882.7</v>
      </c>
      <c r="C542" s="0" t="s">
        <v>459</v>
      </c>
      <c r="D542" s="0" t="s">
        <v>198</v>
      </c>
      <c r="E542" s="0" t="n">
        <v>2</v>
      </c>
      <c r="F542" s="0" t="n">
        <v>4.95</v>
      </c>
      <c r="G542" s="7" t="str">
        <f aca="false">_xlfn.XLOOKUP(D542,Catalog!$B$2:$B$4102,Catalog!$A$2:$A$4102,"NOT IN CATALOG")</f>
        <v>OPEN CLOSED METAL SIGN</v>
      </c>
      <c r="H542" s="7" t="n">
        <f aca="false">_xlfn.IFNA(VLOOKUP(D542,Catalog!$B$2:$C$4102,2,FALSE()),"")</f>
        <v>4.95</v>
      </c>
      <c r="I542" s="7" t="str">
        <f aca="false">HLOOKUP(C542,Regions!$B$1:$S$2,2,FALSE())</f>
        <v>EU</v>
      </c>
      <c r="J542" s="7" t="n">
        <f aca="false">E542*F542</f>
        <v>9.9</v>
      </c>
      <c r="K542" s="8" t="n">
        <f aca="false">IF(H542="","",1-F542/H542)</f>
        <v>0</v>
      </c>
    </row>
    <row r="543" customFormat="false" ht="15" hidden="false" customHeight="false" outlineLevel="0" collapsed="false">
      <c r="A543" s="0" t="s">
        <v>458</v>
      </c>
      <c r="B543" s="6" t="n">
        <v>40882.7</v>
      </c>
      <c r="C543" s="0" t="s">
        <v>459</v>
      </c>
      <c r="D543" s="0" t="s">
        <v>307</v>
      </c>
      <c r="E543" s="0" t="n">
        <v>12</v>
      </c>
      <c r="F543" s="0" t="n">
        <v>1.95</v>
      </c>
      <c r="G543" s="7" t="str">
        <f aca="false">_xlfn.XLOOKUP(D543,Catalog!$B$2:$B$4102,Catalog!$A$2:$A$4102,"NOT IN CATALOG")</f>
        <v>SPACEBOY LUNCH BOX</v>
      </c>
      <c r="H543" s="7" t="n">
        <f aca="false">_xlfn.IFNA(VLOOKUP(D543,Catalog!$B$2:$C$4102,2,FALSE()),"")</f>
        <v>1.95</v>
      </c>
      <c r="I543" s="7" t="str">
        <f aca="false">HLOOKUP(C543,Regions!$B$1:$S$2,2,FALSE())</f>
        <v>EU</v>
      </c>
      <c r="J543" s="7" t="n">
        <f aca="false">E543*F543</f>
        <v>23.4</v>
      </c>
      <c r="K543" s="8" t="n">
        <f aca="false">IF(H543="","",1-F543/H543)</f>
        <v>0</v>
      </c>
    </row>
    <row r="544" customFormat="false" ht="15" hidden="false" customHeight="false" outlineLevel="0" collapsed="false">
      <c r="A544" s="0" t="s">
        <v>458</v>
      </c>
      <c r="B544" s="6" t="n">
        <v>40882.7</v>
      </c>
      <c r="C544" s="0" t="s">
        <v>459</v>
      </c>
      <c r="D544" s="0" t="s">
        <v>464</v>
      </c>
      <c r="E544" s="0" t="n">
        <v>12</v>
      </c>
      <c r="F544" s="0" t="n">
        <v>1.95</v>
      </c>
      <c r="G544" s="7" t="str">
        <f aca="false">_xlfn.XLOOKUP(D544,Catalog!$B$2:$B$4102,Catalog!$A$2:$A$4102,"NOT IN CATALOG")</f>
        <v>CIRCUS PARADE LUNCH BOX</v>
      </c>
      <c r="H544" s="7" t="n">
        <f aca="false">_xlfn.IFNA(VLOOKUP(D544,Catalog!$B$2:$C$4102,2,FALSE()),"")</f>
        <v>1.95</v>
      </c>
      <c r="I544" s="7" t="str">
        <f aca="false">HLOOKUP(C544,Regions!$B$1:$S$2,2,FALSE())</f>
        <v>EU</v>
      </c>
      <c r="J544" s="7" t="n">
        <f aca="false">E544*F544</f>
        <v>23.4</v>
      </c>
      <c r="K544" s="8" t="n">
        <f aca="false">IF(H544="","",1-F544/H544)</f>
        <v>0</v>
      </c>
    </row>
    <row r="545" customFormat="false" ht="15" hidden="false" customHeight="false" outlineLevel="0" collapsed="false">
      <c r="A545" s="0" t="s">
        <v>458</v>
      </c>
      <c r="B545" s="6" t="n">
        <v>40882.7</v>
      </c>
      <c r="C545" s="0" t="s">
        <v>459</v>
      </c>
      <c r="D545" s="0" t="s">
        <v>310</v>
      </c>
      <c r="E545" s="0" t="n">
        <v>12</v>
      </c>
      <c r="F545" s="0" t="n">
        <v>1.95</v>
      </c>
      <c r="G545" s="7" t="str">
        <f aca="false">_xlfn.XLOOKUP(D545,Catalog!$B$2:$B$4102,Catalog!$A$2:$A$4102,"NOT IN CATALOG")</f>
        <v>DOLLY GIRL LUNCH BOX</v>
      </c>
      <c r="H545" s="7" t="n">
        <f aca="false">_xlfn.IFNA(VLOOKUP(D545,Catalog!$B$2:$C$4102,2,FALSE()),"")</f>
        <v>1.95</v>
      </c>
      <c r="I545" s="7" t="str">
        <f aca="false">HLOOKUP(C545,Regions!$B$1:$S$2,2,FALSE())</f>
        <v>EU</v>
      </c>
      <c r="J545" s="7" t="n">
        <f aca="false">E545*F545</f>
        <v>23.4</v>
      </c>
      <c r="K545" s="8" t="n">
        <f aca="false">IF(H545="","",1-F545/H545)</f>
        <v>0</v>
      </c>
    </row>
    <row r="546" customFormat="false" ht="15" hidden="false" customHeight="false" outlineLevel="0" collapsed="false">
      <c r="A546" s="0" t="s">
        <v>458</v>
      </c>
      <c r="B546" s="6" t="n">
        <v>40882.7</v>
      </c>
      <c r="C546" s="0" t="s">
        <v>459</v>
      </c>
      <c r="D546" s="0" t="s">
        <v>164</v>
      </c>
      <c r="E546" s="0" t="n">
        <v>25</v>
      </c>
      <c r="F546" s="0" t="n">
        <v>0.42</v>
      </c>
      <c r="G546" s="7" t="str">
        <f aca="false">_xlfn.XLOOKUP(D546,Catalog!$B$2:$B$4102,Catalog!$A$2:$A$4102,"NOT IN CATALOG")</f>
        <v>WRAP DOLLY GIRL</v>
      </c>
      <c r="H546" s="7" t="n">
        <f aca="false">_xlfn.IFNA(VLOOKUP(D546,Catalog!$B$2:$C$4102,2,FALSE()),"")</f>
        <v>0.42</v>
      </c>
      <c r="I546" s="7" t="str">
        <f aca="false">HLOOKUP(C546,Regions!$B$1:$S$2,2,FALSE())</f>
        <v>EU</v>
      </c>
      <c r="J546" s="7" t="n">
        <f aca="false">E546*F546</f>
        <v>10.5</v>
      </c>
      <c r="K546" s="8" t="n">
        <f aca="false">IF(H546="","",1-F546/H546)</f>
        <v>0</v>
      </c>
    </row>
    <row r="547" customFormat="false" ht="15" hidden="false" customHeight="false" outlineLevel="0" collapsed="false">
      <c r="A547" s="0" t="s">
        <v>458</v>
      </c>
      <c r="B547" s="6" t="n">
        <v>40882.7</v>
      </c>
      <c r="C547" s="0" t="s">
        <v>459</v>
      </c>
      <c r="D547" s="0" t="s">
        <v>161</v>
      </c>
      <c r="E547" s="0" t="n">
        <v>25</v>
      </c>
      <c r="F547" s="0" t="n">
        <v>0.42</v>
      </c>
      <c r="G547" s="7" t="str">
        <f aca="false">_xlfn.XLOOKUP(D547,Catalog!$B$2:$B$4102,Catalog!$A$2:$A$4102,"NOT IN CATALOG")</f>
        <v>SPACEBOY GIFT WRAP</v>
      </c>
      <c r="H547" s="7" t="n">
        <f aca="false">_xlfn.IFNA(VLOOKUP(D547,Catalog!$B$2:$C$4102,2,FALSE()),"")</f>
        <v>0.42</v>
      </c>
      <c r="I547" s="7" t="str">
        <f aca="false">HLOOKUP(C547,Regions!$B$1:$S$2,2,FALSE())</f>
        <v>EU</v>
      </c>
      <c r="J547" s="7" t="n">
        <f aca="false">E547*F547</f>
        <v>10.5</v>
      </c>
      <c r="K547" s="8" t="n">
        <f aca="false">IF(H547="","",1-F547/H547)</f>
        <v>0</v>
      </c>
    </row>
    <row r="548" customFormat="false" ht="15" hidden="false" customHeight="false" outlineLevel="0" collapsed="false">
      <c r="A548" s="0" t="s">
        <v>458</v>
      </c>
      <c r="B548" s="6" t="n">
        <v>40882.7</v>
      </c>
      <c r="C548" s="0" t="s">
        <v>459</v>
      </c>
      <c r="D548" s="0" t="s">
        <v>39</v>
      </c>
      <c r="E548" s="0" t="n">
        <v>1</v>
      </c>
      <c r="F548" s="0" t="n">
        <v>18</v>
      </c>
      <c r="G548" s="7" t="str">
        <f aca="false">_xlfn.XLOOKUP(D548,Catalog!$B$2:$B$4102,Catalog!$A$2:$A$4102,"NOT IN CATALOG")</f>
        <v>POSTAGE</v>
      </c>
      <c r="H548" s="7" t="n">
        <f aca="false">_xlfn.IFNA(VLOOKUP(D548,Catalog!$B$2:$C$4102,2,FALSE()),"")</f>
        <v>18</v>
      </c>
      <c r="I548" s="7" t="str">
        <f aca="false">HLOOKUP(C548,Regions!$B$1:$S$2,2,FALSE())</f>
        <v>EU</v>
      </c>
      <c r="J548" s="7" t="n">
        <f aca="false">E548*F548</f>
        <v>18</v>
      </c>
      <c r="K548" s="8" t="n">
        <f aca="false">IF(H548="","",1-F548/H548)</f>
        <v>0</v>
      </c>
    </row>
    <row r="549" customFormat="false" ht="15" hidden="false" customHeight="false" outlineLevel="0" collapsed="false">
      <c r="A549" s="0" t="s">
        <v>465</v>
      </c>
      <c r="B549" s="6" t="n">
        <v>40883.3652777778</v>
      </c>
      <c r="C549" s="0" t="s">
        <v>180</v>
      </c>
      <c r="D549" s="0" t="s">
        <v>466</v>
      </c>
      <c r="E549" s="0" t="n">
        <v>20</v>
      </c>
      <c r="F549" s="0" t="n">
        <v>1.65</v>
      </c>
      <c r="G549" s="7" t="str">
        <f aca="false">_xlfn.XLOOKUP(D549,Catalog!$B$2:$B$4102,Catalog!$A$2:$A$4102,"NOT IN CATALOG")</f>
        <v>LUNCH BAG RED SPOTTY</v>
      </c>
      <c r="H549" s="7" t="n">
        <f aca="false">_xlfn.IFNA(VLOOKUP(D549,Catalog!$B$2:$C$4102,2,FALSE()),"")</f>
        <v>1.65</v>
      </c>
      <c r="I549" s="7" t="str">
        <f aca="false">HLOOKUP(C549,Regions!$B$1:$S$2,2,FALSE())</f>
        <v>EU</v>
      </c>
      <c r="J549" s="7" t="n">
        <f aca="false">E549*F549</f>
        <v>33</v>
      </c>
      <c r="K549" s="8" t="n">
        <f aca="false">IF(H549="","",1-F549/H549)</f>
        <v>0</v>
      </c>
    </row>
    <row r="550" customFormat="false" ht="15" hidden="false" customHeight="false" outlineLevel="0" collapsed="false">
      <c r="A550" s="0" t="s">
        <v>465</v>
      </c>
      <c r="B550" s="6" t="n">
        <v>40883.3652777778</v>
      </c>
      <c r="C550" s="0" t="s">
        <v>180</v>
      </c>
      <c r="D550" s="0" t="s">
        <v>467</v>
      </c>
      <c r="E550" s="0" t="n">
        <v>10</v>
      </c>
      <c r="F550" s="0" t="n">
        <v>1.65</v>
      </c>
      <c r="G550" s="7" t="str">
        <f aca="false">_xlfn.XLOOKUP(D550,Catalog!$B$2:$B$4102,Catalog!$A$2:$A$4102,"NOT IN CATALOG")</f>
        <v>LUNCH BAG CARS BLUE</v>
      </c>
      <c r="H550" s="7" t="n">
        <f aca="false">_xlfn.IFNA(VLOOKUP(D550,Catalog!$B$2:$C$4102,2,FALSE()),"")</f>
        <v>1.65</v>
      </c>
      <c r="I550" s="7" t="str">
        <f aca="false">HLOOKUP(C550,Regions!$B$1:$S$2,2,FALSE())</f>
        <v>EU</v>
      </c>
      <c r="J550" s="7" t="n">
        <f aca="false">E550*F550</f>
        <v>16.5</v>
      </c>
      <c r="K550" s="8" t="n">
        <f aca="false">IF(H550="","",1-F550/H550)</f>
        <v>0</v>
      </c>
    </row>
    <row r="551" customFormat="false" ht="15" hidden="false" customHeight="false" outlineLevel="0" collapsed="false">
      <c r="A551" s="0" t="s">
        <v>465</v>
      </c>
      <c r="B551" s="6" t="n">
        <v>40883.3652777778</v>
      </c>
      <c r="C551" s="0" t="s">
        <v>180</v>
      </c>
      <c r="D551" s="0" t="s">
        <v>324</v>
      </c>
      <c r="E551" s="0" t="n">
        <v>30</v>
      </c>
      <c r="F551" s="0" t="n">
        <v>1.65</v>
      </c>
      <c r="G551" s="7" t="str">
        <f aca="false">_xlfn.XLOOKUP(D551,Catalog!$B$2:$B$4102,Catalog!$A$2:$A$4102,"NOT IN CATALOG")</f>
        <v>NOT IN CATALOG</v>
      </c>
      <c r="H551" s="7" t="str">
        <f aca="false">_xlfn.IFNA(VLOOKUP(D551,Catalog!$B$2:$C$4102,2,FALSE()),"")</f>
        <v/>
      </c>
      <c r="I551" s="7" t="str">
        <f aca="false">HLOOKUP(C551,Regions!$B$1:$S$2,2,FALSE())</f>
        <v>EU</v>
      </c>
      <c r="J551" s="7" t="n">
        <f aca="false">E551*F551</f>
        <v>49.5</v>
      </c>
      <c r="K551" s="8" t="str">
        <f aca="false">IF(H551="","",1-F551/H551)</f>
        <v/>
      </c>
    </row>
    <row r="552" customFormat="false" ht="15" hidden="false" customHeight="false" outlineLevel="0" collapsed="false">
      <c r="A552" s="0" t="s">
        <v>465</v>
      </c>
      <c r="B552" s="6" t="n">
        <v>40883.3652777778</v>
      </c>
      <c r="C552" s="0" t="s">
        <v>180</v>
      </c>
      <c r="D552" s="0" t="s">
        <v>238</v>
      </c>
      <c r="E552" s="0" t="n">
        <v>20</v>
      </c>
      <c r="F552" s="0" t="n">
        <v>2.08</v>
      </c>
      <c r="G552" s="7" t="str">
        <f aca="false">_xlfn.XLOOKUP(D552,Catalog!$B$2:$B$4102,Catalog!$A$2:$A$4102,"NOT IN CATALOG")</f>
        <v>NOT IN CATALOG</v>
      </c>
      <c r="H552" s="7" t="str">
        <f aca="false">_xlfn.IFNA(VLOOKUP(D552,Catalog!$B$2:$C$4102,2,FALSE()),"")</f>
        <v/>
      </c>
      <c r="I552" s="7" t="str">
        <f aca="false">HLOOKUP(C552,Regions!$B$1:$S$2,2,FALSE())</f>
        <v>EU</v>
      </c>
      <c r="J552" s="7" t="n">
        <f aca="false">E552*F552</f>
        <v>41.6</v>
      </c>
      <c r="K552" s="8" t="str">
        <f aca="false">IF(H552="","",1-F552/H552)</f>
        <v/>
      </c>
    </row>
    <row r="553" customFormat="false" ht="15" hidden="false" customHeight="false" outlineLevel="0" collapsed="false">
      <c r="A553" s="0" t="s">
        <v>465</v>
      </c>
      <c r="B553" s="6" t="n">
        <v>40883.3652777778</v>
      </c>
      <c r="C553" s="0" t="s">
        <v>180</v>
      </c>
      <c r="D553" s="0" t="s">
        <v>468</v>
      </c>
      <c r="E553" s="0" t="n">
        <v>30</v>
      </c>
      <c r="F553" s="0" t="n">
        <v>2.08</v>
      </c>
      <c r="G553" s="7" t="str">
        <f aca="false">_xlfn.XLOOKUP(D553,Catalog!$B$2:$B$4102,Catalog!$A$2:$A$4102,"NOT IN CATALOG")</f>
        <v>NOT IN CATALOG</v>
      </c>
      <c r="H553" s="7" t="str">
        <f aca="false">_xlfn.IFNA(VLOOKUP(D553,Catalog!$B$2:$C$4102,2,FALSE()),"")</f>
        <v/>
      </c>
      <c r="I553" s="7" t="str">
        <f aca="false">HLOOKUP(C553,Regions!$B$1:$S$2,2,FALSE())</f>
        <v>EU</v>
      </c>
      <c r="J553" s="7" t="n">
        <f aca="false">E553*F553</f>
        <v>62.4</v>
      </c>
      <c r="K553" s="8" t="str">
        <f aca="false">IF(H553="","",1-F553/H553)</f>
        <v/>
      </c>
    </row>
    <row r="554" customFormat="false" ht="15" hidden="false" customHeight="false" outlineLevel="0" collapsed="false">
      <c r="A554" s="0" t="s">
        <v>465</v>
      </c>
      <c r="B554" s="6" t="n">
        <v>40883.3652777778</v>
      </c>
      <c r="C554" s="0" t="s">
        <v>180</v>
      </c>
      <c r="D554" s="0" t="s">
        <v>469</v>
      </c>
      <c r="E554" s="0" t="n">
        <v>10</v>
      </c>
      <c r="F554" s="0" t="n">
        <v>1.25</v>
      </c>
      <c r="G554" s="7" t="str">
        <f aca="false">_xlfn.XLOOKUP(D554,Catalog!$B$2:$B$4102,Catalog!$A$2:$A$4102,"NOT IN CATALOG")</f>
        <v>RED SPOTTY SHOPPER BAG</v>
      </c>
      <c r="H554" s="7" t="n">
        <f aca="false">_xlfn.IFNA(VLOOKUP(D554,Catalog!$B$2:$C$4102,2,FALSE()),"")</f>
        <v>1.25</v>
      </c>
      <c r="I554" s="7" t="str">
        <f aca="false">HLOOKUP(C554,Regions!$B$1:$S$2,2,FALSE())</f>
        <v>EU</v>
      </c>
      <c r="J554" s="7" t="n">
        <f aca="false">E554*F554</f>
        <v>12.5</v>
      </c>
      <c r="K554" s="8" t="n">
        <f aca="false">IF(H554="","",1-F554/H554)</f>
        <v>0</v>
      </c>
    </row>
    <row r="555" customFormat="false" ht="15" hidden="false" customHeight="false" outlineLevel="0" collapsed="false">
      <c r="A555" s="0" t="s">
        <v>465</v>
      </c>
      <c r="B555" s="6" t="n">
        <v>40883.3652777778</v>
      </c>
      <c r="C555" s="0" t="s">
        <v>180</v>
      </c>
      <c r="D555" s="0" t="s">
        <v>98</v>
      </c>
      <c r="E555" s="0" t="n">
        <v>3</v>
      </c>
      <c r="F555" s="0" t="n">
        <v>4.95</v>
      </c>
      <c r="G555" s="7" t="str">
        <f aca="false">_xlfn.XLOOKUP(D555,Catalog!$B$2:$B$4102,Catalog!$A$2:$A$4102,"NOT IN CATALOG")</f>
        <v>BAKING SET 9 PIECE RETROSPOT</v>
      </c>
      <c r="H555" s="7" t="n">
        <f aca="false">_xlfn.IFNA(VLOOKUP(D555,Catalog!$B$2:$C$4102,2,FALSE()),"")</f>
        <v>4.95</v>
      </c>
      <c r="I555" s="7" t="str">
        <f aca="false">HLOOKUP(C555,Regions!$B$1:$S$2,2,FALSE())</f>
        <v>EU</v>
      </c>
      <c r="J555" s="7" t="n">
        <f aca="false">E555*F555</f>
        <v>14.85</v>
      </c>
      <c r="K555" s="8" t="n">
        <f aca="false">IF(H555="","",1-F555/H555)</f>
        <v>0</v>
      </c>
    </row>
    <row r="556" customFormat="false" ht="15" hidden="false" customHeight="false" outlineLevel="0" collapsed="false">
      <c r="A556" s="0" t="s">
        <v>465</v>
      </c>
      <c r="B556" s="6" t="n">
        <v>40883.3652777778</v>
      </c>
      <c r="C556" s="0" t="s">
        <v>180</v>
      </c>
      <c r="D556" s="0" t="s">
        <v>99</v>
      </c>
      <c r="E556" s="0" t="n">
        <v>6</v>
      </c>
      <c r="F556" s="0" t="n">
        <v>4.95</v>
      </c>
      <c r="G556" s="7" t="str">
        <f aca="false">_xlfn.XLOOKUP(D556,Catalog!$B$2:$B$4102,Catalog!$A$2:$A$4102,"NOT IN CATALOG")</f>
        <v>RETRO SPOT TEA SET CERAMIC 11 PC</v>
      </c>
      <c r="H556" s="7" t="n">
        <f aca="false">_xlfn.IFNA(VLOOKUP(D556,Catalog!$B$2:$C$4102,2,FALSE()),"")</f>
        <v>4.95</v>
      </c>
      <c r="I556" s="7" t="str">
        <f aca="false">HLOOKUP(C556,Regions!$B$1:$S$2,2,FALSE())</f>
        <v>EU</v>
      </c>
      <c r="J556" s="7" t="n">
        <f aca="false">E556*F556</f>
        <v>29.7</v>
      </c>
      <c r="K556" s="8" t="n">
        <f aca="false">IF(H556="","",1-F556/H556)</f>
        <v>0</v>
      </c>
    </row>
    <row r="557" customFormat="false" ht="15" hidden="false" customHeight="false" outlineLevel="0" collapsed="false">
      <c r="A557" s="0" t="s">
        <v>465</v>
      </c>
      <c r="B557" s="6" t="n">
        <v>40883.3652777778</v>
      </c>
      <c r="C557" s="0" t="s">
        <v>180</v>
      </c>
      <c r="D557" s="0" t="s">
        <v>87</v>
      </c>
      <c r="E557" s="0" t="n">
        <v>20</v>
      </c>
      <c r="F557" s="0" t="n">
        <v>2.08</v>
      </c>
      <c r="G557" s="7" t="str">
        <f aca="false">_xlfn.XLOOKUP(D557,Catalog!$B$2:$B$4102,Catalog!$A$2:$A$4102,"NOT IN CATALOG")</f>
        <v>JUMBO BAG RED RETROSPOT</v>
      </c>
      <c r="H557" s="7" t="n">
        <f aca="false">_xlfn.IFNA(VLOOKUP(D557,Catalog!$B$2:$C$4102,2,FALSE()),"")</f>
        <v>1.95</v>
      </c>
      <c r="I557" s="7" t="str">
        <f aca="false">HLOOKUP(C557,Regions!$B$1:$S$2,2,FALSE())</f>
        <v>EU</v>
      </c>
      <c r="J557" s="7" t="n">
        <f aca="false">E557*F557</f>
        <v>41.6</v>
      </c>
      <c r="K557" s="8" t="n">
        <f aca="false">IF(H557="","",1-F557/H557)</f>
        <v>-0.0666666666666667</v>
      </c>
    </row>
    <row r="558" customFormat="false" ht="15" hidden="false" customHeight="false" outlineLevel="0" collapsed="false">
      <c r="A558" s="0" t="s">
        <v>465</v>
      </c>
      <c r="B558" s="6" t="n">
        <v>40883.3652777778</v>
      </c>
      <c r="C558" s="0" t="s">
        <v>180</v>
      </c>
      <c r="D558" s="0" t="s">
        <v>112</v>
      </c>
      <c r="E558" s="0" t="n">
        <v>12</v>
      </c>
      <c r="F558" s="0" t="n">
        <v>2.49</v>
      </c>
      <c r="G558" s="7" t="str">
        <f aca="false">_xlfn.XLOOKUP(D558,Catalog!$B$2:$B$4102,Catalog!$A$2:$A$4102,"NOT IN CATALOG")</f>
        <v>NOT IN CATALOG</v>
      </c>
      <c r="H558" s="7" t="str">
        <f aca="false">_xlfn.IFNA(VLOOKUP(D558,Catalog!$B$2:$C$4102,2,FALSE()),"")</f>
        <v/>
      </c>
      <c r="I558" s="7" t="str">
        <f aca="false">HLOOKUP(C558,Regions!$B$1:$S$2,2,FALSE())</f>
        <v>EU</v>
      </c>
      <c r="J558" s="7" t="n">
        <f aca="false">E558*F558</f>
        <v>29.88</v>
      </c>
      <c r="K558" s="8" t="str">
        <f aca="false">IF(H558="","",1-F558/H558)</f>
        <v/>
      </c>
    </row>
    <row r="559" customFormat="false" ht="15" hidden="false" customHeight="false" outlineLevel="0" collapsed="false">
      <c r="A559" s="0" t="s">
        <v>465</v>
      </c>
      <c r="B559" s="6" t="n">
        <v>40883.3652777778</v>
      </c>
      <c r="C559" s="0" t="s">
        <v>180</v>
      </c>
      <c r="D559" s="0" t="s">
        <v>470</v>
      </c>
      <c r="E559" s="0" t="n">
        <v>4</v>
      </c>
      <c r="F559" s="0" t="n">
        <v>3.75</v>
      </c>
      <c r="G559" s="7" t="str">
        <f aca="false">_xlfn.XLOOKUP(D559,Catalog!$B$2:$B$4102,Catalog!$A$2:$A$4102,"NOT IN CATALOG")</f>
        <v>SET/3 RED GINGHAM ROSE STORAGE BOX</v>
      </c>
      <c r="H559" s="7" t="n">
        <f aca="false">_xlfn.IFNA(VLOOKUP(D559,Catalog!$B$2:$C$4102,2,FALSE()),"")</f>
        <v>3.75</v>
      </c>
      <c r="I559" s="7" t="str">
        <f aca="false">HLOOKUP(C559,Regions!$B$1:$S$2,2,FALSE())</f>
        <v>EU</v>
      </c>
      <c r="J559" s="7" t="n">
        <f aca="false">E559*F559</f>
        <v>15</v>
      </c>
      <c r="K559" s="8" t="n">
        <f aca="false">IF(H559="","",1-F559/H559)</f>
        <v>0</v>
      </c>
    </row>
    <row r="560" customFormat="false" ht="15" hidden="false" customHeight="false" outlineLevel="0" collapsed="false">
      <c r="A560" s="0" t="s">
        <v>465</v>
      </c>
      <c r="B560" s="6" t="n">
        <v>40883.3652777778</v>
      </c>
      <c r="C560" s="0" t="s">
        <v>180</v>
      </c>
      <c r="D560" s="0" t="s">
        <v>300</v>
      </c>
      <c r="E560" s="0" t="n">
        <v>6</v>
      </c>
      <c r="F560" s="0" t="n">
        <v>4.95</v>
      </c>
      <c r="G560" s="7" t="str">
        <f aca="false">_xlfn.XLOOKUP(D560,Catalog!$B$2:$B$4102,Catalog!$A$2:$A$4102,"NOT IN CATALOG")</f>
        <v>RED SPOT HEART HOT WATER BOTTLE</v>
      </c>
      <c r="H560" s="7" t="n">
        <f aca="false">_xlfn.IFNA(VLOOKUP(D560,Catalog!$B$2:$C$4102,2,FALSE()),"")</f>
        <v>4.95</v>
      </c>
      <c r="I560" s="7" t="str">
        <f aca="false">HLOOKUP(C560,Regions!$B$1:$S$2,2,FALSE())</f>
        <v>EU</v>
      </c>
      <c r="J560" s="7" t="n">
        <f aca="false">E560*F560</f>
        <v>29.7</v>
      </c>
      <c r="K560" s="8" t="n">
        <f aca="false">IF(H560="","",1-F560/H560)</f>
        <v>0</v>
      </c>
    </row>
    <row r="561" customFormat="false" ht="15" hidden="false" customHeight="false" outlineLevel="0" collapsed="false">
      <c r="A561" s="0" t="s">
        <v>465</v>
      </c>
      <c r="B561" s="6" t="n">
        <v>40883.3652777778</v>
      </c>
      <c r="C561" s="0" t="s">
        <v>180</v>
      </c>
      <c r="D561" s="0" t="s">
        <v>471</v>
      </c>
      <c r="E561" s="0" t="n">
        <v>4</v>
      </c>
      <c r="F561" s="0" t="n">
        <v>4.25</v>
      </c>
      <c r="G561" s="7" t="str">
        <f aca="false">_xlfn.XLOOKUP(D561,Catalog!$B$2:$B$4102,Catalog!$A$2:$A$4102,"NOT IN CATALOG")</f>
        <v>HOT WATER BOTTLE TEA AND SYMPATHY</v>
      </c>
      <c r="H561" s="7" t="n">
        <f aca="false">_xlfn.IFNA(VLOOKUP(D561,Catalog!$B$2:$C$4102,2,FALSE()),"")</f>
        <v>3.95</v>
      </c>
      <c r="I561" s="7" t="str">
        <f aca="false">HLOOKUP(C561,Regions!$B$1:$S$2,2,FALSE())</f>
        <v>EU</v>
      </c>
      <c r="J561" s="7" t="n">
        <f aca="false">E561*F561</f>
        <v>17</v>
      </c>
      <c r="K561" s="8" t="n">
        <f aca="false">IF(H561="","",1-F561/H561)</f>
        <v>-0.0759493670886076</v>
      </c>
    </row>
    <row r="562" customFormat="false" ht="15" hidden="false" customHeight="false" outlineLevel="0" collapsed="false">
      <c r="A562" s="0" t="s">
        <v>465</v>
      </c>
      <c r="B562" s="6" t="n">
        <v>40883.3652777778</v>
      </c>
      <c r="C562" s="0" t="s">
        <v>180</v>
      </c>
      <c r="D562" s="0" t="s">
        <v>210</v>
      </c>
      <c r="E562" s="0" t="n">
        <v>2</v>
      </c>
      <c r="F562" s="0" t="n">
        <v>6.25</v>
      </c>
      <c r="G562" s="7" t="str">
        <f aca="false">_xlfn.XLOOKUP(D562,Catalog!$B$2:$B$4102,Catalog!$A$2:$A$4102,"NOT IN CATALOG")</f>
        <v>NOT IN CATALOG</v>
      </c>
      <c r="H562" s="7" t="str">
        <f aca="false">_xlfn.IFNA(VLOOKUP(D562,Catalog!$B$2:$C$4102,2,FALSE()),"")</f>
        <v/>
      </c>
      <c r="I562" s="7" t="str">
        <f aca="false">HLOOKUP(C562,Regions!$B$1:$S$2,2,FALSE())</f>
        <v>EU</v>
      </c>
      <c r="J562" s="7" t="n">
        <f aca="false">E562*F562</f>
        <v>12.5</v>
      </c>
      <c r="K562" s="8" t="str">
        <f aca="false">IF(H562="","",1-F562/H562)</f>
        <v/>
      </c>
    </row>
    <row r="563" customFormat="false" ht="15" hidden="false" customHeight="false" outlineLevel="0" collapsed="false">
      <c r="A563" s="0" t="s">
        <v>465</v>
      </c>
      <c r="B563" s="6" t="n">
        <v>40883.3652777778</v>
      </c>
      <c r="C563" s="0" t="s">
        <v>180</v>
      </c>
      <c r="D563" s="0" t="s">
        <v>472</v>
      </c>
      <c r="E563" s="0" t="n">
        <v>12</v>
      </c>
      <c r="F563" s="0" t="n">
        <v>2.1</v>
      </c>
      <c r="G563" s="7" t="str">
        <f aca="false">_xlfn.XLOOKUP(D563,Catalog!$B$2:$B$4102,Catalog!$A$2:$A$4102,"NOT IN CATALOG")</f>
        <v>SET OF 20 KIDS COOKIE CUTTERS</v>
      </c>
      <c r="H563" s="7" t="n">
        <f aca="false">_xlfn.IFNA(VLOOKUP(D563,Catalog!$B$2:$C$4102,2,FALSE()),"")</f>
        <v>1.95</v>
      </c>
      <c r="I563" s="7" t="str">
        <f aca="false">HLOOKUP(C563,Regions!$B$1:$S$2,2,FALSE())</f>
        <v>EU</v>
      </c>
      <c r="J563" s="7" t="n">
        <f aca="false">E563*F563</f>
        <v>25.2</v>
      </c>
      <c r="K563" s="8" t="n">
        <f aca="false">IF(H563="","",1-F563/H563)</f>
        <v>-0.0769230769230771</v>
      </c>
    </row>
    <row r="564" customFormat="false" ht="15" hidden="false" customHeight="false" outlineLevel="0" collapsed="false">
      <c r="A564" s="0" t="s">
        <v>465</v>
      </c>
      <c r="B564" s="6" t="n">
        <v>40883.3652777778</v>
      </c>
      <c r="C564" s="0" t="s">
        <v>180</v>
      </c>
      <c r="D564" s="0" t="s">
        <v>423</v>
      </c>
      <c r="E564" s="0" t="n">
        <v>12</v>
      </c>
      <c r="F564" s="0" t="n">
        <v>4.95</v>
      </c>
      <c r="G564" s="7" t="str">
        <f aca="false">_xlfn.XLOOKUP(D564,Catalog!$B$2:$B$4102,Catalog!$A$2:$A$4102,"NOT IN CATALOG")</f>
        <v>NOT IN CATALOG</v>
      </c>
      <c r="H564" s="7" t="str">
        <f aca="false">_xlfn.IFNA(VLOOKUP(D564,Catalog!$B$2:$C$4102,2,FALSE()),"")</f>
        <v/>
      </c>
      <c r="I564" s="7" t="str">
        <f aca="false">HLOOKUP(C564,Regions!$B$1:$S$2,2,FALSE())</f>
        <v>EU</v>
      </c>
      <c r="J564" s="7" t="n">
        <f aca="false">E564*F564</f>
        <v>59.4</v>
      </c>
      <c r="K564" s="8" t="str">
        <f aca="false">IF(H564="","",1-F564/H564)</f>
        <v/>
      </c>
    </row>
    <row r="565" customFormat="false" ht="15" hidden="false" customHeight="false" outlineLevel="0" collapsed="false">
      <c r="A565" s="0" t="s">
        <v>465</v>
      </c>
      <c r="B565" s="6" t="n">
        <v>40883.3652777778</v>
      </c>
      <c r="C565" s="0" t="s">
        <v>180</v>
      </c>
      <c r="D565" s="0" t="s">
        <v>473</v>
      </c>
      <c r="E565" s="0" t="n">
        <v>8</v>
      </c>
      <c r="F565" s="0" t="n">
        <v>4.95</v>
      </c>
      <c r="G565" s="7" t="str">
        <f aca="false">_xlfn.XLOOKUP(D565,Catalog!$B$2:$B$4102,Catalog!$A$2:$A$4102,"NOT IN CATALOG")</f>
        <v>NOT IN CATALOG</v>
      </c>
      <c r="H565" s="7" t="str">
        <f aca="false">_xlfn.IFNA(VLOOKUP(D565,Catalog!$B$2:$C$4102,2,FALSE()),"")</f>
        <v/>
      </c>
      <c r="I565" s="7" t="str">
        <f aca="false">HLOOKUP(C565,Regions!$B$1:$S$2,2,FALSE())</f>
        <v>EU</v>
      </c>
      <c r="J565" s="7" t="n">
        <f aca="false">E565*F565</f>
        <v>39.6</v>
      </c>
      <c r="K565" s="8" t="str">
        <f aca="false">IF(H565="","",1-F565/H565)</f>
        <v/>
      </c>
    </row>
    <row r="566" customFormat="false" ht="15" hidden="false" customHeight="false" outlineLevel="0" collapsed="false">
      <c r="A566" s="0" t="s">
        <v>465</v>
      </c>
      <c r="B566" s="6" t="n">
        <v>40883.3652777778</v>
      </c>
      <c r="C566" s="0" t="s">
        <v>180</v>
      </c>
      <c r="D566" s="0" t="s">
        <v>298</v>
      </c>
      <c r="E566" s="0" t="n">
        <v>6</v>
      </c>
      <c r="F566" s="0" t="n">
        <v>5.95</v>
      </c>
      <c r="G566" s="7" t="str">
        <f aca="false">_xlfn.XLOOKUP(D566,Catalog!$B$2:$B$4102,Catalog!$A$2:$A$4102,"NOT IN CATALOG")</f>
        <v>NOT IN CATALOG</v>
      </c>
      <c r="H566" s="7" t="str">
        <f aca="false">_xlfn.IFNA(VLOOKUP(D566,Catalog!$B$2:$C$4102,2,FALSE()),"")</f>
        <v/>
      </c>
      <c r="I566" s="7" t="str">
        <f aca="false">HLOOKUP(C566,Regions!$B$1:$S$2,2,FALSE())</f>
        <v>EU</v>
      </c>
      <c r="J566" s="7" t="n">
        <f aca="false">E566*F566</f>
        <v>35.7</v>
      </c>
      <c r="K566" s="8" t="str">
        <f aca="false">IF(H566="","",1-F566/H566)</f>
        <v/>
      </c>
    </row>
    <row r="567" customFormat="false" ht="15" hidden="false" customHeight="false" outlineLevel="0" collapsed="false">
      <c r="A567" s="0" t="s">
        <v>465</v>
      </c>
      <c r="B567" s="6" t="n">
        <v>40883.3652777778</v>
      </c>
      <c r="C567" s="0" t="s">
        <v>180</v>
      </c>
      <c r="D567" s="0" t="s">
        <v>138</v>
      </c>
      <c r="E567" s="0" t="n">
        <v>12</v>
      </c>
      <c r="F567" s="0" t="n">
        <v>0.85</v>
      </c>
      <c r="G567" s="7" t="str">
        <f aca="false">_xlfn.XLOOKUP(D567,Catalog!$B$2:$B$4102,Catalog!$A$2:$A$4102,"NOT IN CATALOG")</f>
        <v>CHRISTMAS RETROSPOT ANGEL WOOD</v>
      </c>
      <c r="H567" s="7" t="n">
        <f aca="false">_xlfn.IFNA(VLOOKUP(D567,Catalog!$B$2:$C$4102,2,FALSE()),"")</f>
        <v>0.85</v>
      </c>
      <c r="I567" s="7" t="str">
        <f aca="false">HLOOKUP(C567,Regions!$B$1:$S$2,2,FALSE())</f>
        <v>EU</v>
      </c>
      <c r="J567" s="7" t="n">
        <f aca="false">E567*F567</f>
        <v>10.2</v>
      </c>
      <c r="K567" s="8" t="n">
        <f aca="false">IF(H567="","",1-F567/H567)</f>
        <v>0</v>
      </c>
    </row>
    <row r="568" customFormat="false" ht="15" hidden="false" customHeight="false" outlineLevel="0" collapsed="false">
      <c r="A568" s="0" t="s">
        <v>465</v>
      </c>
      <c r="B568" s="6" t="n">
        <v>40883.3652777778</v>
      </c>
      <c r="C568" s="0" t="s">
        <v>180</v>
      </c>
      <c r="D568" s="0" t="s">
        <v>474</v>
      </c>
      <c r="E568" s="0" t="n">
        <v>12</v>
      </c>
      <c r="F568" s="0" t="n">
        <v>0.85</v>
      </c>
      <c r="G568" s="7" t="str">
        <f aca="false">_xlfn.XLOOKUP(D568,Catalog!$B$2:$B$4102,Catalog!$A$2:$A$4102,"NOT IN CATALOG")</f>
        <v>CHRISTMAS RETROSPOT STAR WOOD</v>
      </c>
      <c r="H568" s="7" t="n">
        <f aca="false">_xlfn.IFNA(VLOOKUP(D568,Catalog!$B$2:$C$4102,2,FALSE()),"")</f>
        <v>0.85</v>
      </c>
      <c r="I568" s="7" t="str">
        <f aca="false">HLOOKUP(C568,Regions!$B$1:$S$2,2,FALSE())</f>
        <v>EU</v>
      </c>
      <c r="J568" s="7" t="n">
        <f aca="false">E568*F568</f>
        <v>10.2</v>
      </c>
      <c r="K568" s="8" t="n">
        <f aca="false">IF(H568="","",1-F568/H568)</f>
        <v>0</v>
      </c>
    </row>
    <row r="569" customFormat="false" ht="15" hidden="false" customHeight="false" outlineLevel="0" collapsed="false">
      <c r="A569" s="0" t="s">
        <v>465</v>
      </c>
      <c r="B569" s="6" t="n">
        <v>40883.3652777778</v>
      </c>
      <c r="C569" s="0" t="s">
        <v>180</v>
      </c>
      <c r="D569" s="0" t="s">
        <v>475</v>
      </c>
      <c r="E569" s="0" t="n">
        <v>24</v>
      </c>
      <c r="F569" s="0" t="n">
        <v>0.85</v>
      </c>
      <c r="G569" s="7" t="str">
        <f aca="false">_xlfn.XLOOKUP(D569,Catalog!$B$2:$B$4102,Catalog!$A$2:$A$4102,"NOT IN CATALOG")</f>
        <v>CHRISTMAS RETROSPOT HEART WOOD</v>
      </c>
      <c r="H569" s="7" t="n">
        <f aca="false">_xlfn.IFNA(VLOOKUP(D569,Catalog!$B$2:$C$4102,2,FALSE()),"")</f>
        <v>0.85</v>
      </c>
      <c r="I569" s="7" t="str">
        <f aca="false">HLOOKUP(C569,Regions!$B$1:$S$2,2,FALSE())</f>
        <v>EU</v>
      </c>
      <c r="J569" s="7" t="n">
        <f aca="false">E569*F569</f>
        <v>20.4</v>
      </c>
      <c r="K569" s="8" t="n">
        <f aca="false">IF(H569="","",1-F569/H569)</f>
        <v>0</v>
      </c>
    </row>
    <row r="570" customFormat="false" ht="15" hidden="false" customHeight="false" outlineLevel="0" collapsed="false">
      <c r="A570" s="0" t="s">
        <v>465</v>
      </c>
      <c r="B570" s="6" t="n">
        <v>40883.3652777778</v>
      </c>
      <c r="C570" s="0" t="s">
        <v>180</v>
      </c>
      <c r="D570" s="0" t="s">
        <v>39</v>
      </c>
      <c r="E570" s="0" t="n">
        <v>4</v>
      </c>
      <c r="F570" s="0" t="n">
        <v>28</v>
      </c>
      <c r="G570" s="7" t="str">
        <f aca="false">_xlfn.XLOOKUP(D570,Catalog!$B$2:$B$4102,Catalog!$A$2:$A$4102,"NOT IN CATALOG")</f>
        <v>POSTAGE</v>
      </c>
      <c r="H570" s="7" t="n">
        <f aca="false">_xlfn.IFNA(VLOOKUP(D570,Catalog!$B$2:$C$4102,2,FALSE()),"")</f>
        <v>18</v>
      </c>
      <c r="I570" s="7" t="str">
        <f aca="false">HLOOKUP(C570,Regions!$B$1:$S$2,2,FALSE())</f>
        <v>EU</v>
      </c>
      <c r="J570" s="7" t="n">
        <f aca="false">E570*F570</f>
        <v>112</v>
      </c>
      <c r="K570" s="8" t="n">
        <f aca="false">IF(H570="","",1-F570/H570)</f>
        <v>-0.555555555555556</v>
      </c>
    </row>
    <row r="571" customFormat="false" ht="15" hidden="false" customHeight="false" outlineLevel="0" collapsed="false">
      <c r="A571" s="0" t="s">
        <v>476</v>
      </c>
      <c r="B571" s="6" t="n">
        <v>40883.3715277778</v>
      </c>
      <c r="C571" s="0" t="s">
        <v>81</v>
      </c>
      <c r="D571" s="0" t="s">
        <v>477</v>
      </c>
      <c r="E571" s="0" t="n">
        <v>8</v>
      </c>
      <c r="F571" s="0" t="n">
        <v>1.95</v>
      </c>
      <c r="G571" s="7" t="str">
        <f aca="false">_xlfn.XLOOKUP(D571,Catalog!$B$2:$B$4102,Catalog!$A$2:$A$4102,"NOT IN CATALOG")</f>
        <v>NOT IN CATALOG</v>
      </c>
      <c r="H571" s="7" t="str">
        <f aca="false">_xlfn.IFNA(VLOOKUP(D571,Catalog!$B$2:$C$4102,2,FALSE()),"")</f>
        <v/>
      </c>
      <c r="I571" s="7" t="str">
        <f aca="false">HLOOKUP(C571,Regions!$B$1:$S$2,2,FALSE())</f>
        <v>EU</v>
      </c>
      <c r="J571" s="7" t="n">
        <f aca="false">E571*F571</f>
        <v>15.6</v>
      </c>
      <c r="K571" s="8" t="str">
        <f aca="false">IF(H571="","",1-F571/H571)</f>
        <v/>
      </c>
    </row>
    <row r="572" customFormat="false" ht="15" hidden="false" customHeight="false" outlineLevel="0" collapsed="false">
      <c r="A572" s="0" t="s">
        <v>476</v>
      </c>
      <c r="B572" s="6" t="n">
        <v>40883.3715277778</v>
      </c>
      <c r="C572" s="0" t="s">
        <v>81</v>
      </c>
      <c r="D572" s="0" t="s">
        <v>379</v>
      </c>
      <c r="E572" s="0" t="n">
        <v>12</v>
      </c>
      <c r="F572" s="0" t="n">
        <v>1.25</v>
      </c>
      <c r="G572" s="7" t="str">
        <f aca="false">_xlfn.XLOOKUP(D572,Catalog!$B$2:$B$4102,Catalog!$A$2:$A$4102,"NOT IN CATALOG")</f>
        <v>NOT IN CATALOG</v>
      </c>
      <c r="H572" s="7" t="str">
        <f aca="false">_xlfn.IFNA(VLOOKUP(D572,Catalog!$B$2:$C$4102,2,FALSE()),"")</f>
        <v/>
      </c>
      <c r="I572" s="7" t="str">
        <f aca="false">HLOOKUP(C572,Regions!$B$1:$S$2,2,FALSE())</f>
        <v>EU</v>
      </c>
      <c r="J572" s="7" t="n">
        <f aca="false">E572*F572</f>
        <v>15</v>
      </c>
      <c r="K572" s="8" t="str">
        <f aca="false">IF(H572="","",1-F572/H572)</f>
        <v/>
      </c>
    </row>
    <row r="573" customFormat="false" ht="15" hidden="false" customHeight="false" outlineLevel="0" collapsed="false">
      <c r="A573" s="0" t="s">
        <v>476</v>
      </c>
      <c r="B573" s="6" t="n">
        <v>40883.3715277778</v>
      </c>
      <c r="C573" s="0" t="s">
        <v>81</v>
      </c>
      <c r="D573" s="0" t="s">
        <v>478</v>
      </c>
      <c r="E573" s="0" t="n">
        <v>4</v>
      </c>
      <c r="F573" s="0" t="n">
        <v>4.95</v>
      </c>
      <c r="G573" s="7" t="str">
        <f aca="false">_xlfn.XLOOKUP(D573,Catalog!$B$2:$B$4102,Catalog!$A$2:$A$4102,"NOT IN CATALOG")</f>
        <v>FOLDING UMBRELLA , RED/WHITE SPOT</v>
      </c>
      <c r="H573" s="7" t="n">
        <f aca="false">_xlfn.IFNA(VLOOKUP(D573,Catalog!$B$2:$C$4102,2,FALSE()),"")</f>
        <v>4.95</v>
      </c>
      <c r="I573" s="7" t="str">
        <f aca="false">HLOOKUP(C573,Regions!$B$1:$S$2,2,FALSE())</f>
        <v>EU</v>
      </c>
      <c r="J573" s="7" t="n">
        <f aca="false">E573*F573</f>
        <v>19.8</v>
      </c>
      <c r="K573" s="8" t="n">
        <f aca="false">IF(H573="","",1-F573/H573)</f>
        <v>0</v>
      </c>
    </row>
    <row r="574" customFormat="false" ht="15" hidden="false" customHeight="false" outlineLevel="0" collapsed="false">
      <c r="A574" s="0" t="s">
        <v>476</v>
      </c>
      <c r="B574" s="6" t="n">
        <v>40883.3715277778</v>
      </c>
      <c r="C574" s="0" t="s">
        <v>81</v>
      </c>
      <c r="D574" s="0" t="s">
        <v>479</v>
      </c>
      <c r="E574" s="0" t="n">
        <v>4</v>
      </c>
      <c r="F574" s="0" t="n">
        <v>4.95</v>
      </c>
      <c r="G574" s="7" t="str">
        <f aca="false">_xlfn.XLOOKUP(D574,Catalog!$B$2:$B$4102,Catalog!$A$2:$A$4102,"NOT IN CATALOG")</f>
        <v>FOLDING UMBRELLA , BLACK/BLUE SPOT</v>
      </c>
      <c r="H574" s="7" t="n">
        <f aca="false">_xlfn.IFNA(VLOOKUP(D574,Catalog!$B$2:$C$4102,2,FALSE()),"")</f>
        <v>4.95</v>
      </c>
      <c r="I574" s="7" t="str">
        <f aca="false">HLOOKUP(C574,Regions!$B$1:$S$2,2,FALSE())</f>
        <v>EU</v>
      </c>
      <c r="J574" s="7" t="n">
        <f aca="false">E574*F574</f>
        <v>19.8</v>
      </c>
      <c r="K574" s="8" t="n">
        <f aca="false">IF(H574="","",1-F574/H574)</f>
        <v>0</v>
      </c>
    </row>
    <row r="575" customFormat="false" ht="15" hidden="false" customHeight="false" outlineLevel="0" collapsed="false">
      <c r="A575" s="0" t="s">
        <v>476</v>
      </c>
      <c r="B575" s="6" t="n">
        <v>40883.3715277778</v>
      </c>
      <c r="C575" s="0" t="s">
        <v>81</v>
      </c>
      <c r="D575" s="0" t="s">
        <v>480</v>
      </c>
      <c r="E575" s="0" t="n">
        <v>6</v>
      </c>
      <c r="F575" s="0" t="n">
        <v>1.95</v>
      </c>
      <c r="G575" s="7" t="str">
        <f aca="false">_xlfn.XLOOKUP(D575,Catalog!$B$2:$B$4102,Catalog!$A$2:$A$4102,"NOT IN CATALOG")</f>
        <v>WATERING CAN BLUE ELEPHANT</v>
      </c>
      <c r="H575" s="7" t="n">
        <f aca="false">_xlfn.IFNA(VLOOKUP(D575,Catalog!$B$2:$C$4102,2,FALSE()),"")</f>
        <v>1.95</v>
      </c>
      <c r="I575" s="7" t="str">
        <f aca="false">HLOOKUP(C575,Regions!$B$1:$S$2,2,FALSE())</f>
        <v>EU</v>
      </c>
      <c r="J575" s="7" t="n">
        <f aca="false">E575*F575</f>
        <v>11.7</v>
      </c>
      <c r="K575" s="8" t="n">
        <f aca="false">IF(H575="","",1-F575/H575)</f>
        <v>0</v>
      </c>
    </row>
    <row r="576" customFormat="false" ht="15" hidden="false" customHeight="false" outlineLevel="0" collapsed="false">
      <c r="A576" s="0" t="s">
        <v>476</v>
      </c>
      <c r="B576" s="6" t="n">
        <v>40883.3715277778</v>
      </c>
      <c r="C576" s="0" t="s">
        <v>81</v>
      </c>
      <c r="D576" s="0" t="s">
        <v>271</v>
      </c>
      <c r="E576" s="0" t="n">
        <v>4</v>
      </c>
      <c r="F576" s="0" t="n">
        <v>4.95</v>
      </c>
      <c r="G576" s="7" t="str">
        <f aca="false">_xlfn.XLOOKUP(D576,Catalog!$B$2:$B$4102,Catalog!$A$2:$A$4102,"NOT IN CATALOG")</f>
        <v>PARTY BUNTING</v>
      </c>
      <c r="H576" s="7" t="n">
        <f aca="false">_xlfn.IFNA(VLOOKUP(D576,Catalog!$B$2:$C$4102,2,FALSE()),"")</f>
        <v>4.65</v>
      </c>
      <c r="I576" s="7" t="str">
        <f aca="false">HLOOKUP(C576,Regions!$B$1:$S$2,2,FALSE())</f>
        <v>EU</v>
      </c>
      <c r="J576" s="7" t="n">
        <f aca="false">E576*F576</f>
        <v>19.8</v>
      </c>
      <c r="K576" s="8" t="n">
        <f aca="false">IF(H576="","",1-F576/H576)</f>
        <v>-0.064516129032258</v>
      </c>
    </row>
    <row r="577" customFormat="false" ht="15" hidden="false" customHeight="false" outlineLevel="0" collapsed="false">
      <c r="A577" s="0" t="s">
        <v>476</v>
      </c>
      <c r="B577" s="6" t="n">
        <v>40883.3715277778</v>
      </c>
      <c r="C577" s="0" t="s">
        <v>81</v>
      </c>
      <c r="D577" s="0" t="s">
        <v>481</v>
      </c>
      <c r="E577" s="0" t="n">
        <v>8</v>
      </c>
      <c r="F577" s="0" t="n">
        <v>1.95</v>
      </c>
      <c r="G577" s="7" t="str">
        <f aca="false">_xlfn.XLOOKUP(D577,Catalog!$B$2:$B$4102,Catalog!$A$2:$A$4102,"NOT IN CATALOG")</f>
        <v>CHILDRENS APRON SPACEBOY DESIGN</v>
      </c>
      <c r="H577" s="7" t="n">
        <f aca="false">_xlfn.IFNA(VLOOKUP(D577,Catalog!$B$2:$C$4102,2,FALSE()),"")</f>
        <v>1.95</v>
      </c>
      <c r="I577" s="7" t="str">
        <f aca="false">HLOOKUP(C577,Regions!$B$1:$S$2,2,FALSE())</f>
        <v>EU</v>
      </c>
      <c r="J577" s="7" t="n">
        <f aca="false">E577*F577</f>
        <v>15.6</v>
      </c>
      <c r="K577" s="8" t="n">
        <f aca="false">IF(H577="","",1-F577/H577)</f>
        <v>0</v>
      </c>
    </row>
    <row r="578" customFormat="false" ht="15" hidden="false" customHeight="false" outlineLevel="0" collapsed="false">
      <c r="A578" s="0" t="s">
        <v>476</v>
      </c>
      <c r="B578" s="6" t="n">
        <v>40883.3715277778</v>
      </c>
      <c r="C578" s="0" t="s">
        <v>81</v>
      </c>
      <c r="D578" s="0" t="s">
        <v>482</v>
      </c>
      <c r="E578" s="0" t="n">
        <v>6</v>
      </c>
      <c r="F578" s="0" t="n">
        <v>2.95</v>
      </c>
      <c r="G578" s="7" t="str">
        <f aca="false">_xlfn.XLOOKUP(D578,Catalog!$B$2:$B$4102,Catalog!$A$2:$A$4102,"NOT IN CATALOG")</f>
        <v>ROUND SNACK BOXES SET OF4 WOODLAND</v>
      </c>
      <c r="H578" s="7" t="n">
        <f aca="false">_xlfn.IFNA(VLOOKUP(D578,Catalog!$B$2:$C$4102,2,FALSE()),"")</f>
        <v>2.95</v>
      </c>
      <c r="I578" s="7" t="str">
        <f aca="false">HLOOKUP(C578,Regions!$B$1:$S$2,2,FALSE())</f>
        <v>EU</v>
      </c>
      <c r="J578" s="7" t="n">
        <f aca="false">E578*F578</f>
        <v>17.7</v>
      </c>
      <c r="K578" s="8" t="n">
        <f aca="false">IF(H578="","",1-F578/H578)</f>
        <v>0</v>
      </c>
    </row>
    <row r="579" customFormat="false" ht="15" hidden="false" customHeight="false" outlineLevel="0" collapsed="false">
      <c r="A579" s="0" t="s">
        <v>476</v>
      </c>
      <c r="B579" s="6" t="n">
        <v>40883.3715277778</v>
      </c>
      <c r="C579" s="0" t="s">
        <v>81</v>
      </c>
      <c r="D579" s="0" t="s">
        <v>441</v>
      </c>
      <c r="E579" s="0" t="n">
        <v>6</v>
      </c>
      <c r="F579" s="0" t="n">
        <v>2.95</v>
      </c>
      <c r="G579" s="7" t="str">
        <f aca="false">_xlfn.XLOOKUP(D579,Catalog!$B$2:$B$4102,Catalog!$A$2:$A$4102,"NOT IN CATALOG")</f>
        <v>ROUND SNACK BOXES SET OF 4 FRUITS</v>
      </c>
      <c r="H579" s="7" t="n">
        <f aca="false">_xlfn.IFNA(VLOOKUP(D579,Catalog!$B$2:$C$4102,2,FALSE()),"")</f>
        <v>2.95</v>
      </c>
      <c r="I579" s="7" t="str">
        <f aca="false">HLOOKUP(C579,Regions!$B$1:$S$2,2,FALSE())</f>
        <v>EU</v>
      </c>
      <c r="J579" s="7" t="n">
        <f aca="false">E579*F579</f>
        <v>17.7</v>
      </c>
      <c r="K579" s="8" t="n">
        <f aca="false">IF(H579="","",1-F579/H579)</f>
        <v>0</v>
      </c>
    </row>
    <row r="580" customFormat="false" ht="15" hidden="false" customHeight="false" outlineLevel="0" collapsed="false">
      <c r="A580" s="0" t="s">
        <v>476</v>
      </c>
      <c r="B580" s="6" t="n">
        <v>40883.3715277778</v>
      </c>
      <c r="C580" s="0" t="s">
        <v>81</v>
      </c>
      <c r="D580" s="0" t="s">
        <v>229</v>
      </c>
      <c r="E580" s="0" t="n">
        <v>12</v>
      </c>
      <c r="F580" s="0" t="n">
        <v>0.85</v>
      </c>
      <c r="G580" s="7" t="str">
        <f aca="false">_xlfn.XLOOKUP(D580,Catalog!$B$2:$B$4102,Catalog!$A$2:$A$4102,"NOT IN CATALOG")</f>
        <v>RETRO PLASTIC ELEPHANT TRAY</v>
      </c>
      <c r="H580" s="7" t="n">
        <f aca="false">_xlfn.IFNA(VLOOKUP(D580,Catalog!$B$2:$C$4102,2,FALSE()),"")</f>
        <v>0.85</v>
      </c>
      <c r="I580" s="7" t="str">
        <f aca="false">HLOOKUP(C580,Regions!$B$1:$S$2,2,FALSE())</f>
        <v>EU</v>
      </c>
      <c r="J580" s="7" t="n">
        <f aca="false">E580*F580</f>
        <v>10.2</v>
      </c>
      <c r="K580" s="8" t="n">
        <f aca="false">IF(H580="","",1-F580/H580)</f>
        <v>0</v>
      </c>
    </row>
    <row r="581" customFormat="false" ht="15" hidden="false" customHeight="false" outlineLevel="0" collapsed="false">
      <c r="A581" s="0" t="s">
        <v>476</v>
      </c>
      <c r="B581" s="6" t="n">
        <v>40883.3715277778</v>
      </c>
      <c r="C581" s="0" t="s">
        <v>81</v>
      </c>
      <c r="D581" s="0" t="s">
        <v>442</v>
      </c>
      <c r="E581" s="0" t="n">
        <v>4</v>
      </c>
      <c r="F581" s="0" t="n">
        <v>4.95</v>
      </c>
      <c r="G581" s="7" t="str">
        <f aca="false">_xlfn.XLOOKUP(D581,Catalog!$B$2:$B$4102,Catalog!$A$2:$A$4102,"NOT IN CATALOG")</f>
        <v>NOT IN CATALOG</v>
      </c>
      <c r="H581" s="7" t="str">
        <f aca="false">_xlfn.IFNA(VLOOKUP(D581,Catalog!$B$2:$C$4102,2,FALSE()),"")</f>
        <v/>
      </c>
      <c r="I581" s="7" t="str">
        <f aca="false">HLOOKUP(C581,Regions!$B$1:$S$2,2,FALSE())</f>
        <v>EU</v>
      </c>
      <c r="J581" s="7" t="n">
        <f aca="false">E581*F581</f>
        <v>19.8</v>
      </c>
      <c r="K581" s="8" t="str">
        <f aca="false">IF(H581="","",1-F581/H581)</f>
        <v/>
      </c>
    </row>
    <row r="582" customFormat="false" ht="15" hidden="false" customHeight="false" outlineLevel="0" collapsed="false">
      <c r="A582" s="0" t="s">
        <v>476</v>
      </c>
      <c r="B582" s="6" t="n">
        <v>40883.3715277778</v>
      </c>
      <c r="C582" s="0" t="s">
        <v>81</v>
      </c>
      <c r="D582" s="0" t="s">
        <v>369</v>
      </c>
      <c r="E582" s="0" t="n">
        <v>3</v>
      </c>
      <c r="F582" s="0" t="n">
        <v>4.95</v>
      </c>
      <c r="G582" s="7" t="str">
        <f aca="false">_xlfn.XLOOKUP(D582,Catalog!$B$2:$B$4102,Catalog!$A$2:$A$4102,"NOT IN CATALOG")</f>
        <v>NOT IN CATALOG</v>
      </c>
      <c r="H582" s="7" t="str">
        <f aca="false">_xlfn.IFNA(VLOOKUP(D582,Catalog!$B$2:$C$4102,2,FALSE()),"")</f>
        <v/>
      </c>
      <c r="I582" s="7" t="str">
        <f aca="false">HLOOKUP(C582,Regions!$B$1:$S$2,2,FALSE())</f>
        <v>EU</v>
      </c>
      <c r="J582" s="7" t="n">
        <f aca="false">E582*F582</f>
        <v>14.85</v>
      </c>
      <c r="K582" s="8" t="str">
        <f aca="false">IF(H582="","",1-F582/H582)</f>
        <v/>
      </c>
    </row>
    <row r="583" customFormat="false" ht="15" hidden="false" customHeight="false" outlineLevel="0" collapsed="false">
      <c r="A583" s="0" t="s">
        <v>476</v>
      </c>
      <c r="B583" s="6" t="n">
        <v>40883.3715277778</v>
      </c>
      <c r="C583" s="0" t="s">
        <v>81</v>
      </c>
      <c r="D583" s="0" t="s">
        <v>396</v>
      </c>
      <c r="E583" s="0" t="n">
        <v>8</v>
      </c>
      <c r="F583" s="0" t="n">
        <v>1.25</v>
      </c>
      <c r="G583" s="7" t="str">
        <f aca="false">_xlfn.XLOOKUP(D583,Catalog!$B$2:$B$4102,Catalog!$A$2:$A$4102,"NOT IN CATALOG")</f>
        <v>RED SPOTTY BOWL</v>
      </c>
      <c r="H583" s="7" t="n">
        <f aca="false">_xlfn.IFNA(VLOOKUP(D583,Catalog!$B$2:$C$4102,2,FALSE()),"")</f>
        <v>1.25</v>
      </c>
      <c r="I583" s="7" t="str">
        <f aca="false">HLOOKUP(C583,Regions!$B$1:$S$2,2,FALSE())</f>
        <v>EU</v>
      </c>
      <c r="J583" s="7" t="n">
        <f aca="false">E583*F583</f>
        <v>10</v>
      </c>
      <c r="K583" s="8" t="n">
        <f aca="false">IF(H583="","",1-F583/H583)</f>
        <v>0</v>
      </c>
    </row>
    <row r="584" customFormat="false" ht="15" hidden="false" customHeight="false" outlineLevel="0" collapsed="false">
      <c r="A584" s="0" t="s">
        <v>476</v>
      </c>
      <c r="B584" s="6" t="n">
        <v>40883.3715277778</v>
      </c>
      <c r="C584" s="0" t="s">
        <v>81</v>
      </c>
      <c r="D584" s="0" t="s">
        <v>483</v>
      </c>
      <c r="E584" s="0" t="n">
        <v>6</v>
      </c>
      <c r="F584" s="0" t="n">
        <v>1.65</v>
      </c>
      <c r="G584" s="7" t="str">
        <f aca="false">_xlfn.XLOOKUP(D584,Catalog!$B$2:$B$4102,Catalog!$A$2:$A$4102,"NOT IN CATALOG")</f>
        <v>RED ENCHANTED FOREST PLACEMAT</v>
      </c>
      <c r="H584" s="7" t="n">
        <f aca="false">_xlfn.IFNA(VLOOKUP(D584,Catalog!$B$2:$C$4102,2,FALSE()),"")</f>
        <v>1.65</v>
      </c>
      <c r="I584" s="7" t="str">
        <f aca="false">HLOOKUP(C584,Regions!$B$1:$S$2,2,FALSE())</f>
        <v>EU</v>
      </c>
      <c r="J584" s="7" t="n">
        <f aca="false">E584*F584</f>
        <v>9.9</v>
      </c>
      <c r="K584" s="8" t="n">
        <f aca="false">IF(H584="","",1-F584/H584)</f>
        <v>0</v>
      </c>
    </row>
    <row r="585" customFormat="false" ht="15" hidden="false" customHeight="false" outlineLevel="0" collapsed="false">
      <c r="A585" s="0" t="s">
        <v>476</v>
      </c>
      <c r="B585" s="6" t="n">
        <v>40883.3715277778</v>
      </c>
      <c r="C585" s="0" t="s">
        <v>81</v>
      </c>
      <c r="D585" s="0" t="s">
        <v>248</v>
      </c>
      <c r="E585" s="0" t="n">
        <v>2</v>
      </c>
      <c r="F585" s="0" t="n">
        <v>8.5</v>
      </c>
      <c r="G585" s="7" t="str">
        <f aca="false">_xlfn.XLOOKUP(D585,Catalog!$B$2:$B$4102,Catalog!$A$2:$A$4102,"NOT IN CATALOG")</f>
        <v>CHILDS BREAKFAST SET CIRCUS PARADE</v>
      </c>
      <c r="H585" s="7" t="n">
        <f aca="false">_xlfn.IFNA(VLOOKUP(D585,Catalog!$B$2:$C$4102,2,FALSE()),"")</f>
        <v>8.5</v>
      </c>
      <c r="I585" s="7" t="str">
        <f aca="false">HLOOKUP(C585,Regions!$B$1:$S$2,2,FALSE())</f>
        <v>EU</v>
      </c>
      <c r="J585" s="7" t="n">
        <f aca="false">E585*F585</f>
        <v>17</v>
      </c>
      <c r="K585" s="8" t="n">
        <f aca="false">IF(H585="","",1-F585/H585)</f>
        <v>0</v>
      </c>
    </row>
    <row r="586" customFormat="false" ht="15" hidden="false" customHeight="false" outlineLevel="0" collapsed="false">
      <c r="A586" s="0" t="s">
        <v>476</v>
      </c>
      <c r="B586" s="6" t="n">
        <v>40883.3715277778</v>
      </c>
      <c r="C586" s="0" t="s">
        <v>81</v>
      </c>
      <c r="D586" s="0" t="s">
        <v>250</v>
      </c>
      <c r="E586" s="0" t="n">
        <v>6</v>
      </c>
      <c r="F586" s="0" t="n">
        <v>2.55</v>
      </c>
      <c r="G586" s="7" t="str">
        <f aca="false">_xlfn.XLOOKUP(D586,Catalog!$B$2:$B$4102,Catalog!$A$2:$A$4102,"NOT IN CATALOG")</f>
        <v>COFFEE MUG APPLES DESIGN</v>
      </c>
      <c r="H586" s="7" t="n">
        <f aca="false">_xlfn.IFNA(VLOOKUP(D586,Catalog!$B$2:$C$4102,2,FALSE()),"")</f>
        <v>2.55</v>
      </c>
      <c r="I586" s="7" t="str">
        <f aca="false">HLOOKUP(C586,Regions!$B$1:$S$2,2,FALSE())</f>
        <v>EU</v>
      </c>
      <c r="J586" s="7" t="n">
        <f aca="false">E586*F586</f>
        <v>15.3</v>
      </c>
      <c r="K586" s="8" t="n">
        <f aca="false">IF(H586="","",1-F586/H586)</f>
        <v>0</v>
      </c>
    </row>
    <row r="587" customFormat="false" ht="15" hidden="false" customHeight="false" outlineLevel="0" collapsed="false">
      <c r="A587" s="0" t="s">
        <v>476</v>
      </c>
      <c r="B587" s="6" t="n">
        <v>40883.3715277778</v>
      </c>
      <c r="C587" s="0" t="s">
        <v>81</v>
      </c>
      <c r="D587" s="0" t="s">
        <v>249</v>
      </c>
      <c r="E587" s="0" t="n">
        <v>6</v>
      </c>
      <c r="F587" s="0" t="n">
        <v>2.55</v>
      </c>
      <c r="G587" s="7" t="str">
        <f aca="false">_xlfn.XLOOKUP(D587,Catalog!$B$2:$B$4102,Catalog!$A$2:$A$4102,"NOT IN CATALOG")</f>
        <v>COFFEE MUG PEARS DESIGN</v>
      </c>
      <c r="H587" s="7" t="n">
        <f aca="false">_xlfn.IFNA(VLOOKUP(D587,Catalog!$B$2:$C$4102,2,FALSE()),"")</f>
        <v>2.55</v>
      </c>
      <c r="I587" s="7" t="str">
        <f aca="false">HLOOKUP(C587,Regions!$B$1:$S$2,2,FALSE())</f>
        <v>EU</v>
      </c>
      <c r="J587" s="7" t="n">
        <f aca="false">E587*F587</f>
        <v>15.3</v>
      </c>
      <c r="K587" s="8" t="n">
        <f aca="false">IF(H587="","",1-F587/H587)</f>
        <v>0</v>
      </c>
    </row>
    <row r="588" customFormat="false" ht="15" hidden="false" customHeight="false" outlineLevel="0" collapsed="false">
      <c r="A588" s="0" t="s">
        <v>476</v>
      </c>
      <c r="B588" s="6" t="n">
        <v>40883.3715277778</v>
      </c>
      <c r="C588" s="0" t="s">
        <v>81</v>
      </c>
      <c r="D588" s="0" t="s">
        <v>127</v>
      </c>
      <c r="E588" s="0" t="n">
        <v>6</v>
      </c>
      <c r="F588" s="0" t="n">
        <v>2.55</v>
      </c>
      <c r="G588" s="7" t="str">
        <f aca="false">_xlfn.XLOOKUP(D588,Catalog!$B$2:$B$4102,Catalog!$A$2:$A$4102,"NOT IN CATALOG")</f>
        <v>COFFEE MUG CAT + BIRD DESIGN</v>
      </c>
      <c r="H588" s="7" t="n">
        <f aca="false">_xlfn.IFNA(VLOOKUP(D588,Catalog!$B$2:$C$4102,2,FALSE()),"")</f>
        <v>2.55</v>
      </c>
      <c r="I588" s="7" t="str">
        <f aca="false">HLOOKUP(C588,Regions!$B$1:$S$2,2,FALSE())</f>
        <v>EU</v>
      </c>
      <c r="J588" s="7" t="n">
        <f aca="false">E588*F588</f>
        <v>15.3</v>
      </c>
      <c r="K588" s="8" t="n">
        <f aca="false">IF(H588="","",1-F588/H588)</f>
        <v>0</v>
      </c>
    </row>
    <row r="589" customFormat="false" ht="15" hidden="false" customHeight="false" outlineLevel="0" collapsed="false">
      <c r="A589" s="0" t="s">
        <v>476</v>
      </c>
      <c r="B589" s="6" t="n">
        <v>40883.3715277778</v>
      </c>
      <c r="C589" s="0" t="s">
        <v>81</v>
      </c>
      <c r="D589" s="0" t="s">
        <v>452</v>
      </c>
      <c r="E589" s="0" t="n">
        <v>20</v>
      </c>
      <c r="F589" s="0" t="n">
        <v>0.85</v>
      </c>
      <c r="G589" s="7" t="str">
        <f aca="false">_xlfn.XLOOKUP(D589,Catalog!$B$2:$B$4102,Catalog!$A$2:$A$4102,"NOT IN CATALOG")</f>
        <v>SET OF 9 BLACK SKULL BALLOONS</v>
      </c>
      <c r="H589" s="7" t="n">
        <f aca="false">_xlfn.IFNA(VLOOKUP(D589,Catalog!$B$2:$C$4102,2,FALSE()),"")</f>
        <v>0.85</v>
      </c>
      <c r="I589" s="7" t="str">
        <f aca="false">HLOOKUP(C589,Regions!$B$1:$S$2,2,FALSE())</f>
        <v>EU</v>
      </c>
      <c r="J589" s="7" t="n">
        <f aca="false">E589*F589</f>
        <v>17</v>
      </c>
      <c r="K589" s="8" t="n">
        <f aca="false">IF(H589="","",1-F589/H589)</f>
        <v>0</v>
      </c>
    </row>
    <row r="590" customFormat="false" ht="15" hidden="false" customHeight="false" outlineLevel="0" collapsed="false">
      <c r="A590" s="0" t="s">
        <v>476</v>
      </c>
      <c r="B590" s="6" t="n">
        <v>40883.3715277778</v>
      </c>
      <c r="C590" s="0" t="s">
        <v>81</v>
      </c>
      <c r="D590" s="0" t="s">
        <v>183</v>
      </c>
      <c r="E590" s="0" t="n">
        <v>12</v>
      </c>
      <c r="F590" s="0" t="n">
        <v>0.85</v>
      </c>
      <c r="G590" s="7" t="str">
        <f aca="false">_xlfn.XLOOKUP(D590,Catalog!$B$2:$B$4102,Catalog!$A$2:$A$4102,"NOT IN CATALOG")</f>
        <v>FRIDGE MAGNETS LES ENFANTS ASSORTED</v>
      </c>
      <c r="H590" s="7" t="n">
        <f aca="false">_xlfn.IFNA(VLOOKUP(D590,Catalog!$B$2:$C$4102,2,FALSE()),"")</f>
        <v>0.85</v>
      </c>
      <c r="I590" s="7" t="str">
        <f aca="false">HLOOKUP(C590,Regions!$B$1:$S$2,2,FALSE())</f>
        <v>EU</v>
      </c>
      <c r="J590" s="7" t="n">
        <f aca="false">E590*F590</f>
        <v>10.2</v>
      </c>
      <c r="K590" s="8" t="n">
        <f aca="false">IF(H590="","",1-F590/H590)</f>
        <v>0</v>
      </c>
    </row>
    <row r="591" customFormat="false" ht="15" hidden="false" customHeight="false" outlineLevel="0" collapsed="false">
      <c r="A591" s="0" t="s">
        <v>476</v>
      </c>
      <c r="B591" s="6" t="n">
        <v>40883.3715277778</v>
      </c>
      <c r="C591" s="0" t="s">
        <v>81</v>
      </c>
      <c r="D591" s="0" t="s">
        <v>182</v>
      </c>
      <c r="E591" s="0" t="n">
        <v>12</v>
      </c>
      <c r="F591" s="0" t="n">
        <v>0.85</v>
      </c>
      <c r="G591" s="7" t="str">
        <f aca="false">_xlfn.XLOOKUP(D591,Catalog!$B$2:$B$4102,Catalog!$A$2:$A$4102,"NOT IN CATALOG")</f>
        <v>FRIDGE MAGNETS LA VIE EN ROSE</v>
      </c>
      <c r="H591" s="7" t="n">
        <f aca="false">_xlfn.IFNA(VLOOKUP(D591,Catalog!$B$2:$C$4102,2,FALSE()),"")</f>
        <v>0.85</v>
      </c>
      <c r="I591" s="7" t="str">
        <f aca="false">HLOOKUP(C591,Regions!$B$1:$S$2,2,FALSE())</f>
        <v>EU</v>
      </c>
      <c r="J591" s="7" t="n">
        <f aca="false">E591*F591</f>
        <v>10.2</v>
      </c>
      <c r="K591" s="8" t="n">
        <f aca="false">IF(H591="","",1-F591/H591)</f>
        <v>0</v>
      </c>
    </row>
    <row r="592" customFormat="false" ht="15" hidden="false" customHeight="false" outlineLevel="0" collapsed="false">
      <c r="A592" s="0" t="s">
        <v>476</v>
      </c>
      <c r="B592" s="6" t="n">
        <v>40883.3715277778</v>
      </c>
      <c r="C592" s="0" t="s">
        <v>81</v>
      </c>
      <c r="D592" s="0" t="s">
        <v>484</v>
      </c>
      <c r="E592" s="0" t="n">
        <v>36</v>
      </c>
      <c r="F592" s="0" t="n">
        <v>0.19</v>
      </c>
      <c r="G592" s="7" t="str">
        <f aca="false">_xlfn.XLOOKUP(D592,Catalog!$B$2:$B$4102,Catalog!$A$2:$A$4102,"NOT IN CATALOG")</f>
        <v>PENS ASSORTED FUNNY FACE</v>
      </c>
      <c r="H592" s="7" t="n">
        <f aca="false">_xlfn.IFNA(VLOOKUP(D592,Catalog!$B$2:$C$4102,2,FALSE()),"")</f>
        <v>0.85</v>
      </c>
      <c r="I592" s="7" t="str">
        <f aca="false">HLOOKUP(C592,Regions!$B$1:$S$2,2,FALSE())</f>
        <v>EU</v>
      </c>
      <c r="J592" s="7" t="n">
        <f aca="false">E592*F592</f>
        <v>6.84</v>
      </c>
      <c r="K592" s="8" t="n">
        <f aca="false">IF(H592="","",1-F592/H592)</f>
        <v>0.776470588235294</v>
      </c>
    </row>
    <row r="593" customFormat="false" ht="15" hidden="false" customHeight="false" outlineLevel="0" collapsed="false">
      <c r="A593" s="0" t="s">
        <v>476</v>
      </c>
      <c r="B593" s="6" t="n">
        <v>40883.3715277778</v>
      </c>
      <c r="C593" s="0" t="s">
        <v>81</v>
      </c>
      <c r="D593" s="0" t="s">
        <v>485</v>
      </c>
      <c r="E593" s="0" t="n">
        <v>12</v>
      </c>
      <c r="F593" s="0" t="n">
        <v>1.25</v>
      </c>
      <c r="G593" s="7" t="str">
        <f aca="false">_xlfn.XLOOKUP(D593,Catalog!$B$2:$B$4102,Catalog!$A$2:$A$4102,"NOT IN CATALOG")</f>
        <v>NOT IN CATALOG</v>
      </c>
      <c r="H593" s="7" t="str">
        <f aca="false">_xlfn.IFNA(VLOOKUP(D593,Catalog!$B$2:$C$4102,2,FALSE()),"")</f>
        <v/>
      </c>
      <c r="I593" s="7" t="str">
        <f aca="false">HLOOKUP(C593,Regions!$B$1:$S$2,2,FALSE())</f>
        <v>EU</v>
      </c>
      <c r="J593" s="7" t="n">
        <f aca="false">E593*F593</f>
        <v>15</v>
      </c>
      <c r="K593" s="8" t="str">
        <f aca="false">IF(H593="","",1-F593/H593)</f>
        <v/>
      </c>
    </row>
    <row r="594" customFormat="false" ht="15" hidden="false" customHeight="false" outlineLevel="0" collapsed="false">
      <c r="A594" s="0" t="s">
        <v>476</v>
      </c>
      <c r="B594" s="6" t="n">
        <v>40883.3715277778</v>
      </c>
      <c r="C594" s="0" t="s">
        <v>81</v>
      </c>
      <c r="D594" s="0" t="s">
        <v>39</v>
      </c>
      <c r="E594" s="0" t="n">
        <v>2</v>
      </c>
      <c r="F594" s="0" t="n">
        <v>18</v>
      </c>
      <c r="G594" s="7" t="str">
        <f aca="false">_xlfn.XLOOKUP(D594,Catalog!$B$2:$B$4102,Catalog!$A$2:$A$4102,"NOT IN CATALOG")</f>
        <v>POSTAGE</v>
      </c>
      <c r="H594" s="7" t="n">
        <f aca="false">_xlfn.IFNA(VLOOKUP(D594,Catalog!$B$2:$C$4102,2,FALSE()),"")</f>
        <v>18</v>
      </c>
      <c r="I594" s="7" t="str">
        <f aca="false">HLOOKUP(C594,Regions!$B$1:$S$2,2,FALSE())</f>
        <v>EU</v>
      </c>
      <c r="J594" s="7" t="n">
        <f aca="false">E594*F594</f>
        <v>36</v>
      </c>
      <c r="K594" s="8" t="n">
        <f aca="false">IF(H594="","",1-F594/H594)</f>
        <v>0</v>
      </c>
    </row>
    <row r="595" customFormat="false" ht="15" hidden="false" customHeight="false" outlineLevel="0" collapsed="false">
      <c r="A595" s="0" t="s">
        <v>486</v>
      </c>
      <c r="B595" s="6" t="n">
        <v>40883.3993055556</v>
      </c>
      <c r="C595" s="0" t="s">
        <v>487</v>
      </c>
      <c r="D595" s="0" t="s">
        <v>407</v>
      </c>
      <c r="E595" s="0" t="n">
        <v>6</v>
      </c>
      <c r="F595" s="0" t="n">
        <v>2.95</v>
      </c>
      <c r="G595" s="7" t="str">
        <f aca="false">_xlfn.XLOOKUP(D595,Catalog!$B$2:$B$4102,Catalog!$A$2:$A$4102,"NOT IN CATALOG")</f>
        <v>RED HANGING HEART T-LIGHT HOLDER</v>
      </c>
      <c r="H595" s="7" t="n">
        <f aca="false">_xlfn.IFNA(VLOOKUP(D595,Catalog!$B$2:$C$4102,2,FALSE()),"")</f>
        <v>2.95</v>
      </c>
      <c r="I595" s="7" t="str">
        <f aca="false">HLOOKUP(C595,Regions!$B$1:$S$2,2,FALSE())</f>
        <v>EU</v>
      </c>
      <c r="J595" s="7" t="n">
        <f aca="false">E595*F595</f>
        <v>17.7</v>
      </c>
      <c r="K595" s="8" t="n">
        <f aca="false">IF(H595="","",1-F595/H595)</f>
        <v>0</v>
      </c>
    </row>
    <row r="596" customFormat="false" ht="15" hidden="false" customHeight="false" outlineLevel="0" collapsed="false">
      <c r="A596" s="0" t="s">
        <v>486</v>
      </c>
      <c r="B596" s="6" t="n">
        <v>40883.3993055556</v>
      </c>
      <c r="C596" s="0" t="s">
        <v>487</v>
      </c>
      <c r="D596" s="0" t="s">
        <v>412</v>
      </c>
      <c r="E596" s="0" t="n">
        <v>18</v>
      </c>
      <c r="F596" s="0" t="n">
        <v>2.95</v>
      </c>
      <c r="G596" s="7" t="str">
        <f aca="false">_xlfn.XLOOKUP(D596,Catalog!$B$2:$B$4102,Catalog!$A$2:$A$4102,"NOT IN CATALOG")</f>
        <v>WHITE HANGING HEART T-LIGHT HOLDER</v>
      </c>
      <c r="H596" s="7" t="n">
        <f aca="false">_xlfn.IFNA(VLOOKUP(D596,Catalog!$B$2:$C$4102,2,FALSE()),"")</f>
        <v>2.95</v>
      </c>
      <c r="I596" s="7" t="str">
        <f aca="false">HLOOKUP(C596,Regions!$B$1:$S$2,2,FALSE())</f>
        <v>EU</v>
      </c>
      <c r="J596" s="7" t="n">
        <f aca="false">E596*F596</f>
        <v>53.1</v>
      </c>
      <c r="K596" s="8" t="n">
        <f aca="false">IF(H596="","",1-F596/H596)</f>
        <v>0</v>
      </c>
    </row>
    <row r="597" customFormat="false" ht="15" hidden="false" customHeight="false" outlineLevel="0" collapsed="false">
      <c r="A597" s="0" t="s">
        <v>486</v>
      </c>
      <c r="B597" s="6" t="n">
        <v>40883.3993055556</v>
      </c>
      <c r="C597" s="0" t="s">
        <v>487</v>
      </c>
      <c r="D597" s="0" t="s">
        <v>488</v>
      </c>
      <c r="E597" s="0" t="n">
        <v>1</v>
      </c>
      <c r="F597" s="0" t="n">
        <v>16.95</v>
      </c>
      <c r="G597" s="7" t="str">
        <f aca="false">_xlfn.XLOOKUP(D597,Catalog!$B$2:$B$4102,Catalog!$A$2:$A$4102,"NOT IN CATALOG")</f>
        <v>BREAD BIN DINER STYLE IVORY</v>
      </c>
      <c r="H597" s="7" t="n">
        <f aca="false">_xlfn.IFNA(VLOOKUP(D597,Catalog!$B$2:$C$4102,2,FALSE()),"")</f>
        <v>16.95</v>
      </c>
      <c r="I597" s="7" t="str">
        <f aca="false">HLOOKUP(C597,Regions!$B$1:$S$2,2,FALSE())</f>
        <v>EU</v>
      </c>
      <c r="J597" s="7" t="n">
        <f aca="false">E597*F597</f>
        <v>16.95</v>
      </c>
      <c r="K597" s="8" t="n">
        <f aca="false">IF(H597="","",1-F597/H597)</f>
        <v>0</v>
      </c>
    </row>
    <row r="598" customFormat="false" ht="15" hidden="false" customHeight="false" outlineLevel="0" collapsed="false">
      <c r="A598" s="0" t="s">
        <v>486</v>
      </c>
      <c r="B598" s="6" t="n">
        <v>40883.3993055556</v>
      </c>
      <c r="C598" s="0" t="s">
        <v>487</v>
      </c>
      <c r="D598" s="0" t="s">
        <v>489</v>
      </c>
      <c r="E598" s="0" t="n">
        <v>1</v>
      </c>
      <c r="F598" s="0" t="n">
        <v>16.95</v>
      </c>
      <c r="G598" s="7" t="str">
        <f aca="false">_xlfn.XLOOKUP(D598,Catalog!$B$2:$B$4102,Catalog!$A$2:$A$4102,"NOT IN CATALOG")</f>
        <v>BREAD BIN DINER STYLE RED</v>
      </c>
      <c r="H598" s="7" t="n">
        <f aca="false">_xlfn.IFNA(VLOOKUP(D598,Catalog!$B$2:$C$4102,2,FALSE()),"")</f>
        <v>16.95</v>
      </c>
      <c r="I598" s="7" t="str">
        <f aca="false">HLOOKUP(C598,Regions!$B$1:$S$2,2,FALSE())</f>
        <v>EU</v>
      </c>
      <c r="J598" s="7" t="n">
        <f aca="false">E598*F598</f>
        <v>16.95</v>
      </c>
      <c r="K598" s="8" t="n">
        <f aca="false">IF(H598="","",1-F598/H598)</f>
        <v>0</v>
      </c>
    </row>
    <row r="599" customFormat="false" ht="15" hidden="false" customHeight="false" outlineLevel="0" collapsed="false">
      <c r="A599" s="0" t="s">
        <v>486</v>
      </c>
      <c r="B599" s="6" t="n">
        <v>40883.3993055556</v>
      </c>
      <c r="C599" s="0" t="s">
        <v>487</v>
      </c>
      <c r="D599" s="0" t="s">
        <v>490</v>
      </c>
      <c r="E599" s="0" t="n">
        <v>6</v>
      </c>
      <c r="F599" s="0" t="n">
        <v>2.95</v>
      </c>
      <c r="G599" s="7" t="str">
        <f aca="false">_xlfn.XLOOKUP(D599,Catalog!$B$2:$B$4102,Catalog!$A$2:$A$4102,"NOT IN CATALOG")</f>
        <v>RECIPE BOX RETROSPOT</v>
      </c>
      <c r="H599" s="7" t="n">
        <f aca="false">_xlfn.IFNA(VLOOKUP(D599,Catalog!$B$2:$C$4102,2,FALSE()),"")</f>
        <v>2.95</v>
      </c>
      <c r="I599" s="7" t="str">
        <f aca="false">HLOOKUP(C599,Regions!$B$1:$S$2,2,FALSE())</f>
        <v>EU</v>
      </c>
      <c r="J599" s="7" t="n">
        <f aca="false">E599*F599</f>
        <v>17.7</v>
      </c>
      <c r="K599" s="8" t="n">
        <f aca="false">IF(H599="","",1-F599/H599)</f>
        <v>0</v>
      </c>
    </row>
    <row r="600" customFormat="false" ht="15" hidden="false" customHeight="false" outlineLevel="0" collapsed="false">
      <c r="A600" s="0" t="s">
        <v>486</v>
      </c>
      <c r="B600" s="6" t="n">
        <v>40883.3993055556</v>
      </c>
      <c r="C600" s="0" t="s">
        <v>487</v>
      </c>
      <c r="D600" s="0" t="s">
        <v>491</v>
      </c>
      <c r="E600" s="0" t="n">
        <v>2</v>
      </c>
      <c r="F600" s="0" t="n">
        <v>8.25</v>
      </c>
      <c r="G600" s="7" t="str">
        <f aca="false">_xlfn.XLOOKUP(D600,Catalog!$B$2:$B$4102,Catalog!$A$2:$A$4102,"NOT IN CATALOG")</f>
        <v>DOOR MAT UNION FLAG</v>
      </c>
      <c r="H600" s="7" t="n">
        <f aca="false">_xlfn.IFNA(VLOOKUP(D600,Catalog!$B$2:$C$4102,2,FALSE()),"")</f>
        <v>7.49</v>
      </c>
      <c r="I600" s="7" t="str">
        <f aca="false">HLOOKUP(C600,Regions!$B$1:$S$2,2,FALSE())</f>
        <v>EU</v>
      </c>
      <c r="J600" s="7" t="n">
        <f aca="false">E600*F600</f>
        <v>16.5</v>
      </c>
      <c r="K600" s="8" t="n">
        <f aca="false">IF(H600="","",1-F600/H600)</f>
        <v>-0.101468624833111</v>
      </c>
    </row>
    <row r="601" customFormat="false" ht="15" hidden="false" customHeight="false" outlineLevel="0" collapsed="false">
      <c r="A601" s="0" t="s">
        <v>486</v>
      </c>
      <c r="B601" s="6" t="n">
        <v>40883.3993055556</v>
      </c>
      <c r="C601" s="0" t="s">
        <v>487</v>
      </c>
      <c r="D601" s="0" t="s">
        <v>444</v>
      </c>
      <c r="E601" s="0" t="n">
        <v>2</v>
      </c>
      <c r="F601" s="0" t="n">
        <v>8.5</v>
      </c>
      <c r="G601" s="7" t="str">
        <f aca="false">_xlfn.XLOOKUP(D601,Catalog!$B$2:$B$4102,Catalog!$A$2:$A$4102,"NOT IN CATALOG")</f>
        <v>MINT KITCHEN SCALES</v>
      </c>
      <c r="H601" s="7" t="n">
        <f aca="false">_xlfn.IFNA(VLOOKUP(D601,Catalog!$B$2:$C$4102,2,FALSE()),"")</f>
        <v>8.5</v>
      </c>
      <c r="I601" s="7" t="str">
        <f aca="false">HLOOKUP(C601,Regions!$B$1:$S$2,2,FALSE())</f>
        <v>EU</v>
      </c>
      <c r="J601" s="7" t="n">
        <f aca="false">E601*F601</f>
        <v>17</v>
      </c>
      <c r="K601" s="8" t="n">
        <f aca="false">IF(H601="","",1-F601/H601)</f>
        <v>0</v>
      </c>
    </row>
    <row r="602" customFormat="false" ht="15" hidden="false" customHeight="false" outlineLevel="0" collapsed="false">
      <c r="A602" s="0" t="s">
        <v>486</v>
      </c>
      <c r="B602" s="6" t="n">
        <v>40883.3993055556</v>
      </c>
      <c r="C602" s="0" t="s">
        <v>487</v>
      </c>
      <c r="D602" s="0" t="s">
        <v>426</v>
      </c>
      <c r="E602" s="0" t="n">
        <v>9</v>
      </c>
      <c r="F602" s="0" t="n">
        <v>4.95</v>
      </c>
      <c r="G602" s="7" t="str">
        <f aca="false">_xlfn.XLOOKUP(D602,Catalog!$B$2:$B$4102,Catalog!$A$2:$A$4102,"NOT IN CATALOG")</f>
        <v>NOT IN CATALOG</v>
      </c>
      <c r="H602" s="7" t="str">
        <f aca="false">_xlfn.IFNA(VLOOKUP(D602,Catalog!$B$2:$C$4102,2,FALSE()),"")</f>
        <v/>
      </c>
      <c r="I602" s="7" t="str">
        <f aca="false">HLOOKUP(C602,Regions!$B$1:$S$2,2,FALSE())</f>
        <v>EU</v>
      </c>
      <c r="J602" s="7" t="n">
        <f aca="false">E602*F602</f>
        <v>44.55</v>
      </c>
      <c r="K602" s="8" t="str">
        <f aca="false">IF(H602="","",1-F602/H602)</f>
        <v/>
      </c>
    </row>
    <row r="603" customFormat="false" ht="15" hidden="false" customHeight="false" outlineLevel="0" collapsed="false">
      <c r="A603" s="0" t="s">
        <v>492</v>
      </c>
      <c r="B603" s="6" t="n">
        <v>40883.4138888889</v>
      </c>
      <c r="C603" s="0" t="s">
        <v>493</v>
      </c>
      <c r="D603" s="0" t="s">
        <v>39</v>
      </c>
      <c r="E603" s="0" t="n">
        <v>3</v>
      </c>
      <c r="F603" s="0" t="n">
        <v>45</v>
      </c>
      <c r="G603" s="7" t="str">
        <f aca="false">_xlfn.XLOOKUP(D603,Catalog!$B$2:$B$4102,Catalog!$A$2:$A$4102,"NOT IN CATALOG")</f>
        <v>POSTAGE</v>
      </c>
      <c r="H603" s="7" t="n">
        <f aca="false">_xlfn.IFNA(VLOOKUP(D603,Catalog!$B$2:$C$4102,2,FALSE()),"")</f>
        <v>18</v>
      </c>
      <c r="I603" s="7" t="str">
        <f aca="false">HLOOKUP(C603,Regions!$B$1:$S$2,2,FALSE())</f>
        <v>EU</v>
      </c>
      <c r="J603" s="7" t="n">
        <f aca="false">E603*F603</f>
        <v>135</v>
      </c>
      <c r="K603" s="8" t="n">
        <f aca="false">IF(H603="","",1-F603/H603)</f>
        <v>-1.5</v>
      </c>
    </row>
    <row r="604" customFormat="false" ht="15" hidden="false" customHeight="false" outlineLevel="0" collapsed="false">
      <c r="A604" s="0" t="s">
        <v>492</v>
      </c>
      <c r="B604" s="6" t="n">
        <v>40883.4138888889</v>
      </c>
      <c r="C604" s="0" t="s">
        <v>493</v>
      </c>
      <c r="D604" s="0" t="s">
        <v>494</v>
      </c>
      <c r="E604" s="0" t="n">
        <v>2</v>
      </c>
      <c r="F604" s="0" t="n">
        <v>8.25</v>
      </c>
      <c r="G604" s="7" t="str">
        <f aca="false">_xlfn.XLOOKUP(D604,Catalog!$B$2:$B$4102,Catalog!$A$2:$A$4102,"NOT IN CATALOG")</f>
        <v>DOOR MAT RED SPOT</v>
      </c>
      <c r="H604" s="7" t="n">
        <f aca="false">_xlfn.IFNA(VLOOKUP(D604,Catalog!$B$2:$C$4102,2,FALSE()),"")</f>
        <v>7.49</v>
      </c>
      <c r="I604" s="7" t="str">
        <f aca="false">HLOOKUP(C604,Regions!$B$1:$S$2,2,FALSE())</f>
        <v>EU</v>
      </c>
      <c r="J604" s="7" t="n">
        <f aca="false">E604*F604</f>
        <v>16.5</v>
      </c>
      <c r="K604" s="8" t="n">
        <f aca="false">IF(H604="","",1-F604/H604)</f>
        <v>-0.101468624833111</v>
      </c>
    </row>
    <row r="605" customFormat="false" ht="15" hidden="false" customHeight="false" outlineLevel="0" collapsed="false">
      <c r="A605" s="0" t="s">
        <v>492</v>
      </c>
      <c r="B605" s="6" t="n">
        <v>40883.4138888889</v>
      </c>
      <c r="C605" s="0" t="s">
        <v>493</v>
      </c>
      <c r="D605" s="0" t="s">
        <v>495</v>
      </c>
      <c r="E605" s="0" t="n">
        <v>4</v>
      </c>
      <c r="F605" s="0" t="n">
        <v>8.5</v>
      </c>
      <c r="G605" s="7" t="str">
        <f aca="false">_xlfn.XLOOKUP(D605,Catalog!$B$2:$B$4102,Catalog!$A$2:$A$4102,"NOT IN CATALOG")</f>
        <v>CHRISTMAS LIGHTS 10 REINDEER</v>
      </c>
      <c r="H605" s="7" t="n">
        <f aca="false">_xlfn.IFNA(VLOOKUP(D605,Catalog!$B$2:$C$4102,2,FALSE()),"")</f>
        <v>8.5</v>
      </c>
      <c r="I605" s="7" t="str">
        <f aca="false">HLOOKUP(C605,Regions!$B$1:$S$2,2,FALSE())</f>
        <v>EU</v>
      </c>
      <c r="J605" s="7" t="n">
        <f aca="false">E605*F605</f>
        <v>34</v>
      </c>
      <c r="K605" s="8" t="n">
        <f aca="false">IF(H605="","",1-F605/H605)</f>
        <v>0</v>
      </c>
    </row>
    <row r="606" customFormat="false" ht="15" hidden="false" customHeight="false" outlineLevel="0" collapsed="false">
      <c r="A606" s="0" t="s">
        <v>492</v>
      </c>
      <c r="B606" s="6" t="n">
        <v>40883.4138888889</v>
      </c>
      <c r="C606" s="0" t="s">
        <v>493</v>
      </c>
      <c r="D606" s="0" t="s">
        <v>438</v>
      </c>
      <c r="E606" s="0" t="n">
        <v>12</v>
      </c>
      <c r="F606" s="0" t="n">
        <v>0.42</v>
      </c>
      <c r="G606" s="7" t="str">
        <f aca="false">_xlfn.XLOOKUP(D606,Catalog!$B$2:$B$4102,Catalog!$A$2:$A$4102,"NOT IN CATALOG")</f>
        <v>CARD MOTORBIKE SANTA</v>
      </c>
      <c r="H606" s="7" t="n">
        <f aca="false">_xlfn.IFNA(VLOOKUP(D606,Catalog!$B$2:$C$4102,2,FALSE()),"")</f>
        <v>0.42</v>
      </c>
      <c r="I606" s="7" t="str">
        <f aca="false">HLOOKUP(C606,Regions!$B$1:$S$2,2,FALSE())</f>
        <v>EU</v>
      </c>
      <c r="J606" s="7" t="n">
        <f aca="false">E606*F606</f>
        <v>5.04</v>
      </c>
      <c r="K606" s="8" t="n">
        <f aca="false">IF(H606="","",1-F606/H606)</f>
        <v>0</v>
      </c>
    </row>
    <row r="607" customFormat="false" ht="15" hidden="false" customHeight="false" outlineLevel="0" collapsed="false">
      <c r="A607" s="0" t="s">
        <v>492</v>
      </c>
      <c r="B607" s="6" t="n">
        <v>40883.4138888889</v>
      </c>
      <c r="C607" s="0" t="s">
        <v>493</v>
      </c>
      <c r="D607" s="0" t="s">
        <v>216</v>
      </c>
      <c r="E607" s="0" t="n">
        <v>12</v>
      </c>
      <c r="F607" s="0" t="n">
        <v>1.25</v>
      </c>
      <c r="G607" s="7" t="str">
        <f aca="false">_xlfn.XLOOKUP(D607,Catalog!$B$2:$B$4102,Catalog!$A$2:$A$4102,"NOT IN CATALOG")</f>
        <v>GINGERBREAD MAN COOKIE CUTTER</v>
      </c>
      <c r="H607" s="7" t="n">
        <f aca="false">_xlfn.IFNA(VLOOKUP(D607,Catalog!$B$2:$C$4102,2,FALSE()),"")</f>
        <v>1.25</v>
      </c>
      <c r="I607" s="7" t="str">
        <f aca="false">HLOOKUP(C607,Regions!$B$1:$S$2,2,FALSE())</f>
        <v>EU</v>
      </c>
      <c r="J607" s="7" t="n">
        <f aca="false">E607*F607</f>
        <v>15</v>
      </c>
      <c r="K607" s="8" t="n">
        <f aca="false">IF(H607="","",1-F607/H607)</f>
        <v>0</v>
      </c>
    </row>
    <row r="608" customFormat="false" ht="15" hidden="false" customHeight="false" outlineLevel="0" collapsed="false">
      <c r="A608" s="0" t="s">
        <v>492</v>
      </c>
      <c r="B608" s="6" t="n">
        <v>40883.4138888889</v>
      </c>
      <c r="C608" s="0" t="s">
        <v>493</v>
      </c>
      <c r="D608" s="0" t="s">
        <v>466</v>
      </c>
      <c r="E608" s="0" t="n">
        <v>10</v>
      </c>
      <c r="F608" s="0" t="n">
        <v>1.65</v>
      </c>
      <c r="G608" s="7" t="str">
        <f aca="false">_xlfn.XLOOKUP(D608,Catalog!$B$2:$B$4102,Catalog!$A$2:$A$4102,"NOT IN CATALOG")</f>
        <v>LUNCH BAG RED SPOTTY</v>
      </c>
      <c r="H608" s="7" t="n">
        <f aca="false">_xlfn.IFNA(VLOOKUP(D608,Catalog!$B$2:$C$4102,2,FALSE()),"")</f>
        <v>1.65</v>
      </c>
      <c r="I608" s="7" t="str">
        <f aca="false">HLOOKUP(C608,Regions!$B$1:$S$2,2,FALSE())</f>
        <v>EU</v>
      </c>
      <c r="J608" s="7" t="n">
        <f aca="false">E608*F608</f>
        <v>16.5</v>
      </c>
      <c r="K608" s="8" t="n">
        <f aca="false">IF(H608="","",1-F608/H608)</f>
        <v>0</v>
      </c>
    </row>
    <row r="609" customFormat="false" ht="15" hidden="false" customHeight="false" outlineLevel="0" collapsed="false">
      <c r="A609" s="0" t="s">
        <v>492</v>
      </c>
      <c r="B609" s="6" t="n">
        <v>40883.4138888889</v>
      </c>
      <c r="C609" s="0" t="s">
        <v>493</v>
      </c>
      <c r="D609" s="0" t="s">
        <v>496</v>
      </c>
      <c r="E609" s="0" t="n">
        <v>10</v>
      </c>
      <c r="F609" s="0" t="n">
        <v>1.65</v>
      </c>
      <c r="G609" s="7" t="str">
        <f aca="false">_xlfn.XLOOKUP(D609,Catalog!$B$2:$B$4102,Catalog!$A$2:$A$4102,"NOT IN CATALOG")</f>
        <v>LUNCH BAG BLACK SKULL.</v>
      </c>
      <c r="H609" s="7" t="n">
        <f aca="false">_xlfn.IFNA(VLOOKUP(D609,Catalog!$B$2:$C$4102,2,FALSE()),"")</f>
        <v>1.65</v>
      </c>
      <c r="I609" s="7" t="str">
        <f aca="false">HLOOKUP(C609,Regions!$B$1:$S$2,2,FALSE())</f>
        <v>EU</v>
      </c>
      <c r="J609" s="7" t="n">
        <f aca="false">E609*F609</f>
        <v>16.5</v>
      </c>
      <c r="K609" s="8" t="n">
        <f aca="false">IF(H609="","",1-F609/H609)</f>
        <v>0</v>
      </c>
    </row>
    <row r="610" customFormat="false" ht="15" hidden="false" customHeight="false" outlineLevel="0" collapsed="false">
      <c r="A610" s="0" t="s">
        <v>492</v>
      </c>
      <c r="B610" s="6" t="n">
        <v>40883.4138888889</v>
      </c>
      <c r="C610" s="0" t="s">
        <v>493</v>
      </c>
      <c r="D610" s="0" t="s">
        <v>467</v>
      </c>
      <c r="E610" s="0" t="n">
        <v>10</v>
      </c>
      <c r="F610" s="0" t="n">
        <v>1.65</v>
      </c>
      <c r="G610" s="7" t="str">
        <f aca="false">_xlfn.XLOOKUP(D610,Catalog!$B$2:$B$4102,Catalog!$A$2:$A$4102,"NOT IN CATALOG")</f>
        <v>LUNCH BAG CARS BLUE</v>
      </c>
      <c r="H610" s="7" t="n">
        <f aca="false">_xlfn.IFNA(VLOOKUP(D610,Catalog!$B$2:$C$4102,2,FALSE()),"")</f>
        <v>1.65</v>
      </c>
      <c r="I610" s="7" t="str">
        <f aca="false">HLOOKUP(C610,Regions!$B$1:$S$2,2,FALSE())</f>
        <v>EU</v>
      </c>
      <c r="J610" s="7" t="n">
        <f aca="false">E610*F610</f>
        <v>16.5</v>
      </c>
      <c r="K610" s="8" t="n">
        <f aca="false">IF(H610="","",1-F610/H610)</f>
        <v>0</v>
      </c>
    </row>
    <row r="611" customFormat="false" ht="15" hidden="false" customHeight="false" outlineLevel="0" collapsed="false">
      <c r="A611" s="0" t="s">
        <v>492</v>
      </c>
      <c r="B611" s="6" t="n">
        <v>40883.4138888889</v>
      </c>
      <c r="C611" s="0" t="s">
        <v>493</v>
      </c>
      <c r="D611" s="0" t="s">
        <v>297</v>
      </c>
      <c r="E611" s="0" t="n">
        <v>3</v>
      </c>
      <c r="F611" s="0" t="n">
        <v>4.95</v>
      </c>
      <c r="G611" s="7" t="str">
        <f aca="false">_xlfn.XLOOKUP(D611,Catalog!$B$2:$B$4102,Catalog!$A$2:$A$4102,"NOT IN CATALOG")</f>
        <v>SCOTTIE DOG HOT WATER BOTTLE</v>
      </c>
      <c r="H611" s="7" t="n">
        <f aca="false">_xlfn.IFNA(VLOOKUP(D611,Catalog!$B$2:$C$4102,2,FALSE()),"")</f>
        <v>4.95</v>
      </c>
      <c r="I611" s="7" t="str">
        <f aca="false">HLOOKUP(C611,Regions!$B$1:$S$2,2,FALSE())</f>
        <v>EU</v>
      </c>
      <c r="J611" s="7" t="n">
        <f aca="false">E611*F611</f>
        <v>14.85</v>
      </c>
      <c r="K611" s="8" t="n">
        <f aca="false">IF(H611="","",1-F611/H611)</f>
        <v>0</v>
      </c>
    </row>
    <row r="612" customFormat="false" ht="15" hidden="false" customHeight="false" outlineLevel="0" collapsed="false">
      <c r="A612" s="0" t="s">
        <v>492</v>
      </c>
      <c r="B612" s="6" t="n">
        <v>40883.4138888889</v>
      </c>
      <c r="C612" s="0" t="s">
        <v>493</v>
      </c>
      <c r="D612" s="0" t="s">
        <v>224</v>
      </c>
      <c r="E612" s="0" t="n">
        <v>4</v>
      </c>
      <c r="F612" s="0" t="n">
        <v>3.75</v>
      </c>
      <c r="G612" s="7" t="str">
        <f aca="false">_xlfn.XLOOKUP(D612,Catalog!$B$2:$B$4102,Catalog!$A$2:$A$4102,"NOT IN CATALOG")</f>
        <v>FAWN BLUE HOT WATER BOTTLE</v>
      </c>
      <c r="H612" s="7" t="n">
        <f aca="false">_xlfn.IFNA(VLOOKUP(D612,Catalog!$B$2:$C$4102,2,FALSE()),"")</f>
        <v>2.95</v>
      </c>
      <c r="I612" s="7" t="str">
        <f aca="false">HLOOKUP(C612,Regions!$B$1:$S$2,2,FALSE())</f>
        <v>EU</v>
      </c>
      <c r="J612" s="7" t="n">
        <f aca="false">E612*F612</f>
        <v>15</v>
      </c>
      <c r="K612" s="8" t="n">
        <f aca="false">IF(H612="","",1-F612/H612)</f>
        <v>-0.271186440677966</v>
      </c>
    </row>
    <row r="613" customFormat="false" ht="15" hidden="false" customHeight="false" outlineLevel="0" collapsed="false">
      <c r="A613" s="0" t="s">
        <v>492</v>
      </c>
      <c r="B613" s="6" t="n">
        <v>40883.4138888889</v>
      </c>
      <c r="C613" s="0" t="s">
        <v>493</v>
      </c>
      <c r="D613" s="0" t="s">
        <v>497</v>
      </c>
      <c r="E613" s="0" t="n">
        <v>4</v>
      </c>
      <c r="F613" s="0" t="n">
        <v>4.25</v>
      </c>
      <c r="G613" s="7" t="str">
        <f aca="false">_xlfn.XLOOKUP(D613,Catalog!$B$2:$B$4102,Catalog!$A$2:$A$4102,"NOT IN CATALOG")</f>
        <v>WHITE SKULL HOT WATER BOTTLE</v>
      </c>
      <c r="H613" s="7" t="n">
        <f aca="false">_xlfn.IFNA(VLOOKUP(D613,Catalog!$B$2:$C$4102,2,FALSE()),"")</f>
        <v>3.75</v>
      </c>
      <c r="I613" s="7" t="str">
        <f aca="false">HLOOKUP(C613,Regions!$B$1:$S$2,2,FALSE())</f>
        <v>EU</v>
      </c>
      <c r="J613" s="7" t="n">
        <f aca="false">E613*F613</f>
        <v>17</v>
      </c>
      <c r="K613" s="8" t="n">
        <f aca="false">IF(H613="","",1-F613/H613)</f>
        <v>-0.133333333333333</v>
      </c>
    </row>
    <row r="614" customFormat="false" ht="15" hidden="false" customHeight="false" outlineLevel="0" collapsed="false">
      <c r="A614" s="0" t="s">
        <v>492</v>
      </c>
      <c r="B614" s="6" t="n">
        <v>40883.4138888889</v>
      </c>
      <c r="C614" s="0" t="s">
        <v>493</v>
      </c>
      <c r="D614" s="0" t="s">
        <v>498</v>
      </c>
      <c r="E614" s="0" t="n">
        <v>6</v>
      </c>
      <c r="F614" s="0" t="n">
        <v>2.55</v>
      </c>
      <c r="G614" s="7" t="str">
        <f aca="false">_xlfn.XLOOKUP(D614,Catalog!$B$2:$B$4102,Catalog!$A$2:$A$4102,"NOT IN CATALOG")</f>
        <v>PACK OF 6 PANNETONE GIFT BOXES</v>
      </c>
      <c r="H614" s="7" t="n">
        <f aca="false">_xlfn.IFNA(VLOOKUP(D614,Catalog!$B$2:$C$4102,2,FALSE()),"")</f>
        <v>2.55</v>
      </c>
      <c r="I614" s="7" t="str">
        <f aca="false">HLOOKUP(C614,Regions!$B$1:$S$2,2,FALSE())</f>
        <v>EU</v>
      </c>
      <c r="J614" s="7" t="n">
        <f aca="false">E614*F614</f>
        <v>15.3</v>
      </c>
      <c r="K614" s="8" t="n">
        <f aca="false">IF(H614="","",1-F614/H614)</f>
        <v>0</v>
      </c>
    </row>
    <row r="615" customFormat="false" ht="15" hidden="false" customHeight="false" outlineLevel="0" collapsed="false">
      <c r="A615" s="0" t="s">
        <v>492</v>
      </c>
      <c r="B615" s="6" t="n">
        <v>40883.4138888889</v>
      </c>
      <c r="C615" s="0" t="s">
        <v>493</v>
      </c>
      <c r="D615" s="0" t="s">
        <v>170</v>
      </c>
      <c r="E615" s="0" t="n">
        <v>12</v>
      </c>
      <c r="F615" s="0" t="n">
        <v>0.42</v>
      </c>
      <c r="G615" s="7" t="str">
        <f aca="false">_xlfn.XLOOKUP(D615,Catalog!$B$2:$B$4102,Catalog!$A$2:$A$4102,"NOT IN CATALOG")</f>
        <v>CARD DOLLY GIRL</v>
      </c>
      <c r="H615" s="7" t="n">
        <f aca="false">_xlfn.IFNA(VLOOKUP(D615,Catalog!$B$2:$C$4102,2,FALSE()),"")</f>
        <v>0.42</v>
      </c>
      <c r="I615" s="7" t="str">
        <f aca="false">HLOOKUP(C615,Regions!$B$1:$S$2,2,FALSE())</f>
        <v>EU</v>
      </c>
      <c r="J615" s="7" t="n">
        <f aca="false">E615*F615</f>
        <v>5.04</v>
      </c>
      <c r="K615" s="8" t="n">
        <f aca="false">IF(H615="","",1-F615/H615)</f>
        <v>0</v>
      </c>
    </row>
    <row r="616" customFormat="false" ht="15" hidden="false" customHeight="false" outlineLevel="0" collapsed="false">
      <c r="A616" s="0" t="s">
        <v>492</v>
      </c>
      <c r="B616" s="6" t="n">
        <v>40883.4138888889</v>
      </c>
      <c r="C616" s="0" t="s">
        <v>493</v>
      </c>
      <c r="D616" s="0" t="s">
        <v>308</v>
      </c>
      <c r="E616" s="0" t="n">
        <v>12</v>
      </c>
      <c r="F616" s="0" t="n">
        <v>0.42</v>
      </c>
      <c r="G616" s="7" t="str">
        <f aca="false">_xlfn.XLOOKUP(D616,Catalog!$B$2:$B$4102,Catalog!$A$2:$A$4102,"NOT IN CATALOG")</f>
        <v>SPACEBOY BIRTHDAY CARD</v>
      </c>
      <c r="H616" s="7" t="n">
        <f aca="false">_xlfn.IFNA(VLOOKUP(D616,Catalog!$B$2:$C$4102,2,FALSE()),"")</f>
        <v>0.42</v>
      </c>
      <c r="I616" s="7" t="str">
        <f aca="false">HLOOKUP(C616,Regions!$B$1:$S$2,2,FALSE())</f>
        <v>EU</v>
      </c>
      <c r="J616" s="7" t="n">
        <f aca="false">E616*F616</f>
        <v>5.04</v>
      </c>
      <c r="K616" s="8" t="n">
        <f aca="false">IF(H616="","",1-F616/H616)</f>
        <v>0</v>
      </c>
    </row>
    <row r="617" customFormat="false" ht="15" hidden="false" customHeight="false" outlineLevel="0" collapsed="false">
      <c r="A617" s="0" t="s">
        <v>492</v>
      </c>
      <c r="B617" s="6" t="n">
        <v>40883.4138888889</v>
      </c>
      <c r="C617" s="0" t="s">
        <v>493</v>
      </c>
      <c r="D617" s="0" t="s">
        <v>499</v>
      </c>
      <c r="E617" s="0" t="n">
        <v>12</v>
      </c>
      <c r="F617" s="0" t="n">
        <v>0.42</v>
      </c>
      <c r="G617" s="7" t="str">
        <f aca="false">_xlfn.XLOOKUP(D617,Catalog!$B$2:$B$4102,Catalog!$A$2:$A$4102,"NOT IN CATALOG")</f>
        <v>ROBOT BIRTHDAY CARD</v>
      </c>
      <c r="H617" s="7" t="n">
        <f aca="false">_xlfn.IFNA(VLOOKUP(D617,Catalog!$B$2:$C$4102,2,FALSE()),"")</f>
        <v>0.42</v>
      </c>
      <c r="I617" s="7" t="str">
        <f aca="false">HLOOKUP(C617,Regions!$B$1:$S$2,2,FALSE())</f>
        <v>EU</v>
      </c>
      <c r="J617" s="7" t="n">
        <f aca="false">E617*F617</f>
        <v>5.04</v>
      </c>
      <c r="K617" s="8" t="n">
        <f aca="false">IF(H617="","",1-F617/H617)</f>
        <v>0</v>
      </c>
    </row>
    <row r="618" customFormat="false" ht="15" hidden="false" customHeight="false" outlineLevel="0" collapsed="false">
      <c r="A618" s="0" t="s">
        <v>492</v>
      </c>
      <c r="B618" s="6" t="n">
        <v>40883.4138888889</v>
      </c>
      <c r="C618" s="0" t="s">
        <v>493</v>
      </c>
      <c r="D618" s="0" t="s">
        <v>500</v>
      </c>
      <c r="E618" s="0" t="n">
        <v>12</v>
      </c>
      <c r="F618" s="0" t="n">
        <v>0.85</v>
      </c>
      <c r="G618" s="7" t="str">
        <f aca="false">_xlfn.XLOOKUP(D618,Catalog!$B$2:$B$4102,Catalog!$A$2:$A$4102,"NOT IN CATALOG")</f>
        <v>12 PENCILS TALL TUBE RED SPOTTY</v>
      </c>
      <c r="H618" s="7" t="n">
        <f aca="false">_xlfn.IFNA(VLOOKUP(D618,Catalog!$B$2:$C$4102,2,FALSE()),"")</f>
        <v>0.85</v>
      </c>
      <c r="I618" s="7" t="str">
        <f aca="false">HLOOKUP(C618,Regions!$B$1:$S$2,2,FALSE())</f>
        <v>EU</v>
      </c>
      <c r="J618" s="7" t="n">
        <f aca="false">E618*F618</f>
        <v>10.2</v>
      </c>
      <c r="K618" s="8" t="n">
        <f aca="false">IF(H618="","",1-F618/H618)</f>
        <v>0</v>
      </c>
    </row>
    <row r="619" customFormat="false" ht="15" hidden="false" customHeight="false" outlineLevel="0" collapsed="false">
      <c r="A619" s="0" t="s">
        <v>492</v>
      </c>
      <c r="B619" s="6" t="n">
        <v>40883.4138888889</v>
      </c>
      <c r="C619" s="0" t="s">
        <v>493</v>
      </c>
      <c r="D619" s="0" t="s">
        <v>501</v>
      </c>
      <c r="E619" s="0" t="n">
        <v>12</v>
      </c>
      <c r="F619" s="0" t="n">
        <v>0.85</v>
      </c>
      <c r="G619" s="7" t="str">
        <f aca="false">_xlfn.XLOOKUP(D619,Catalog!$B$2:$B$4102,Catalog!$A$2:$A$4102,"NOT IN CATALOG")</f>
        <v>12 PENCILS TALL TUBE SKULLS</v>
      </c>
      <c r="H619" s="7" t="n">
        <f aca="false">_xlfn.IFNA(VLOOKUP(D619,Catalog!$B$2:$C$4102,2,FALSE()),"")</f>
        <v>0.85</v>
      </c>
      <c r="I619" s="7" t="str">
        <f aca="false">HLOOKUP(C619,Regions!$B$1:$S$2,2,FALSE())</f>
        <v>EU</v>
      </c>
      <c r="J619" s="7" t="n">
        <f aca="false">E619*F619</f>
        <v>10.2</v>
      </c>
      <c r="K619" s="8" t="n">
        <f aca="false">IF(H619="","",1-F619/H619)</f>
        <v>0</v>
      </c>
    </row>
    <row r="620" customFormat="false" ht="15" hidden="false" customHeight="false" outlineLevel="0" collapsed="false">
      <c r="A620" s="0" t="s">
        <v>492</v>
      </c>
      <c r="B620" s="6" t="n">
        <v>40883.4138888889</v>
      </c>
      <c r="C620" s="0" t="s">
        <v>493</v>
      </c>
      <c r="D620" s="0" t="s">
        <v>502</v>
      </c>
      <c r="E620" s="0" t="n">
        <v>4</v>
      </c>
      <c r="F620" s="0" t="n">
        <v>4.25</v>
      </c>
      <c r="G620" s="7" t="str">
        <f aca="false">_xlfn.XLOOKUP(D620,Catalog!$B$2:$B$4102,Catalog!$A$2:$A$4102,"NOT IN CATALOG")</f>
        <v>FELTCRAFT CHRISTMAS FAIRY</v>
      </c>
      <c r="H620" s="7" t="n">
        <f aca="false">_xlfn.IFNA(VLOOKUP(D620,Catalog!$B$2:$C$4102,2,FALSE()),"")</f>
        <v>4.25</v>
      </c>
      <c r="I620" s="7" t="str">
        <f aca="false">HLOOKUP(C620,Regions!$B$1:$S$2,2,FALSE())</f>
        <v>EU</v>
      </c>
      <c r="J620" s="7" t="n">
        <f aca="false">E620*F620</f>
        <v>17</v>
      </c>
      <c r="K620" s="8" t="n">
        <f aca="false">IF(H620="","",1-F620/H620)</f>
        <v>0</v>
      </c>
    </row>
    <row r="621" customFormat="false" ht="15" hidden="false" customHeight="false" outlineLevel="0" collapsed="false">
      <c r="A621" s="0" t="s">
        <v>492</v>
      </c>
      <c r="B621" s="6" t="n">
        <v>40883.4138888889</v>
      </c>
      <c r="C621" s="0" t="s">
        <v>493</v>
      </c>
      <c r="D621" s="0" t="s">
        <v>503</v>
      </c>
      <c r="E621" s="0" t="n">
        <v>4</v>
      </c>
      <c r="F621" s="0" t="n">
        <v>3.75</v>
      </c>
      <c r="G621" s="7" t="str">
        <f aca="false">_xlfn.XLOOKUP(D621,Catalog!$B$2:$B$4102,Catalog!$A$2:$A$4102,"NOT IN CATALOG")</f>
        <v>FELTCRAFT PRINCESS LOLA DOLL</v>
      </c>
      <c r="H621" s="7" t="n">
        <f aca="false">_xlfn.IFNA(VLOOKUP(D621,Catalog!$B$2:$C$4102,2,FALSE()),"")</f>
        <v>3.75</v>
      </c>
      <c r="I621" s="7" t="str">
        <f aca="false">HLOOKUP(C621,Regions!$B$1:$S$2,2,FALSE())</f>
        <v>EU</v>
      </c>
      <c r="J621" s="7" t="n">
        <f aca="false">E621*F621</f>
        <v>15</v>
      </c>
      <c r="K621" s="8" t="n">
        <f aca="false">IF(H621="","",1-F621/H621)</f>
        <v>0</v>
      </c>
    </row>
    <row r="622" customFormat="false" ht="15" hidden="false" customHeight="false" outlineLevel="0" collapsed="false">
      <c r="A622" s="0" t="s">
        <v>492</v>
      </c>
      <c r="B622" s="6" t="n">
        <v>40883.4138888889</v>
      </c>
      <c r="C622" s="0" t="s">
        <v>493</v>
      </c>
      <c r="D622" s="0" t="s">
        <v>504</v>
      </c>
      <c r="E622" s="0" t="n">
        <v>3</v>
      </c>
      <c r="F622" s="0" t="n">
        <v>5.95</v>
      </c>
      <c r="G622" s="7" t="str">
        <f aca="false">_xlfn.XLOOKUP(D622,Catalog!$B$2:$B$4102,Catalog!$A$2:$A$4102,"NOT IN CATALOG")</f>
        <v>BOX OF VINTAGE JIGSAW BLOCKS</v>
      </c>
      <c r="H622" s="7" t="n">
        <f aca="false">_xlfn.IFNA(VLOOKUP(D622,Catalog!$B$2:$C$4102,2,FALSE()),"")</f>
        <v>4.95</v>
      </c>
      <c r="I622" s="7" t="str">
        <f aca="false">HLOOKUP(C622,Regions!$B$1:$S$2,2,FALSE())</f>
        <v>EU</v>
      </c>
      <c r="J622" s="7" t="n">
        <f aca="false">E622*F622</f>
        <v>17.85</v>
      </c>
      <c r="K622" s="8" t="n">
        <f aca="false">IF(H622="","",1-F622/H622)</f>
        <v>-0.202020202020202</v>
      </c>
    </row>
    <row r="623" customFormat="false" ht="15" hidden="false" customHeight="false" outlineLevel="0" collapsed="false">
      <c r="A623" s="0" t="s">
        <v>492</v>
      </c>
      <c r="B623" s="6" t="n">
        <v>40883.4138888889</v>
      </c>
      <c r="C623" s="0" t="s">
        <v>493</v>
      </c>
      <c r="D623" s="0" t="s">
        <v>378</v>
      </c>
      <c r="E623" s="0" t="n">
        <v>12</v>
      </c>
      <c r="F623" s="0" t="n">
        <v>1.45</v>
      </c>
      <c r="G623" s="7" t="str">
        <f aca="false">_xlfn.XLOOKUP(D623,Catalog!$B$2:$B$4102,Catalog!$A$2:$A$4102,"NOT IN CATALOG")</f>
        <v>TRADITIONAL WOODEN SKIPPING ROPE</v>
      </c>
      <c r="H623" s="7" t="n">
        <f aca="false">_xlfn.IFNA(VLOOKUP(D623,Catalog!$B$2:$C$4102,2,FALSE()),"")</f>
        <v>1.25</v>
      </c>
      <c r="I623" s="7" t="str">
        <f aca="false">HLOOKUP(C623,Regions!$B$1:$S$2,2,FALSE())</f>
        <v>EU</v>
      </c>
      <c r="J623" s="7" t="n">
        <f aca="false">E623*F623</f>
        <v>17.4</v>
      </c>
      <c r="K623" s="8" t="n">
        <f aca="false">IF(H623="","",1-F623/H623)</f>
        <v>-0.16</v>
      </c>
    </row>
    <row r="624" customFormat="false" ht="15" hidden="false" customHeight="false" outlineLevel="0" collapsed="false">
      <c r="A624" s="0" t="s">
        <v>492</v>
      </c>
      <c r="B624" s="6" t="n">
        <v>40883.4138888889</v>
      </c>
      <c r="C624" s="0" t="s">
        <v>493</v>
      </c>
      <c r="D624" s="0" t="s">
        <v>362</v>
      </c>
      <c r="E624" s="0" t="n">
        <v>4</v>
      </c>
      <c r="F624" s="0" t="n">
        <v>3.75</v>
      </c>
      <c r="G624" s="7" t="str">
        <f aca="false">_xlfn.XLOOKUP(D624,Catalog!$B$2:$B$4102,Catalog!$A$2:$A$4102,"NOT IN CATALOG")</f>
        <v>SET OF 6 SOLDIER SKITTLES</v>
      </c>
      <c r="H624" s="7" t="n">
        <f aca="false">_xlfn.IFNA(VLOOKUP(D624,Catalog!$B$2:$C$4102,2,FALSE()),"")</f>
        <v>3.75</v>
      </c>
      <c r="I624" s="7" t="str">
        <f aca="false">HLOOKUP(C624,Regions!$B$1:$S$2,2,FALSE())</f>
        <v>EU</v>
      </c>
      <c r="J624" s="7" t="n">
        <f aca="false">E624*F624</f>
        <v>15</v>
      </c>
      <c r="K624" s="8" t="n">
        <f aca="false">IF(H624="","",1-F624/H624)</f>
        <v>0</v>
      </c>
    </row>
    <row r="625" customFormat="false" ht="15" hidden="false" customHeight="false" outlineLevel="0" collapsed="false">
      <c r="A625" s="0" t="s">
        <v>492</v>
      </c>
      <c r="B625" s="6" t="n">
        <v>40883.4138888889</v>
      </c>
      <c r="C625" s="0" t="s">
        <v>493</v>
      </c>
      <c r="D625" s="0" t="s">
        <v>99</v>
      </c>
      <c r="E625" s="0" t="n">
        <v>6</v>
      </c>
      <c r="F625" s="0" t="n">
        <v>4.95</v>
      </c>
      <c r="G625" s="7" t="str">
        <f aca="false">_xlfn.XLOOKUP(D625,Catalog!$B$2:$B$4102,Catalog!$A$2:$A$4102,"NOT IN CATALOG")</f>
        <v>RETRO SPOT TEA SET CERAMIC 11 PC</v>
      </c>
      <c r="H625" s="7" t="n">
        <f aca="false">_xlfn.IFNA(VLOOKUP(D625,Catalog!$B$2:$C$4102,2,FALSE()),"")</f>
        <v>4.95</v>
      </c>
      <c r="I625" s="7" t="str">
        <f aca="false">HLOOKUP(C625,Regions!$B$1:$S$2,2,FALSE())</f>
        <v>EU</v>
      </c>
      <c r="J625" s="7" t="n">
        <f aca="false">E625*F625</f>
        <v>29.7</v>
      </c>
      <c r="K625" s="8" t="n">
        <f aca="false">IF(H625="","",1-F625/H625)</f>
        <v>0</v>
      </c>
    </row>
    <row r="626" customFormat="false" ht="15" hidden="false" customHeight="false" outlineLevel="0" collapsed="false">
      <c r="A626" s="0" t="s">
        <v>492</v>
      </c>
      <c r="B626" s="6" t="n">
        <v>40883.4138888889</v>
      </c>
      <c r="C626" s="0" t="s">
        <v>493</v>
      </c>
      <c r="D626" s="0" t="s">
        <v>98</v>
      </c>
      <c r="E626" s="0" t="n">
        <v>6</v>
      </c>
      <c r="F626" s="0" t="n">
        <v>4.95</v>
      </c>
      <c r="G626" s="7" t="str">
        <f aca="false">_xlfn.XLOOKUP(D626,Catalog!$B$2:$B$4102,Catalog!$A$2:$A$4102,"NOT IN CATALOG")</f>
        <v>BAKING SET 9 PIECE RETROSPOT</v>
      </c>
      <c r="H626" s="7" t="n">
        <f aca="false">_xlfn.IFNA(VLOOKUP(D626,Catalog!$B$2:$C$4102,2,FALSE()),"")</f>
        <v>4.95</v>
      </c>
      <c r="I626" s="7" t="str">
        <f aca="false">HLOOKUP(C626,Regions!$B$1:$S$2,2,FALSE())</f>
        <v>EU</v>
      </c>
      <c r="J626" s="7" t="n">
        <f aca="false">E626*F626</f>
        <v>29.7</v>
      </c>
      <c r="K626" s="8" t="n">
        <f aca="false">IF(H626="","",1-F626/H626)</f>
        <v>0</v>
      </c>
    </row>
    <row r="627" customFormat="false" ht="15" hidden="false" customHeight="false" outlineLevel="0" collapsed="false">
      <c r="A627" s="0" t="s">
        <v>492</v>
      </c>
      <c r="B627" s="6" t="n">
        <v>40883.4138888889</v>
      </c>
      <c r="C627" s="0" t="s">
        <v>493</v>
      </c>
      <c r="D627" s="0" t="s">
        <v>505</v>
      </c>
      <c r="E627" s="0" t="n">
        <v>6</v>
      </c>
      <c r="F627" s="0" t="n">
        <v>2.95</v>
      </c>
      <c r="G627" s="7" t="str">
        <f aca="false">_xlfn.XLOOKUP(D627,Catalog!$B$2:$B$4102,Catalog!$A$2:$A$4102,"NOT IN CATALOG")</f>
        <v>ROUND SNACK BOXES SET OF 4 SKULLS</v>
      </c>
      <c r="H627" s="7" t="n">
        <f aca="false">_xlfn.IFNA(VLOOKUP(D627,Catalog!$B$2:$C$4102,2,FALSE()),"")</f>
        <v>2.95</v>
      </c>
      <c r="I627" s="7" t="str">
        <f aca="false">HLOOKUP(C627,Regions!$B$1:$S$2,2,FALSE())</f>
        <v>EU</v>
      </c>
      <c r="J627" s="7" t="n">
        <f aca="false">E627*F627</f>
        <v>17.7</v>
      </c>
      <c r="K627" s="8" t="n">
        <f aca="false">IF(H627="","",1-F627/H627)</f>
        <v>0</v>
      </c>
    </row>
    <row r="628" customFormat="false" ht="15" hidden="false" customHeight="false" outlineLevel="0" collapsed="false">
      <c r="A628" s="0" t="s">
        <v>492</v>
      </c>
      <c r="B628" s="6" t="n">
        <v>40883.4138888889</v>
      </c>
      <c r="C628" s="0" t="s">
        <v>493</v>
      </c>
      <c r="D628" s="0" t="s">
        <v>47</v>
      </c>
      <c r="E628" s="0" t="n">
        <v>2</v>
      </c>
      <c r="F628" s="0" t="n">
        <v>7.95</v>
      </c>
      <c r="G628" s="7" t="str">
        <f aca="false">_xlfn.XLOOKUP(D628,Catalog!$B$2:$B$4102,Catalog!$A$2:$A$4102,"NOT IN CATALOG")</f>
        <v>RED/WHITE DOT MINI CASES</v>
      </c>
      <c r="H628" s="7" t="n">
        <f aca="false">_xlfn.IFNA(VLOOKUP(D628,Catalog!$B$2:$C$4102,2,FALSE()),"")</f>
        <v>7.95</v>
      </c>
      <c r="I628" s="7" t="str">
        <f aca="false">HLOOKUP(C628,Regions!$B$1:$S$2,2,FALSE())</f>
        <v>EU</v>
      </c>
      <c r="J628" s="7" t="n">
        <f aca="false">E628*F628</f>
        <v>15.9</v>
      </c>
      <c r="K628" s="8" t="n">
        <f aca="false">IF(H628="","",1-F628/H628)</f>
        <v>0</v>
      </c>
    </row>
    <row r="629" customFormat="false" ht="15" hidden="false" customHeight="false" outlineLevel="0" collapsed="false">
      <c r="A629" s="0" t="s">
        <v>492</v>
      </c>
      <c r="B629" s="6" t="n">
        <v>40883.4138888889</v>
      </c>
      <c r="C629" s="0" t="s">
        <v>493</v>
      </c>
      <c r="D629" s="0" t="s">
        <v>482</v>
      </c>
      <c r="E629" s="0" t="n">
        <v>6</v>
      </c>
      <c r="F629" s="0" t="n">
        <v>2.95</v>
      </c>
      <c r="G629" s="7" t="str">
        <f aca="false">_xlfn.XLOOKUP(D629,Catalog!$B$2:$B$4102,Catalog!$A$2:$A$4102,"NOT IN CATALOG")</f>
        <v>ROUND SNACK BOXES SET OF4 WOODLAND</v>
      </c>
      <c r="H629" s="7" t="n">
        <f aca="false">_xlfn.IFNA(VLOOKUP(D629,Catalog!$B$2:$C$4102,2,FALSE()),"")</f>
        <v>2.95</v>
      </c>
      <c r="I629" s="7" t="str">
        <f aca="false">HLOOKUP(C629,Regions!$B$1:$S$2,2,FALSE())</f>
        <v>EU</v>
      </c>
      <c r="J629" s="7" t="n">
        <f aca="false">E629*F629</f>
        <v>17.7</v>
      </c>
      <c r="K629" s="8" t="n">
        <f aca="false">IF(H629="","",1-F629/H629)</f>
        <v>0</v>
      </c>
    </row>
    <row r="630" customFormat="false" ht="15" hidden="false" customHeight="false" outlineLevel="0" collapsed="false">
      <c r="A630" s="0" t="s">
        <v>492</v>
      </c>
      <c r="B630" s="6" t="n">
        <v>40883.4138888889</v>
      </c>
      <c r="C630" s="0" t="s">
        <v>493</v>
      </c>
      <c r="D630" s="0" t="s">
        <v>82</v>
      </c>
      <c r="E630" s="0" t="n">
        <v>6</v>
      </c>
      <c r="F630" s="0" t="n">
        <v>2.08</v>
      </c>
      <c r="G630" s="7" t="str">
        <f aca="false">_xlfn.XLOOKUP(D630,Catalog!$B$2:$B$4102,Catalog!$A$2:$A$4102,"NOT IN CATALOG")</f>
        <v>NOT IN CATALOG</v>
      </c>
      <c r="H630" s="7" t="str">
        <f aca="false">_xlfn.IFNA(VLOOKUP(D630,Catalog!$B$2:$C$4102,2,FALSE()),"")</f>
        <v/>
      </c>
      <c r="I630" s="7" t="str">
        <f aca="false">HLOOKUP(C630,Regions!$B$1:$S$2,2,FALSE())</f>
        <v>EU</v>
      </c>
      <c r="J630" s="7" t="n">
        <f aca="false">E630*F630</f>
        <v>12.48</v>
      </c>
      <c r="K630" s="8" t="str">
        <f aca="false">IF(H630="","",1-F630/H630)</f>
        <v/>
      </c>
    </row>
    <row r="631" customFormat="false" ht="15" hidden="false" customHeight="false" outlineLevel="0" collapsed="false">
      <c r="A631" s="0" t="s">
        <v>492</v>
      </c>
      <c r="B631" s="6" t="n">
        <v>40883.4138888889</v>
      </c>
      <c r="C631" s="0" t="s">
        <v>493</v>
      </c>
      <c r="D631" s="0" t="s">
        <v>506</v>
      </c>
      <c r="E631" s="0" t="n">
        <v>4</v>
      </c>
      <c r="F631" s="0" t="n">
        <v>4.15</v>
      </c>
      <c r="G631" s="7" t="str">
        <f aca="false">_xlfn.XLOOKUP(D631,Catalog!$B$2:$B$4102,Catalog!$A$2:$A$4102,"NOT IN CATALOG")</f>
        <v>NOT IN CATALOG</v>
      </c>
      <c r="H631" s="7" t="str">
        <f aca="false">_xlfn.IFNA(VLOOKUP(D631,Catalog!$B$2:$C$4102,2,FALSE()),"")</f>
        <v/>
      </c>
      <c r="I631" s="7" t="str">
        <f aca="false">HLOOKUP(C631,Regions!$B$1:$S$2,2,FALSE())</f>
        <v>EU</v>
      </c>
      <c r="J631" s="7" t="n">
        <f aca="false">E631*F631</f>
        <v>16.6</v>
      </c>
      <c r="K631" s="8" t="str">
        <f aca="false">IF(H631="","",1-F631/H631)</f>
        <v/>
      </c>
    </row>
    <row r="632" customFormat="false" ht="15" hidden="false" customHeight="false" outlineLevel="0" collapsed="false">
      <c r="A632" s="0" t="s">
        <v>492</v>
      </c>
      <c r="B632" s="6" t="n">
        <v>40883.4138888889</v>
      </c>
      <c r="C632" s="0" t="s">
        <v>493</v>
      </c>
      <c r="D632" s="0" t="s">
        <v>100</v>
      </c>
      <c r="E632" s="0" t="n">
        <v>3</v>
      </c>
      <c r="F632" s="0" t="n">
        <v>4.95</v>
      </c>
      <c r="G632" s="7" t="str">
        <f aca="false">_xlfn.XLOOKUP(D632,Catalog!$B$2:$B$4102,Catalog!$A$2:$A$4102,"NOT IN CATALOG")</f>
        <v>BAKING SET SPACEBOY DESIGN</v>
      </c>
      <c r="H632" s="7" t="n">
        <f aca="false">_xlfn.IFNA(VLOOKUP(D632,Catalog!$B$2:$C$4102,2,FALSE()),"")</f>
        <v>4.95</v>
      </c>
      <c r="I632" s="7" t="str">
        <f aca="false">HLOOKUP(C632,Regions!$B$1:$S$2,2,FALSE())</f>
        <v>EU</v>
      </c>
      <c r="J632" s="7" t="n">
        <f aca="false">E632*F632</f>
        <v>14.85</v>
      </c>
      <c r="K632" s="8" t="n">
        <f aca="false">IF(H632="","",1-F632/H632)</f>
        <v>0</v>
      </c>
    </row>
    <row r="633" customFormat="false" ht="15" hidden="false" customHeight="false" outlineLevel="0" collapsed="false">
      <c r="A633" s="0" t="s">
        <v>492</v>
      </c>
      <c r="B633" s="6" t="n">
        <v>40883.4138888889</v>
      </c>
      <c r="C633" s="0" t="s">
        <v>493</v>
      </c>
      <c r="D633" s="0" t="s">
        <v>507</v>
      </c>
      <c r="E633" s="0" t="n">
        <v>10</v>
      </c>
      <c r="F633" s="0" t="n">
        <v>1.65</v>
      </c>
      <c r="G633" s="7" t="str">
        <f aca="false">_xlfn.XLOOKUP(D633,Catalog!$B$2:$B$4102,Catalog!$A$2:$A$4102,"NOT IN CATALOG")</f>
        <v>LUNCH BAG SPACEBOY DESIGN</v>
      </c>
      <c r="H633" s="7" t="n">
        <f aca="false">_xlfn.IFNA(VLOOKUP(D633,Catalog!$B$2:$C$4102,2,FALSE()),"")</f>
        <v>1.65</v>
      </c>
      <c r="I633" s="7" t="str">
        <f aca="false">HLOOKUP(C633,Regions!$B$1:$S$2,2,FALSE())</f>
        <v>EU</v>
      </c>
      <c r="J633" s="7" t="n">
        <f aca="false">E633*F633</f>
        <v>16.5</v>
      </c>
      <c r="K633" s="8" t="n">
        <f aca="false">IF(H633="","",1-F633/H633)</f>
        <v>0</v>
      </c>
    </row>
    <row r="634" customFormat="false" ht="15" hidden="false" customHeight="false" outlineLevel="0" collapsed="false">
      <c r="A634" s="0" t="s">
        <v>492</v>
      </c>
      <c r="B634" s="6" t="n">
        <v>40883.4138888889</v>
      </c>
      <c r="C634" s="0" t="s">
        <v>493</v>
      </c>
      <c r="D634" s="0" t="s">
        <v>309</v>
      </c>
      <c r="E634" s="0" t="n">
        <v>4</v>
      </c>
      <c r="F634" s="0" t="n">
        <v>4.15</v>
      </c>
      <c r="G634" s="7" t="str">
        <f aca="false">_xlfn.XLOOKUP(D634,Catalog!$B$2:$B$4102,Catalog!$A$2:$A$4102,"NOT IN CATALOG")</f>
        <v>NOT IN CATALOG</v>
      </c>
      <c r="H634" s="7" t="str">
        <f aca="false">_xlfn.IFNA(VLOOKUP(D634,Catalog!$B$2:$C$4102,2,FALSE()),"")</f>
        <v/>
      </c>
      <c r="I634" s="7" t="str">
        <f aca="false">HLOOKUP(C634,Regions!$B$1:$S$2,2,FALSE())</f>
        <v>EU</v>
      </c>
      <c r="J634" s="7" t="n">
        <f aca="false">E634*F634</f>
        <v>16.6</v>
      </c>
      <c r="K634" s="8" t="str">
        <f aca="false">IF(H634="","",1-F634/H634)</f>
        <v/>
      </c>
    </row>
    <row r="635" customFormat="false" ht="15" hidden="false" customHeight="false" outlineLevel="0" collapsed="false">
      <c r="A635" s="0" t="s">
        <v>492</v>
      </c>
      <c r="B635" s="6" t="n">
        <v>40883.4138888889</v>
      </c>
      <c r="C635" s="0" t="s">
        <v>493</v>
      </c>
      <c r="D635" s="0" t="s">
        <v>85</v>
      </c>
      <c r="E635" s="0" t="n">
        <v>4</v>
      </c>
      <c r="F635" s="0" t="n">
        <v>4.15</v>
      </c>
      <c r="G635" s="7" t="str">
        <f aca="false">_xlfn.XLOOKUP(D635,Catalog!$B$2:$B$4102,Catalog!$A$2:$A$4102,"NOT IN CATALOG")</f>
        <v>NOT IN CATALOG</v>
      </c>
      <c r="H635" s="7" t="str">
        <f aca="false">_xlfn.IFNA(VLOOKUP(D635,Catalog!$B$2:$C$4102,2,FALSE()),"")</f>
        <v/>
      </c>
      <c r="I635" s="7" t="str">
        <f aca="false">HLOOKUP(C635,Regions!$B$1:$S$2,2,FALSE())</f>
        <v>EU</v>
      </c>
      <c r="J635" s="7" t="n">
        <f aca="false">E635*F635</f>
        <v>16.6</v>
      </c>
      <c r="K635" s="8" t="str">
        <f aca="false">IF(H635="","",1-F635/H635)</f>
        <v/>
      </c>
    </row>
    <row r="636" customFormat="false" ht="15" hidden="false" customHeight="false" outlineLevel="0" collapsed="false">
      <c r="A636" s="0" t="s">
        <v>492</v>
      </c>
      <c r="B636" s="6" t="n">
        <v>40883.4138888889</v>
      </c>
      <c r="C636" s="0" t="s">
        <v>493</v>
      </c>
      <c r="D636" s="0" t="s">
        <v>210</v>
      </c>
      <c r="E636" s="0" t="n">
        <v>2</v>
      </c>
      <c r="F636" s="0" t="n">
        <v>6.25</v>
      </c>
      <c r="G636" s="7" t="str">
        <f aca="false">_xlfn.XLOOKUP(D636,Catalog!$B$2:$B$4102,Catalog!$A$2:$A$4102,"NOT IN CATALOG")</f>
        <v>NOT IN CATALOG</v>
      </c>
      <c r="H636" s="7" t="str">
        <f aca="false">_xlfn.IFNA(VLOOKUP(D636,Catalog!$B$2:$C$4102,2,FALSE()),"")</f>
        <v/>
      </c>
      <c r="I636" s="7" t="str">
        <f aca="false">HLOOKUP(C636,Regions!$B$1:$S$2,2,FALSE())</f>
        <v>EU</v>
      </c>
      <c r="J636" s="7" t="n">
        <f aca="false">E636*F636</f>
        <v>12.5</v>
      </c>
      <c r="K636" s="8" t="str">
        <f aca="false">IF(H636="","",1-F636/H636)</f>
        <v/>
      </c>
    </row>
    <row r="637" customFormat="false" ht="15" hidden="false" customHeight="false" outlineLevel="0" collapsed="false">
      <c r="A637" s="0" t="s">
        <v>492</v>
      </c>
      <c r="B637" s="6" t="n">
        <v>40883.4138888889</v>
      </c>
      <c r="C637" s="0" t="s">
        <v>493</v>
      </c>
      <c r="D637" s="0" t="s">
        <v>508</v>
      </c>
      <c r="E637" s="0" t="n">
        <v>4</v>
      </c>
      <c r="F637" s="0" t="n">
        <v>4.15</v>
      </c>
      <c r="G637" s="7" t="str">
        <f aca="false">_xlfn.XLOOKUP(D637,Catalog!$B$2:$B$4102,Catalog!$A$2:$A$4102,"NOT IN CATALOG")</f>
        <v>NOT IN CATALOG</v>
      </c>
      <c r="H637" s="7" t="str">
        <f aca="false">_xlfn.IFNA(VLOOKUP(D637,Catalog!$B$2:$C$4102,2,FALSE()),"")</f>
        <v/>
      </c>
      <c r="I637" s="7" t="str">
        <f aca="false">HLOOKUP(C637,Regions!$B$1:$S$2,2,FALSE())</f>
        <v>EU</v>
      </c>
      <c r="J637" s="7" t="n">
        <f aca="false">E637*F637</f>
        <v>16.6</v>
      </c>
      <c r="K637" s="8" t="str">
        <f aca="false">IF(H637="","",1-F637/H637)</f>
        <v/>
      </c>
    </row>
    <row r="638" customFormat="false" ht="15" hidden="false" customHeight="false" outlineLevel="0" collapsed="false">
      <c r="A638" s="0" t="s">
        <v>492</v>
      </c>
      <c r="B638" s="6" t="n">
        <v>40883.4138888889</v>
      </c>
      <c r="C638" s="0" t="s">
        <v>493</v>
      </c>
      <c r="D638" s="0" t="s">
        <v>509</v>
      </c>
      <c r="E638" s="0" t="n">
        <v>6</v>
      </c>
      <c r="F638" s="0" t="n">
        <v>2.1</v>
      </c>
      <c r="G638" s="7" t="str">
        <f aca="false">_xlfn.XLOOKUP(D638,Catalog!$B$2:$B$4102,Catalog!$A$2:$A$4102,"NOT IN CATALOG")</f>
        <v>CHILDREN'S APRON DOLLY GIRL</v>
      </c>
      <c r="H638" s="7" t="n">
        <f aca="false">_xlfn.IFNA(VLOOKUP(D638,Catalog!$B$2:$C$4102,2,FALSE()),"")</f>
        <v>2.1</v>
      </c>
      <c r="I638" s="7" t="str">
        <f aca="false">HLOOKUP(C638,Regions!$B$1:$S$2,2,FALSE())</f>
        <v>EU</v>
      </c>
      <c r="J638" s="7" t="n">
        <f aca="false">E638*F638</f>
        <v>12.6</v>
      </c>
      <c r="K638" s="8" t="n">
        <f aca="false">IF(H638="","",1-F638/H638)</f>
        <v>0</v>
      </c>
    </row>
    <row r="639" customFormat="false" ht="15" hidden="false" customHeight="false" outlineLevel="0" collapsed="false">
      <c r="A639" s="0" t="s">
        <v>510</v>
      </c>
      <c r="B639" s="6" t="n">
        <v>40883.4166666667</v>
      </c>
      <c r="C639" s="0" t="s">
        <v>81</v>
      </c>
      <c r="D639" s="0" t="s">
        <v>47</v>
      </c>
      <c r="E639" s="0" t="n">
        <v>4</v>
      </c>
      <c r="F639" s="0" t="n">
        <v>7.95</v>
      </c>
      <c r="G639" s="7" t="str">
        <f aca="false">_xlfn.XLOOKUP(D639,Catalog!$B$2:$B$4102,Catalog!$A$2:$A$4102,"NOT IN CATALOG")</f>
        <v>RED/WHITE DOT MINI CASES</v>
      </c>
      <c r="H639" s="7" t="n">
        <f aca="false">_xlfn.IFNA(VLOOKUP(D639,Catalog!$B$2:$C$4102,2,FALSE()),"")</f>
        <v>7.95</v>
      </c>
      <c r="I639" s="7" t="str">
        <f aca="false">HLOOKUP(C639,Regions!$B$1:$S$2,2,FALSE())</f>
        <v>EU</v>
      </c>
      <c r="J639" s="7" t="n">
        <f aca="false">E639*F639</f>
        <v>31.8</v>
      </c>
      <c r="K639" s="8" t="n">
        <f aca="false">IF(H639="","",1-F639/H639)</f>
        <v>0</v>
      </c>
    </row>
    <row r="640" customFormat="false" ht="15" hidden="false" customHeight="false" outlineLevel="0" collapsed="false">
      <c r="A640" s="0" t="s">
        <v>510</v>
      </c>
      <c r="B640" s="6" t="n">
        <v>40883.4166666667</v>
      </c>
      <c r="C640" s="0" t="s">
        <v>81</v>
      </c>
      <c r="D640" s="0" t="s">
        <v>511</v>
      </c>
      <c r="E640" s="0" t="n">
        <v>10</v>
      </c>
      <c r="F640" s="0" t="n">
        <v>2.08</v>
      </c>
      <c r="G640" s="7" t="str">
        <f aca="false">_xlfn.XLOOKUP(D640,Catalog!$B$2:$B$4102,Catalog!$A$2:$A$4102,"NOT IN CATALOG")</f>
        <v>JUMBO STORAGE BAG SUKI</v>
      </c>
      <c r="H640" s="7" t="n">
        <f aca="false">_xlfn.IFNA(VLOOKUP(D640,Catalog!$B$2:$C$4102,2,FALSE()),"")</f>
        <v>1.95</v>
      </c>
      <c r="I640" s="7" t="str">
        <f aca="false">HLOOKUP(C640,Regions!$B$1:$S$2,2,FALSE())</f>
        <v>EU</v>
      </c>
      <c r="J640" s="7" t="n">
        <f aca="false">E640*F640</f>
        <v>20.8</v>
      </c>
      <c r="K640" s="8" t="n">
        <f aca="false">IF(H640="","",1-F640/H640)</f>
        <v>-0.0666666666666667</v>
      </c>
    </row>
    <row r="641" customFormat="false" ht="15" hidden="false" customHeight="false" outlineLevel="0" collapsed="false">
      <c r="A641" s="0" t="s">
        <v>510</v>
      </c>
      <c r="B641" s="6" t="n">
        <v>40883.4166666667</v>
      </c>
      <c r="C641" s="0" t="s">
        <v>81</v>
      </c>
      <c r="D641" s="0" t="s">
        <v>87</v>
      </c>
      <c r="E641" s="0" t="n">
        <v>10</v>
      </c>
      <c r="F641" s="0" t="n">
        <v>2.08</v>
      </c>
      <c r="G641" s="7" t="str">
        <f aca="false">_xlfn.XLOOKUP(D641,Catalog!$B$2:$B$4102,Catalog!$A$2:$A$4102,"NOT IN CATALOG")</f>
        <v>JUMBO BAG RED RETROSPOT</v>
      </c>
      <c r="H641" s="7" t="n">
        <f aca="false">_xlfn.IFNA(VLOOKUP(D641,Catalog!$B$2:$C$4102,2,FALSE()),"")</f>
        <v>1.95</v>
      </c>
      <c r="I641" s="7" t="str">
        <f aca="false">HLOOKUP(C641,Regions!$B$1:$S$2,2,FALSE())</f>
        <v>EU</v>
      </c>
      <c r="J641" s="7" t="n">
        <f aca="false">E641*F641</f>
        <v>20.8</v>
      </c>
      <c r="K641" s="8" t="n">
        <f aca="false">IF(H641="","",1-F641/H641)</f>
        <v>-0.0666666666666667</v>
      </c>
    </row>
    <row r="642" customFormat="false" ht="15" hidden="false" customHeight="false" outlineLevel="0" collapsed="false">
      <c r="A642" s="0" t="s">
        <v>510</v>
      </c>
      <c r="B642" s="6" t="n">
        <v>40883.4166666667</v>
      </c>
      <c r="C642" s="0" t="s">
        <v>81</v>
      </c>
      <c r="D642" s="0" t="s">
        <v>54</v>
      </c>
      <c r="E642" s="0" t="n">
        <v>1</v>
      </c>
      <c r="F642" s="0" t="n">
        <v>12.75</v>
      </c>
      <c r="G642" s="7" t="str">
        <f aca="false">_xlfn.XLOOKUP(D642,Catalog!$B$2:$B$4102,Catalog!$A$2:$A$4102,"NOT IN CATALOG")</f>
        <v>REGENCY CAKESTAND 3 TIER</v>
      </c>
      <c r="H642" s="7" t="n">
        <f aca="false">_xlfn.IFNA(VLOOKUP(D642,Catalog!$B$2:$C$4102,2,FALSE()),"")</f>
        <v>12.75</v>
      </c>
      <c r="I642" s="7" t="str">
        <f aca="false">HLOOKUP(C642,Regions!$B$1:$S$2,2,FALSE())</f>
        <v>EU</v>
      </c>
      <c r="J642" s="7" t="n">
        <f aca="false">E642*F642</f>
        <v>12.75</v>
      </c>
      <c r="K642" s="8" t="n">
        <f aca="false">IF(H642="","",1-F642/H642)</f>
        <v>0</v>
      </c>
    </row>
    <row r="643" customFormat="false" ht="15" hidden="false" customHeight="false" outlineLevel="0" collapsed="false">
      <c r="A643" s="0" t="s">
        <v>510</v>
      </c>
      <c r="B643" s="6" t="n">
        <v>40883.4166666667</v>
      </c>
      <c r="C643" s="0" t="s">
        <v>81</v>
      </c>
      <c r="D643" s="0" t="s">
        <v>383</v>
      </c>
      <c r="E643" s="0" t="n">
        <v>8</v>
      </c>
      <c r="F643" s="0" t="n">
        <v>1.69</v>
      </c>
      <c r="G643" s="7" t="str">
        <f aca="false">_xlfn.XLOOKUP(D643,Catalog!$B$2:$B$4102,Catalog!$A$2:$A$4102,"NOT IN CATALOG")</f>
        <v>RED SPOTTY PLATE</v>
      </c>
      <c r="H643" s="7" t="n">
        <f aca="false">_xlfn.IFNA(VLOOKUP(D643,Catalog!$B$2:$C$4102,2,FALSE()),"")</f>
        <v>1.69</v>
      </c>
      <c r="I643" s="7" t="str">
        <f aca="false">HLOOKUP(C643,Regions!$B$1:$S$2,2,FALSE())</f>
        <v>EU</v>
      </c>
      <c r="J643" s="7" t="n">
        <f aca="false">E643*F643</f>
        <v>13.52</v>
      </c>
      <c r="K643" s="8" t="n">
        <f aca="false">IF(H643="","",1-F643/H643)</f>
        <v>0</v>
      </c>
    </row>
    <row r="644" customFormat="false" ht="15" hidden="false" customHeight="false" outlineLevel="0" collapsed="false">
      <c r="A644" s="0" t="s">
        <v>510</v>
      </c>
      <c r="B644" s="6" t="n">
        <v>40883.4166666667</v>
      </c>
      <c r="C644" s="0" t="s">
        <v>81</v>
      </c>
      <c r="D644" s="0" t="s">
        <v>384</v>
      </c>
      <c r="E644" s="0" t="n">
        <v>8</v>
      </c>
      <c r="F644" s="0" t="n">
        <v>1.69</v>
      </c>
      <c r="G644" s="7" t="str">
        <f aca="false">_xlfn.XLOOKUP(D644,Catalog!$B$2:$B$4102,Catalog!$A$2:$A$4102,"NOT IN CATALOG")</f>
        <v>PINK SPOTTY PLATE</v>
      </c>
      <c r="H644" s="7" t="n">
        <f aca="false">_xlfn.IFNA(VLOOKUP(D644,Catalog!$B$2:$C$4102,2,FALSE()),"")</f>
        <v>1.69</v>
      </c>
      <c r="I644" s="7" t="str">
        <f aca="false">HLOOKUP(C644,Regions!$B$1:$S$2,2,FALSE())</f>
        <v>EU</v>
      </c>
      <c r="J644" s="7" t="n">
        <f aca="false">E644*F644</f>
        <v>13.52</v>
      </c>
      <c r="K644" s="8" t="n">
        <f aca="false">IF(H644="","",1-F644/H644)</f>
        <v>0</v>
      </c>
    </row>
    <row r="645" customFormat="false" ht="15" hidden="false" customHeight="false" outlineLevel="0" collapsed="false">
      <c r="A645" s="0" t="s">
        <v>510</v>
      </c>
      <c r="B645" s="6" t="n">
        <v>40883.4166666667</v>
      </c>
      <c r="C645" s="0" t="s">
        <v>81</v>
      </c>
      <c r="D645" s="0" t="s">
        <v>387</v>
      </c>
      <c r="E645" s="0" t="n">
        <v>8</v>
      </c>
      <c r="F645" s="0" t="n">
        <v>0.85</v>
      </c>
      <c r="G645" s="7" t="str">
        <f aca="false">_xlfn.XLOOKUP(D645,Catalog!$B$2:$B$4102,Catalog!$A$2:$A$4102,"NOT IN CATALOG")</f>
        <v>PINK SPOTTY CUP</v>
      </c>
      <c r="H645" s="7" t="n">
        <f aca="false">_xlfn.IFNA(VLOOKUP(D645,Catalog!$B$2:$C$4102,2,FALSE()),"")</f>
        <v>0.85</v>
      </c>
      <c r="I645" s="7" t="str">
        <f aca="false">HLOOKUP(C645,Regions!$B$1:$S$2,2,FALSE())</f>
        <v>EU</v>
      </c>
      <c r="J645" s="7" t="n">
        <f aca="false">E645*F645</f>
        <v>6.8</v>
      </c>
      <c r="K645" s="8" t="n">
        <f aca="false">IF(H645="","",1-F645/H645)</f>
        <v>0</v>
      </c>
    </row>
    <row r="646" customFormat="false" ht="15" hidden="false" customHeight="false" outlineLevel="0" collapsed="false">
      <c r="A646" s="0" t="s">
        <v>510</v>
      </c>
      <c r="B646" s="6" t="n">
        <v>40883.4166666667</v>
      </c>
      <c r="C646" s="0" t="s">
        <v>81</v>
      </c>
      <c r="D646" s="0" t="s">
        <v>399</v>
      </c>
      <c r="E646" s="0" t="n">
        <v>8</v>
      </c>
      <c r="F646" s="0" t="n">
        <v>0.85</v>
      </c>
      <c r="G646" s="7" t="str">
        <f aca="false">_xlfn.XLOOKUP(D646,Catalog!$B$2:$B$4102,Catalog!$A$2:$A$4102,"NOT IN CATALOG")</f>
        <v>BLUE SPOTTY CUP</v>
      </c>
      <c r="H646" s="7" t="n">
        <f aca="false">_xlfn.IFNA(VLOOKUP(D646,Catalog!$B$2:$C$4102,2,FALSE()),"")</f>
        <v>0.85</v>
      </c>
      <c r="I646" s="7" t="str">
        <f aca="false">HLOOKUP(C646,Regions!$B$1:$S$2,2,FALSE())</f>
        <v>EU</v>
      </c>
      <c r="J646" s="7" t="n">
        <f aca="false">E646*F646</f>
        <v>6.8</v>
      </c>
      <c r="K646" s="8" t="n">
        <f aca="false">IF(H646="","",1-F646/H646)</f>
        <v>0</v>
      </c>
    </row>
    <row r="647" customFormat="false" ht="15" hidden="false" customHeight="false" outlineLevel="0" collapsed="false">
      <c r="A647" s="0" t="s">
        <v>510</v>
      </c>
      <c r="B647" s="6" t="n">
        <v>40883.4166666667</v>
      </c>
      <c r="C647" s="0" t="s">
        <v>81</v>
      </c>
      <c r="D647" s="0" t="s">
        <v>512</v>
      </c>
      <c r="E647" s="0" t="n">
        <v>3</v>
      </c>
      <c r="F647" s="0" t="n">
        <v>5.75</v>
      </c>
      <c r="G647" s="7" t="str">
        <f aca="false">_xlfn.XLOOKUP(D647,Catalog!$B$2:$B$4102,Catalog!$A$2:$A$4102,"NOT IN CATALOG")</f>
        <v>NOT IN CATALOG</v>
      </c>
      <c r="H647" s="7" t="str">
        <f aca="false">_xlfn.IFNA(VLOOKUP(D647,Catalog!$B$2:$C$4102,2,FALSE()),"")</f>
        <v/>
      </c>
      <c r="I647" s="7" t="str">
        <f aca="false">HLOOKUP(C647,Regions!$B$1:$S$2,2,FALSE())</f>
        <v>EU</v>
      </c>
      <c r="J647" s="7" t="n">
        <f aca="false">E647*F647</f>
        <v>17.25</v>
      </c>
      <c r="K647" s="8" t="str">
        <f aca="false">IF(H647="","",1-F647/H647)</f>
        <v/>
      </c>
    </row>
    <row r="648" customFormat="false" ht="15" hidden="false" customHeight="false" outlineLevel="0" collapsed="false">
      <c r="A648" s="0" t="s">
        <v>510</v>
      </c>
      <c r="B648" s="6" t="n">
        <v>40883.4166666667</v>
      </c>
      <c r="C648" s="0" t="s">
        <v>81</v>
      </c>
      <c r="D648" s="0" t="s">
        <v>513</v>
      </c>
      <c r="E648" s="0" t="n">
        <v>24</v>
      </c>
      <c r="F648" s="0" t="n">
        <v>0.39</v>
      </c>
      <c r="G648" s="7" t="str">
        <f aca="false">_xlfn.XLOOKUP(D648,Catalog!$B$2:$B$4102,Catalog!$A$2:$A$4102,"NOT IN CATALOG")</f>
        <v>CHRISTMAS STAR WISH LIST CHALKBOARD</v>
      </c>
      <c r="H648" s="7" t="n">
        <f aca="false">_xlfn.IFNA(VLOOKUP(D648,Catalog!$B$2:$C$4102,2,FALSE()),"")</f>
        <v>0.85</v>
      </c>
      <c r="I648" s="7" t="str">
        <f aca="false">HLOOKUP(C648,Regions!$B$1:$S$2,2,FALSE())</f>
        <v>EU</v>
      </c>
      <c r="J648" s="7" t="n">
        <f aca="false">E648*F648</f>
        <v>9.36</v>
      </c>
      <c r="K648" s="8" t="n">
        <f aca="false">IF(H648="","",1-F648/H648)</f>
        <v>0.541176470588235</v>
      </c>
    </row>
    <row r="649" customFormat="false" ht="15" hidden="false" customHeight="false" outlineLevel="0" collapsed="false">
      <c r="A649" s="0" t="s">
        <v>510</v>
      </c>
      <c r="B649" s="6" t="n">
        <v>40883.4166666667</v>
      </c>
      <c r="C649" s="0" t="s">
        <v>81</v>
      </c>
      <c r="D649" s="0" t="s">
        <v>514</v>
      </c>
      <c r="E649" s="0" t="n">
        <v>3</v>
      </c>
      <c r="F649" s="0" t="n">
        <v>4.95</v>
      </c>
      <c r="G649" s="7" t="str">
        <f aca="false">_xlfn.XLOOKUP(D649,Catalog!$B$2:$B$4102,Catalog!$A$2:$A$4102,"NOT IN CATALOG")</f>
        <v>NATURAL SLATE CHALKBOARD LARGE</v>
      </c>
      <c r="H649" s="7" t="n">
        <f aca="false">_xlfn.IFNA(VLOOKUP(D649,Catalog!$B$2:$C$4102,2,FALSE()),"")</f>
        <v>4.95</v>
      </c>
      <c r="I649" s="7" t="str">
        <f aca="false">HLOOKUP(C649,Regions!$B$1:$S$2,2,FALSE())</f>
        <v>EU</v>
      </c>
      <c r="J649" s="7" t="n">
        <f aca="false">E649*F649</f>
        <v>14.85</v>
      </c>
      <c r="K649" s="8" t="n">
        <f aca="false">IF(H649="","",1-F649/H649)</f>
        <v>0</v>
      </c>
    </row>
    <row r="650" customFormat="false" ht="15" hidden="false" customHeight="false" outlineLevel="0" collapsed="false">
      <c r="A650" s="0" t="s">
        <v>510</v>
      </c>
      <c r="B650" s="6" t="n">
        <v>40883.4166666667</v>
      </c>
      <c r="C650" s="0" t="s">
        <v>81</v>
      </c>
      <c r="D650" s="0" t="s">
        <v>515</v>
      </c>
      <c r="E650" s="0" t="n">
        <v>2</v>
      </c>
      <c r="F650" s="0" t="n">
        <v>8.25</v>
      </c>
      <c r="G650" s="7" t="str">
        <f aca="false">_xlfn.XLOOKUP(D650,Catalog!$B$2:$B$4102,Catalog!$A$2:$A$4102,"NOT IN CATALOG")</f>
        <v>DOOR MAT FAIRY CAKE</v>
      </c>
      <c r="H650" s="7" t="n">
        <f aca="false">_xlfn.IFNA(VLOOKUP(D650,Catalog!$B$2:$C$4102,2,FALSE()),"")</f>
        <v>7.49</v>
      </c>
      <c r="I650" s="7" t="str">
        <f aca="false">HLOOKUP(C650,Regions!$B$1:$S$2,2,FALSE())</f>
        <v>EU</v>
      </c>
      <c r="J650" s="7" t="n">
        <f aca="false">E650*F650</f>
        <v>16.5</v>
      </c>
      <c r="K650" s="8" t="n">
        <f aca="false">IF(H650="","",1-F650/H650)</f>
        <v>-0.101468624833111</v>
      </c>
    </row>
    <row r="651" customFormat="false" ht="15" hidden="false" customHeight="false" outlineLevel="0" collapsed="false">
      <c r="A651" s="0" t="s">
        <v>510</v>
      </c>
      <c r="B651" s="6" t="n">
        <v>40883.4166666667</v>
      </c>
      <c r="C651" s="0" t="s">
        <v>81</v>
      </c>
      <c r="D651" s="0" t="s">
        <v>198</v>
      </c>
      <c r="E651" s="0" t="n">
        <v>2</v>
      </c>
      <c r="F651" s="0" t="n">
        <v>4.95</v>
      </c>
      <c r="G651" s="7" t="str">
        <f aca="false">_xlfn.XLOOKUP(D651,Catalog!$B$2:$B$4102,Catalog!$A$2:$A$4102,"NOT IN CATALOG")</f>
        <v>OPEN CLOSED METAL SIGN</v>
      </c>
      <c r="H651" s="7" t="n">
        <f aca="false">_xlfn.IFNA(VLOOKUP(D651,Catalog!$B$2:$C$4102,2,FALSE()),"")</f>
        <v>4.95</v>
      </c>
      <c r="I651" s="7" t="str">
        <f aca="false">HLOOKUP(C651,Regions!$B$1:$S$2,2,FALSE())</f>
        <v>EU</v>
      </c>
      <c r="J651" s="7" t="n">
        <f aca="false">E651*F651</f>
        <v>9.9</v>
      </c>
      <c r="K651" s="8" t="n">
        <f aca="false">IF(H651="","",1-F651/H651)</f>
        <v>0</v>
      </c>
    </row>
    <row r="652" customFormat="false" ht="15" hidden="false" customHeight="false" outlineLevel="0" collapsed="false">
      <c r="A652" s="0" t="s">
        <v>510</v>
      </c>
      <c r="B652" s="6" t="n">
        <v>40883.4166666667</v>
      </c>
      <c r="C652" s="0" t="s">
        <v>81</v>
      </c>
      <c r="D652" s="0" t="s">
        <v>516</v>
      </c>
      <c r="E652" s="0" t="n">
        <v>24</v>
      </c>
      <c r="F652" s="0" t="n">
        <v>0.55</v>
      </c>
      <c r="G652" s="7" t="str">
        <f aca="false">_xlfn.XLOOKUP(D652,Catalog!$B$2:$B$4102,Catalog!$A$2:$A$4102,"NOT IN CATALOG")</f>
        <v>PACK OF 60 PINK PAISLEY CAKE CASES</v>
      </c>
      <c r="H652" s="7" t="n">
        <f aca="false">_xlfn.IFNA(VLOOKUP(D652,Catalog!$B$2:$C$4102,2,FALSE()),"")</f>
        <v>0.55</v>
      </c>
      <c r="I652" s="7" t="str">
        <f aca="false">HLOOKUP(C652,Regions!$B$1:$S$2,2,FALSE())</f>
        <v>EU</v>
      </c>
      <c r="J652" s="7" t="n">
        <f aca="false">E652*F652</f>
        <v>13.2</v>
      </c>
      <c r="K652" s="8" t="n">
        <f aca="false">IF(H652="","",1-F652/H652)</f>
        <v>0</v>
      </c>
    </row>
    <row r="653" customFormat="false" ht="15" hidden="false" customHeight="false" outlineLevel="0" collapsed="false">
      <c r="A653" s="0" t="s">
        <v>510</v>
      </c>
      <c r="B653" s="6" t="n">
        <v>40883.4166666667</v>
      </c>
      <c r="C653" s="0" t="s">
        <v>81</v>
      </c>
      <c r="D653" s="0" t="s">
        <v>44</v>
      </c>
      <c r="E653" s="0" t="n">
        <v>24</v>
      </c>
      <c r="F653" s="0" t="n">
        <v>0.55</v>
      </c>
      <c r="G653" s="7" t="str">
        <f aca="false">_xlfn.XLOOKUP(D653,Catalog!$B$2:$B$4102,Catalog!$A$2:$A$4102,"NOT IN CATALOG")</f>
        <v>PACK OF 72 RETRO SPOT CAKE CASES</v>
      </c>
      <c r="H653" s="7" t="n">
        <f aca="false">_xlfn.IFNA(VLOOKUP(D653,Catalog!$B$2:$C$4102,2,FALSE()),"")</f>
        <v>0.55</v>
      </c>
      <c r="I653" s="7" t="str">
        <f aca="false">HLOOKUP(C653,Regions!$B$1:$S$2,2,FALSE())</f>
        <v>EU</v>
      </c>
      <c r="J653" s="7" t="n">
        <f aca="false">E653*F653</f>
        <v>13.2</v>
      </c>
      <c r="K653" s="8" t="n">
        <f aca="false">IF(H653="","",1-F653/H653)</f>
        <v>0</v>
      </c>
    </row>
    <row r="654" customFormat="false" ht="15" hidden="false" customHeight="false" outlineLevel="0" collapsed="false">
      <c r="A654" s="0" t="s">
        <v>510</v>
      </c>
      <c r="B654" s="6" t="n">
        <v>40883.4166666667</v>
      </c>
      <c r="C654" s="0" t="s">
        <v>81</v>
      </c>
      <c r="D654" s="0" t="s">
        <v>472</v>
      </c>
      <c r="E654" s="0" t="n">
        <v>12</v>
      </c>
      <c r="F654" s="0" t="n">
        <v>2.1</v>
      </c>
      <c r="G654" s="7" t="str">
        <f aca="false">_xlfn.XLOOKUP(D654,Catalog!$B$2:$B$4102,Catalog!$A$2:$A$4102,"NOT IN CATALOG")</f>
        <v>SET OF 20 KIDS COOKIE CUTTERS</v>
      </c>
      <c r="H654" s="7" t="n">
        <f aca="false">_xlfn.IFNA(VLOOKUP(D654,Catalog!$B$2:$C$4102,2,FALSE()),"")</f>
        <v>1.95</v>
      </c>
      <c r="I654" s="7" t="str">
        <f aca="false">HLOOKUP(C654,Regions!$B$1:$S$2,2,FALSE())</f>
        <v>EU</v>
      </c>
      <c r="J654" s="7" t="n">
        <f aca="false">E654*F654</f>
        <v>25.2</v>
      </c>
      <c r="K654" s="8" t="n">
        <f aca="false">IF(H654="","",1-F654/H654)</f>
        <v>-0.0769230769230771</v>
      </c>
    </row>
    <row r="655" customFormat="false" ht="15" hidden="false" customHeight="false" outlineLevel="0" collapsed="false">
      <c r="A655" s="0" t="s">
        <v>510</v>
      </c>
      <c r="B655" s="6" t="n">
        <v>40883.4166666667</v>
      </c>
      <c r="C655" s="0" t="s">
        <v>81</v>
      </c>
      <c r="D655" s="0" t="s">
        <v>517</v>
      </c>
      <c r="E655" s="0" t="n">
        <v>8</v>
      </c>
      <c r="F655" s="0" t="n">
        <v>2.49</v>
      </c>
      <c r="G655" s="7" t="str">
        <f aca="false">_xlfn.XLOOKUP(D655,Catalog!$B$2:$B$4102,Catalog!$A$2:$A$4102,"NOT IN CATALOG")</f>
        <v>NOT IN CATALOG</v>
      </c>
      <c r="H655" s="7" t="str">
        <f aca="false">_xlfn.IFNA(VLOOKUP(D655,Catalog!$B$2:$C$4102,2,FALSE()),"")</f>
        <v/>
      </c>
      <c r="I655" s="7" t="str">
        <f aca="false">HLOOKUP(C655,Regions!$B$1:$S$2,2,FALSE())</f>
        <v>EU</v>
      </c>
      <c r="J655" s="7" t="n">
        <f aca="false">E655*F655</f>
        <v>19.92</v>
      </c>
      <c r="K655" s="8" t="str">
        <f aca="false">IF(H655="","",1-F655/H655)</f>
        <v/>
      </c>
    </row>
    <row r="656" customFormat="false" ht="15" hidden="false" customHeight="false" outlineLevel="0" collapsed="false">
      <c r="A656" s="0" t="s">
        <v>510</v>
      </c>
      <c r="B656" s="6" t="n">
        <v>40883.4166666667</v>
      </c>
      <c r="C656" s="0" t="s">
        <v>81</v>
      </c>
      <c r="D656" s="0" t="s">
        <v>45</v>
      </c>
      <c r="E656" s="0" t="n">
        <v>12</v>
      </c>
      <c r="F656" s="0" t="n">
        <v>1.45</v>
      </c>
      <c r="G656" s="7" t="str">
        <f aca="false">_xlfn.XLOOKUP(D656,Catalog!$B$2:$B$4102,Catalog!$A$2:$A$4102,"NOT IN CATALOG")</f>
        <v>SET OF 3 HEART COOKIE CUTTERS</v>
      </c>
      <c r="H656" s="7" t="n">
        <f aca="false">_xlfn.IFNA(VLOOKUP(D656,Catalog!$B$2:$C$4102,2,FALSE()),"")</f>
        <v>1.25</v>
      </c>
      <c r="I656" s="7" t="str">
        <f aca="false">HLOOKUP(C656,Regions!$B$1:$S$2,2,FALSE())</f>
        <v>EU</v>
      </c>
      <c r="J656" s="7" t="n">
        <f aca="false">E656*F656</f>
        <v>17.4</v>
      </c>
      <c r="K656" s="8" t="n">
        <f aca="false">IF(H656="","",1-F656/H656)</f>
        <v>-0.16</v>
      </c>
    </row>
    <row r="657" customFormat="false" ht="15" hidden="false" customHeight="false" outlineLevel="0" collapsed="false">
      <c r="A657" s="0" t="s">
        <v>510</v>
      </c>
      <c r="B657" s="6" t="n">
        <v>40883.4166666667</v>
      </c>
      <c r="C657" s="0" t="s">
        <v>81</v>
      </c>
      <c r="D657" s="0" t="s">
        <v>518</v>
      </c>
      <c r="E657" s="0" t="n">
        <v>1</v>
      </c>
      <c r="F657" s="0" t="n">
        <v>12.5</v>
      </c>
      <c r="G657" s="7" t="str">
        <f aca="false">_xlfn.XLOOKUP(D657,Catalog!$B$2:$B$4102,Catalog!$A$2:$A$4102,"NOT IN CATALOG")</f>
        <v>NOT IN CATALOG</v>
      </c>
      <c r="H657" s="7" t="str">
        <f aca="false">_xlfn.IFNA(VLOOKUP(D657,Catalog!$B$2:$C$4102,2,FALSE()),"")</f>
        <v/>
      </c>
      <c r="I657" s="7" t="str">
        <f aca="false">HLOOKUP(C657,Regions!$B$1:$S$2,2,FALSE())</f>
        <v>EU</v>
      </c>
      <c r="J657" s="7" t="n">
        <f aca="false">E657*F657</f>
        <v>12.5</v>
      </c>
      <c r="K657" s="8" t="str">
        <f aca="false">IF(H657="","",1-F657/H657)</f>
        <v/>
      </c>
    </row>
    <row r="658" customFormat="false" ht="15" hidden="false" customHeight="false" outlineLevel="0" collapsed="false">
      <c r="A658" s="0" t="s">
        <v>510</v>
      </c>
      <c r="B658" s="6" t="n">
        <v>40883.4166666667</v>
      </c>
      <c r="C658" s="0" t="s">
        <v>81</v>
      </c>
      <c r="D658" s="0" t="s">
        <v>216</v>
      </c>
      <c r="E658" s="0" t="n">
        <v>12</v>
      </c>
      <c r="F658" s="0" t="n">
        <v>1.25</v>
      </c>
      <c r="G658" s="7" t="str">
        <f aca="false">_xlfn.XLOOKUP(D658,Catalog!$B$2:$B$4102,Catalog!$A$2:$A$4102,"NOT IN CATALOG")</f>
        <v>GINGERBREAD MAN COOKIE CUTTER</v>
      </c>
      <c r="H658" s="7" t="n">
        <f aca="false">_xlfn.IFNA(VLOOKUP(D658,Catalog!$B$2:$C$4102,2,FALSE()),"")</f>
        <v>1.25</v>
      </c>
      <c r="I658" s="7" t="str">
        <f aca="false">HLOOKUP(C658,Regions!$B$1:$S$2,2,FALSE())</f>
        <v>EU</v>
      </c>
      <c r="J658" s="7" t="n">
        <f aca="false">E658*F658</f>
        <v>15</v>
      </c>
      <c r="K658" s="8" t="n">
        <f aca="false">IF(H658="","",1-F658/H658)</f>
        <v>0</v>
      </c>
    </row>
    <row r="659" customFormat="false" ht="15" hidden="false" customHeight="false" outlineLevel="0" collapsed="false">
      <c r="A659" s="0" t="s">
        <v>510</v>
      </c>
      <c r="B659" s="6" t="n">
        <v>40883.4166666667</v>
      </c>
      <c r="C659" s="0" t="s">
        <v>81</v>
      </c>
      <c r="D659" s="0" t="s">
        <v>82</v>
      </c>
      <c r="E659" s="0" t="n">
        <v>24</v>
      </c>
      <c r="F659" s="0" t="n">
        <v>1.79</v>
      </c>
      <c r="G659" s="7" t="str">
        <f aca="false">_xlfn.XLOOKUP(D659,Catalog!$B$2:$B$4102,Catalog!$A$2:$A$4102,"NOT IN CATALOG")</f>
        <v>NOT IN CATALOG</v>
      </c>
      <c r="H659" s="7" t="str">
        <f aca="false">_xlfn.IFNA(VLOOKUP(D659,Catalog!$B$2:$C$4102,2,FALSE()),"")</f>
        <v/>
      </c>
      <c r="I659" s="7" t="str">
        <f aca="false">HLOOKUP(C659,Regions!$B$1:$S$2,2,FALSE())</f>
        <v>EU</v>
      </c>
      <c r="J659" s="7" t="n">
        <f aca="false">E659*F659</f>
        <v>42.96</v>
      </c>
      <c r="K659" s="8" t="str">
        <f aca="false">IF(H659="","",1-F659/H659)</f>
        <v/>
      </c>
    </row>
    <row r="660" customFormat="false" ht="15" hidden="false" customHeight="false" outlineLevel="0" collapsed="false">
      <c r="A660" s="0" t="s">
        <v>510</v>
      </c>
      <c r="B660" s="6" t="n">
        <v>40883.4166666667</v>
      </c>
      <c r="C660" s="0" t="s">
        <v>81</v>
      </c>
      <c r="D660" s="0" t="s">
        <v>151</v>
      </c>
      <c r="E660" s="0" t="n">
        <v>12</v>
      </c>
      <c r="F660" s="0" t="n">
        <v>1.65</v>
      </c>
      <c r="G660" s="7" t="str">
        <f aca="false">_xlfn.XLOOKUP(D660,Catalog!$B$2:$B$4102,Catalog!$A$2:$A$4102,"NOT IN CATALOG")</f>
        <v>PLASTERS IN TIN CIRCUS PARADE</v>
      </c>
      <c r="H660" s="7" t="n">
        <f aca="false">_xlfn.IFNA(VLOOKUP(D660,Catalog!$B$2:$C$4102,2,FALSE()),"")</f>
        <v>1.65</v>
      </c>
      <c r="I660" s="7" t="str">
        <f aca="false">HLOOKUP(C660,Regions!$B$1:$S$2,2,FALSE())</f>
        <v>EU</v>
      </c>
      <c r="J660" s="7" t="n">
        <f aca="false">E660*F660</f>
        <v>19.8</v>
      </c>
      <c r="K660" s="8" t="n">
        <f aca="false">IF(H660="","",1-F660/H660)</f>
        <v>0</v>
      </c>
    </row>
    <row r="661" customFormat="false" ht="15" hidden="false" customHeight="false" outlineLevel="0" collapsed="false">
      <c r="A661" s="0" t="s">
        <v>510</v>
      </c>
      <c r="B661" s="6" t="n">
        <v>40883.4166666667</v>
      </c>
      <c r="C661" s="0" t="s">
        <v>81</v>
      </c>
      <c r="D661" s="0" t="s">
        <v>242</v>
      </c>
      <c r="E661" s="0" t="n">
        <v>24</v>
      </c>
      <c r="F661" s="0" t="n">
        <v>1.65</v>
      </c>
      <c r="G661" s="7" t="str">
        <f aca="false">_xlfn.XLOOKUP(D661,Catalog!$B$2:$B$4102,Catalog!$A$2:$A$4102,"NOT IN CATALOG")</f>
        <v>PLASTERS IN TIN SPACEBOY</v>
      </c>
      <c r="H661" s="7" t="n">
        <f aca="false">_xlfn.IFNA(VLOOKUP(D661,Catalog!$B$2:$C$4102,2,FALSE()),"")</f>
        <v>1.65</v>
      </c>
      <c r="I661" s="7" t="str">
        <f aca="false">HLOOKUP(C661,Regions!$B$1:$S$2,2,FALSE())</f>
        <v>EU</v>
      </c>
      <c r="J661" s="7" t="n">
        <f aca="false">E661*F661</f>
        <v>39.6</v>
      </c>
      <c r="K661" s="8" t="n">
        <f aca="false">IF(H661="","",1-F661/H661)</f>
        <v>0</v>
      </c>
    </row>
    <row r="662" customFormat="false" ht="15" hidden="false" customHeight="false" outlineLevel="0" collapsed="false">
      <c r="A662" s="0" t="s">
        <v>510</v>
      </c>
      <c r="B662" s="6" t="n">
        <v>40883.4166666667</v>
      </c>
      <c r="C662" s="0" t="s">
        <v>81</v>
      </c>
      <c r="D662" s="0" t="s">
        <v>244</v>
      </c>
      <c r="E662" s="0" t="n">
        <v>12</v>
      </c>
      <c r="F662" s="0" t="n">
        <v>1.65</v>
      </c>
      <c r="G662" s="7" t="str">
        <f aca="false">_xlfn.XLOOKUP(D662,Catalog!$B$2:$B$4102,Catalog!$A$2:$A$4102,"NOT IN CATALOG")</f>
        <v>PLASTERS IN TIN STRONGMAN</v>
      </c>
      <c r="H662" s="7" t="n">
        <f aca="false">_xlfn.IFNA(VLOOKUP(D662,Catalog!$B$2:$C$4102,2,FALSE()),"")</f>
        <v>1.65</v>
      </c>
      <c r="I662" s="7" t="str">
        <f aca="false">HLOOKUP(C662,Regions!$B$1:$S$2,2,FALSE())</f>
        <v>EU</v>
      </c>
      <c r="J662" s="7" t="n">
        <f aca="false">E662*F662</f>
        <v>19.8</v>
      </c>
      <c r="K662" s="8" t="n">
        <f aca="false">IF(H662="","",1-F662/H662)</f>
        <v>0</v>
      </c>
    </row>
    <row r="663" customFormat="false" ht="15" hidden="false" customHeight="false" outlineLevel="0" collapsed="false">
      <c r="A663" s="0" t="s">
        <v>510</v>
      </c>
      <c r="B663" s="6" t="n">
        <v>40883.4166666667</v>
      </c>
      <c r="C663" s="0" t="s">
        <v>81</v>
      </c>
      <c r="D663" s="0" t="s">
        <v>271</v>
      </c>
      <c r="E663" s="0" t="n">
        <v>8</v>
      </c>
      <c r="F663" s="0" t="n">
        <v>4.95</v>
      </c>
      <c r="G663" s="7" t="str">
        <f aca="false">_xlfn.XLOOKUP(D663,Catalog!$B$2:$B$4102,Catalog!$A$2:$A$4102,"NOT IN CATALOG")</f>
        <v>PARTY BUNTING</v>
      </c>
      <c r="H663" s="7" t="n">
        <f aca="false">_xlfn.IFNA(VLOOKUP(D663,Catalog!$B$2:$C$4102,2,FALSE()),"")</f>
        <v>4.65</v>
      </c>
      <c r="I663" s="7" t="str">
        <f aca="false">HLOOKUP(C663,Regions!$B$1:$S$2,2,FALSE())</f>
        <v>EU</v>
      </c>
      <c r="J663" s="7" t="n">
        <f aca="false">E663*F663</f>
        <v>39.6</v>
      </c>
      <c r="K663" s="8" t="n">
        <f aca="false">IF(H663="","",1-F663/H663)</f>
        <v>-0.064516129032258</v>
      </c>
    </row>
    <row r="664" customFormat="false" ht="15" hidden="false" customHeight="false" outlineLevel="0" collapsed="false">
      <c r="A664" s="0" t="s">
        <v>510</v>
      </c>
      <c r="B664" s="6" t="n">
        <v>40883.4166666667</v>
      </c>
      <c r="C664" s="0" t="s">
        <v>81</v>
      </c>
      <c r="D664" s="0" t="s">
        <v>253</v>
      </c>
      <c r="E664" s="0" t="n">
        <v>12</v>
      </c>
      <c r="F664" s="0" t="n">
        <v>1.65</v>
      </c>
      <c r="G664" s="7" t="str">
        <f aca="false">_xlfn.XLOOKUP(D664,Catalog!$B$2:$B$4102,Catalog!$A$2:$A$4102,"NOT IN CATALOG")</f>
        <v>NOT IN CATALOG</v>
      </c>
      <c r="H664" s="7" t="str">
        <f aca="false">_xlfn.IFNA(VLOOKUP(D664,Catalog!$B$2:$C$4102,2,FALSE()),"")</f>
        <v/>
      </c>
      <c r="I664" s="7" t="str">
        <f aca="false">HLOOKUP(C664,Regions!$B$1:$S$2,2,FALSE())</f>
        <v>EU</v>
      </c>
      <c r="J664" s="7" t="n">
        <f aca="false">E664*F664</f>
        <v>19.8</v>
      </c>
      <c r="K664" s="8" t="str">
        <f aca="false">IF(H664="","",1-F664/H664)</f>
        <v/>
      </c>
    </row>
    <row r="665" customFormat="false" ht="15" hidden="false" customHeight="false" outlineLevel="0" collapsed="false">
      <c r="A665" s="0" t="s">
        <v>510</v>
      </c>
      <c r="B665" s="6" t="n">
        <v>40883.4166666667</v>
      </c>
      <c r="C665" s="0" t="s">
        <v>81</v>
      </c>
      <c r="D665" s="0" t="s">
        <v>99</v>
      </c>
      <c r="E665" s="0" t="n">
        <v>6</v>
      </c>
      <c r="F665" s="0" t="n">
        <v>4.95</v>
      </c>
      <c r="G665" s="7" t="str">
        <f aca="false">_xlfn.XLOOKUP(D665,Catalog!$B$2:$B$4102,Catalog!$A$2:$A$4102,"NOT IN CATALOG")</f>
        <v>RETRO SPOT TEA SET CERAMIC 11 PC</v>
      </c>
      <c r="H665" s="7" t="n">
        <f aca="false">_xlfn.IFNA(VLOOKUP(D665,Catalog!$B$2:$C$4102,2,FALSE()),"")</f>
        <v>4.95</v>
      </c>
      <c r="I665" s="7" t="str">
        <f aca="false">HLOOKUP(C665,Regions!$B$1:$S$2,2,FALSE())</f>
        <v>EU</v>
      </c>
      <c r="J665" s="7" t="n">
        <f aca="false">E665*F665</f>
        <v>29.7</v>
      </c>
      <c r="K665" s="8" t="n">
        <f aca="false">IF(H665="","",1-F665/H665)</f>
        <v>0</v>
      </c>
    </row>
    <row r="666" customFormat="false" ht="15" hidden="false" customHeight="false" outlineLevel="0" collapsed="false">
      <c r="A666" s="0" t="s">
        <v>510</v>
      </c>
      <c r="B666" s="6" t="n">
        <v>40883.4166666667</v>
      </c>
      <c r="C666" s="0" t="s">
        <v>81</v>
      </c>
      <c r="D666" s="0" t="s">
        <v>98</v>
      </c>
      <c r="E666" s="0" t="n">
        <v>6</v>
      </c>
      <c r="F666" s="0" t="n">
        <v>4.95</v>
      </c>
      <c r="G666" s="7" t="str">
        <f aca="false">_xlfn.XLOOKUP(D666,Catalog!$B$2:$B$4102,Catalog!$A$2:$A$4102,"NOT IN CATALOG")</f>
        <v>BAKING SET 9 PIECE RETROSPOT</v>
      </c>
      <c r="H666" s="7" t="n">
        <f aca="false">_xlfn.IFNA(VLOOKUP(D666,Catalog!$B$2:$C$4102,2,FALSE()),"")</f>
        <v>4.95</v>
      </c>
      <c r="I666" s="7" t="str">
        <f aca="false">HLOOKUP(C666,Regions!$B$1:$S$2,2,FALSE())</f>
        <v>EU</v>
      </c>
      <c r="J666" s="7" t="n">
        <f aca="false">E666*F666</f>
        <v>29.7</v>
      </c>
      <c r="K666" s="8" t="n">
        <f aca="false">IF(H666="","",1-F666/H666)</f>
        <v>0</v>
      </c>
    </row>
    <row r="667" customFormat="false" ht="15" hidden="false" customHeight="false" outlineLevel="0" collapsed="false">
      <c r="A667" s="0" t="s">
        <v>510</v>
      </c>
      <c r="B667" s="6" t="n">
        <v>40883.4166666667</v>
      </c>
      <c r="C667" s="0" t="s">
        <v>81</v>
      </c>
      <c r="D667" s="0" t="s">
        <v>519</v>
      </c>
      <c r="E667" s="0" t="n">
        <v>12</v>
      </c>
      <c r="F667" s="0" t="n">
        <v>2.55</v>
      </c>
      <c r="G667" s="7" t="str">
        <f aca="false">_xlfn.XLOOKUP(D667,Catalog!$B$2:$B$4102,Catalog!$A$2:$A$4102,"NOT IN CATALOG")</f>
        <v>GUMBALL COAT RACK</v>
      </c>
      <c r="H667" s="7" t="n">
        <f aca="false">_xlfn.IFNA(VLOOKUP(D667,Catalog!$B$2:$C$4102,2,FALSE()),"")</f>
        <v>2.55</v>
      </c>
      <c r="I667" s="7" t="str">
        <f aca="false">HLOOKUP(C667,Regions!$B$1:$S$2,2,FALSE())</f>
        <v>EU</v>
      </c>
      <c r="J667" s="7" t="n">
        <f aca="false">E667*F667</f>
        <v>30.6</v>
      </c>
      <c r="K667" s="8" t="n">
        <f aca="false">IF(H667="","",1-F667/H667)</f>
        <v>0</v>
      </c>
    </row>
    <row r="668" customFormat="false" ht="15" hidden="false" customHeight="false" outlineLevel="0" collapsed="false">
      <c r="A668" s="0" t="s">
        <v>510</v>
      </c>
      <c r="B668" s="6" t="n">
        <v>40883.4166666667</v>
      </c>
      <c r="C668" s="0" t="s">
        <v>81</v>
      </c>
      <c r="D668" s="0" t="s">
        <v>39</v>
      </c>
      <c r="E668" s="0" t="n">
        <v>3</v>
      </c>
      <c r="F668" s="0" t="n">
        <v>18</v>
      </c>
      <c r="G668" s="7" t="str">
        <f aca="false">_xlfn.XLOOKUP(D668,Catalog!$B$2:$B$4102,Catalog!$A$2:$A$4102,"NOT IN CATALOG")</f>
        <v>POSTAGE</v>
      </c>
      <c r="H668" s="7" t="n">
        <f aca="false">_xlfn.IFNA(VLOOKUP(D668,Catalog!$B$2:$C$4102,2,FALSE()),"")</f>
        <v>18</v>
      </c>
      <c r="I668" s="7" t="str">
        <f aca="false">HLOOKUP(C668,Regions!$B$1:$S$2,2,FALSE())</f>
        <v>EU</v>
      </c>
      <c r="J668" s="7" t="n">
        <f aca="false">E668*F668</f>
        <v>54</v>
      </c>
      <c r="K668" s="8" t="n">
        <f aca="false">IF(H668="","",1-F668/H668)</f>
        <v>0</v>
      </c>
    </row>
    <row r="669" customFormat="false" ht="15" hidden="false" customHeight="false" outlineLevel="0" collapsed="false">
      <c r="A669" s="0" t="s">
        <v>520</v>
      </c>
      <c r="B669" s="6" t="n">
        <v>40883.4298611111</v>
      </c>
      <c r="C669" s="0" t="s">
        <v>81</v>
      </c>
      <c r="D669" s="0" t="s">
        <v>521</v>
      </c>
      <c r="E669" s="0" t="n">
        <v>12</v>
      </c>
      <c r="F669" s="0" t="n">
        <v>0.79</v>
      </c>
      <c r="G669" s="7" t="str">
        <f aca="false">_xlfn.XLOOKUP(D669,Catalog!$B$2:$B$4102,Catalog!$A$2:$A$4102,"NOT IN CATALOG")</f>
        <v>4 IVORY DINNER CANDLES SILVER FLOCK</v>
      </c>
      <c r="H669" s="7" t="n">
        <f aca="false">_xlfn.IFNA(VLOOKUP(D669,Catalog!$B$2:$C$4102,2,FALSE()),"")</f>
        <v>2.55</v>
      </c>
      <c r="I669" s="7" t="str">
        <f aca="false">HLOOKUP(C669,Regions!$B$1:$S$2,2,FALSE())</f>
        <v>EU</v>
      </c>
      <c r="J669" s="7" t="n">
        <f aca="false">E669*F669</f>
        <v>9.48</v>
      </c>
      <c r="K669" s="8" t="n">
        <f aca="false">IF(H669="","",1-F669/H669)</f>
        <v>0.690196078431373</v>
      </c>
    </row>
    <row r="670" customFormat="false" ht="15" hidden="false" customHeight="false" outlineLevel="0" collapsed="false">
      <c r="A670" s="0" t="s">
        <v>520</v>
      </c>
      <c r="B670" s="6" t="n">
        <v>40883.4298611111</v>
      </c>
      <c r="C670" s="0" t="s">
        <v>81</v>
      </c>
      <c r="D670" s="0" t="s">
        <v>508</v>
      </c>
      <c r="E670" s="0" t="n">
        <v>4</v>
      </c>
      <c r="F670" s="0" t="n">
        <v>4.15</v>
      </c>
      <c r="G670" s="7" t="str">
        <f aca="false">_xlfn.XLOOKUP(D670,Catalog!$B$2:$B$4102,Catalog!$A$2:$A$4102,"NOT IN CATALOG")</f>
        <v>NOT IN CATALOG</v>
      </c>
      <c r="H670" s="7" t="str">
        <f aca="false">_xlfn.IFNA(VLOOKUP(D670,Catalog!$B$2:$C$4102,2,FALSE()),"")</f>
        <v/>
      </c>
      <c r="I670" s="7" t="str">
        <f aca="false">HLOOKUP(C670,Regions!$B$1:$S$2,2,FALSE())</f>
        <v>EU</v>
      </c>
      <c r="J670" s="7" t="n">
        <f aca="false">E670*F670</f>
        <v>16.6</v>
      </c>
      <c r="K670" s="8" t="str">
        <f aca="false">IF(H670="","",1-F670/H670)</f>
        <v/>
      </c>
    </row>
    <row r="671" customFormat="false" ht="15" hidden="false" customHeight="false" outlineLevel="0" collapsed="false">
      <c r="A671" s="0" t="s">
        <v>520</v>
      </c>
      <c r="B671" s="6" t="n">
        <v>40883.4298611111</v>
      </c>
      <c r="C671" s="0" t="s">
        <v>81</v>
      </c>
      <c r="D671" s="0" t="s">
        <v>522</v>
      </c>
      <c r="E671" s="0" t="n">
        <v>4</v>
      </c>
      <c r="F671" s="0" t="n">
        <v>4.15</v>
      </c>
      <c r="G671" s="7" t="str">
        <f aca="false">_xlfn.XLOOKUP(D671,Catalog!$B$2:$B$4102,Catalog!$A$2:$A$4102,"NOT IN CATALOG")</f>
        <v>NOT IN CATALOG</v>
      </c>
      <c r="H671" s="7" t="str">
        <f aca="false">_xlfn.IFNA(VLOOKUP(D671,Catalog!$B$2:$C$4102,2,FALSE()),"")</f>
        <v/>
      </c>
      <c r="I671" s="7" t="str">
        <f aca="false">HLOOKUP(C671,Regions!$B$1:$S$2,2,FALSE())</f>
        <v>EU</v>
      </c>
      <c r="J671" s="7" t="n">
        <f aca="false">E671*F671</f>
        <v>16.6</v>
      </c>
      <c r="K671" s="8" t="str">
        <f aca="false">IF(H671="","",1-F671/H671)</f>
        <v/>
      </c>
    </row>
    <row r="672" customFormat="false" ht="15" hidden="false" customHeight="false" outlineLevel="0" collapsed="false">
      <c r="A672" s="0" t="s">
        <v>520</v>
      </c>
      <c r="B672" s="6" t="n">
        <v>40883.4298611111</v>
      </c>
      <c r="C672" s="0" t="s">
        <v>81</v>
      </c>
      <c r="D672" s="0" t="s">
        <v>506</v>
      </c>
      <c r="E672" s="0" t="n">
        <v>4</v>
      </c>
      <c r="F672" s="0" t="n">
        <v>4.15</v>
      </c>
      <c r="G672" s="7" t="str">
        <f aca="false">_xlfn.XLOOKUP(D672,Catalog!$B$2:$B$4102,Catalog!$A$2:$A$4102,"NOT IN CATALOG")</f>
        <v>NOT IN CATALOG</v>
      </c>
      <c r="H672" s="7" t="str">
        <f aca="false">_xlfn.IFNA(VLOOKUP(D672,Catalog!$B$2:$C$4102,2,FALSE()),"")</f>
        <v/>
      </c>
      <c r="I672" s="7" t="str">
        <f aca="false">HLOOKUP(C672,Regions!$B$1:$S$2,2,FALSE())</f>
        <v>EU</v>
      </c>
      <c r="J672" s="7" t="n">
        <f aca="false">E672*F672</f>
        <v>16.6</v>
      </c>
      <c r="K672" s="8" t="str">
        <f aca="false">IF(H672="","",1-F672/H672)</f>
        <v/>
      </c>
    </row>
    <row r="673" customFormat="false" ht="15" hidden="false" customHeight="false" outlineLevel="0" collapsed="false">
      <c r="A673" s="0" t="s">
        <v>520</v>
      </c>
      <c r="B673" s="6" t="n">
        <v>40883.4298611111</v>
      </c>
      <c r="C673" s="0" t="s">
        <v>81</v>
      </c>
      <c r="D673" s="0" t="s">
        <v>39</v>
      </c>
      <c r="E673" s="0" t="n">
        <v>1</v>
      </c>
      <c r="F673" s="0" t="n">
        <v>18</v>
      </c>
      <c r="G673" s="7" t="str">
        <f aca="false">_xlfn.XLOOKUP(D673,Catalog!$B$2:$B$4102,Catalog!$A$2:$A$4102,"NOT IN CATALOG")</f>
        <v>POSTAGE</v>
      </c>
      <c r="H673" s="7" t="n">
        <f aca="false">_xlfn.IFNA(VLOOKUP(D673,Catalog!$B$2:$C$4102,2,FALSE()),"")</f>
        <v>18</v>
      </c>
      <c r="I673" s="7" t="str">
        <f aca="false">HLOOKUP(C673,Regions!$B$1:$S$2,2,FALSE())</f>
        <v>EU</v>
      </c>
      <c r="J673" s="7" t="n">
        <f aca="false">E673*F673</f>
        <v>18</v>
      </c>
      <c r="K673" s="8" t="n">
        <f aca="false">IF(H673="","",1-F673/H673)</f>
        <v>0</v>
      </c>
    </row>
    <row r="674" customFormat="false" ht="15" hidden="false" customHeight="false" outlineLevel="0" collapsed="false">
      <c r="A674" s="0" t="s">
        <v>523</v>
      </c>
      <c r="B674" s="6" t="n">
        <v>40883.5986111111</v>
      </c>
      <c r="C674" s="0" t="s">
        <v>524</v>
      </c>
      <c r="D674" s="0" t="s">
        <v>525</v>
      </c>
      <c r="E674" s="0" t="n">
        <v>12</v>
      </c>
      <c r="F674" s="0" t="n">
        <v>1.45</v>
      </c>
      <c r="G674" s="7" t="str">
        <f aca="false">_xlfn.XLOOKUP(D674,Catalog!$B$2:$B$4102,Catalog!$A$2:$A$4102,"NOT IN CATALOG")</f>
        <v>SET OF 36 PAISLEY FLOWER DOILIES</v>
      </c>
      <c r="H674" s="7" t="n">
        <f aca="false">_xlfn.IFNA(VLOOKUP(D674,Catalog!$B$2:$C$4102,2,FALSE()),"")</f>
        <v>1.45</v>
      </c>
      <c r="I674" s="7" t="str">
        <f aca="false">HLOOKUP(C674,Regions!$B$1:$S$2,2,FALSE())</f>
        <v>EU</v>
      </c>
      <c r="J674" s="7" t="n">
        <f aca="false">E674*F674</f>
        <v>17.4</v>
      </c>
      <c r="K674" s="8" t="n">
        <f aca="false">IF(H674="","",1-F674/H674)</f>
        <v>0</v>
      </c>
    </row>
    <row r="675" customFormat="false" ht="15" hidden="false" customHeight="false" outlineLevel="0" collapsed="false">
      <c r="A675" s="0" t="s">
        <v>523</v>
      </c>
      <c r="B675" s="6" t="n">
        <v>40883.5986111111</v>
      </c>
      <c r="C675" s="0" t="s">
        <v>524</v>
      </c>
      <c r="D675" s="0" t="s">
        <v>526</v>
      </c>
      <c r="E675" s="0" t="n">
        <v>6</v>
      </c>
      <c r="F675" s="0" t="n">
        <v>2.95</v>
      </c>
      <c r="G675" s="7" t="str">
        <f aca="false">_xlfn.XLOOKUP(D675,Catalog!$B$2:$B$4102,Catalog!$A$2:$A$4102,"NOT IN CATALOG")</f>
        <v>NOT IN CATALOG</v>
      </c>
      <c r="H675" s="7" t="str">
        <f aca="false">_xlfn.IFNA(VLOOKUP(D675,Catalog!$B$2:$C$4102,2,FALSE()),"")</f>
        <v/>
      </c>
      <c r="I675" s="7" t="str">
        <f aca="false">HLOOKUP(C675,Regions!$B$1:$S$2,2,FALSE())</f>
        <v>EU</v>
      </c>
      <c r="J675" s="7" t="n">
        <f aca="false">E675*F675</f>
        <v>17.7</v>
      </c>
      <c r="K675" s="8" t="str">
        <f aca="false">IF(H675="","",1-F675/H675)</f>
        <v/>
      </c>
    </row>
    <row r="676" customFormat="false" ht="15" hidden="false" customHeight="false" outlineLevel="0" collapsed="false">
      <c r="A676" s="0" t="s">
        <v>523</v>
      </c>
      <c r="B676" s="6" t="n">
        <v>40883.5986111111</v>
      </c>
      <c r="C676" s="0" t="s">
        <v>524</v>
      </c>
      <c r="D676" s="0" t="s">
        <v>372</v>
      </c>
      <c r="E676" s="0" t="n">
        <v>6</v>
      </c>
      <c r="F676" s="0" t="n">
        <v>2.95</v>
      </c>
      <c r="G676" s="7" t="str">
        <f aca="false">_xlfn.XLOOKUP(D676,Catalog!$B$2:$B$4102,Catalog!$A$2:$A$4102,"NOT IN CATALOG")</f>
        <v>PAPER BUNTING RETRO SPOTS</v>
      </c>
      <c r="H676" s="7" t="n">
        <f aca="false">_xlfn.IFNA(VLOOKUP(D676,Catalog!$B$2:$C$4102,2,FALSE()),"")</f>
        <v>2.95</v>
      </c>
      <c r="I676" s="7" t="str">
        <f aca="false">HLOOKUP(C676,Regions!$B$1:$S$2,2,FALSE())</f>
        <v>EU</v>
      </c>
      <c r="J676" s="7" t="n">
        <f aca="false">E676*F676</f>
        <v>17.7</v>
      </c>
      <c r="K676" s="8" t="n">
        <f aca="false">IF(H676="","",1-F676/H676)</f>
        <v>0</v>
      </c>
    </row>
    <row r="677" customFormat="false" ht="15" hidden="false" customHeight="false" outlineLevel="0" collapsed="false">
      <c r="A677" s="0" t="s">
        <v>523</v>
      </c>
      <c r="B677" s="6" t="n">
        <v>40883.5986111111</v>
      </c>
      <c r="C677" s="0" t="s">
        <v>524</v>
      </c>
      <c r="D677" s="0" t="s">
        <v>527</v>
      </c>
      <c r="E677" s="0" t="n">
        <v>12</v>
      </c>
      <c r="F677" s="0" t="n">
        <v>0.39</v>
      </c>
      <c r="G677" s="7" t="str">
        <f aca="false">_xlfn.XLOOKUP(D677,Catalog!$B$2:$B$4102,Catalog!$A$2:$A$4102,"NOT IN CATALOG")</f>
        <v>MULTICOLOUR HONEYCOMB FAN</v>
      </c>
      <c r="H677" s="7" t="n">
        <f aca="false">_xlfn.IFNA(VLOOKUP(D677,Catalog!$B$2:$C$4102,2,FALSE()),"")</f>
        <v>1.65</v>
      </c>
      <c r="I677" s="7" t="str">
        <f aca="false">HLOOKUP(C677,Regions!$B$1:$S$2,2,FALSE())</f>
        <v>EU</v>
      </c>
      <c r="J677" s="7" t="n">
        <f aca="false">E677*F677</f>
        <v>4.68</v>
      </c>
      <c r="K677" s="8" t="n">
        <f aca="false">IF(H677="","",1-F677/H677)</f>
        <v>0.763636363636364</v>
      </c>
    </row>
    <row r="678" customFormat="false" ht="15" hidden="false" customHeight="false" outlineLevel="0" collapsed="false">
      <c r="A678" s="0" t="s">
        <v>523</v>
      </c>
      <c r="B678" s="6" t="n">
        <v>40883.5986111111</v>
      </c>
      <c r="C678" s="0" t="s">
        <v>524</v>
      </c>
      <c r="D678" s="0" t="s">
        <v>528</v>
      </c>
      <c r="E678" s="0" t="n">
        <v>24</v>
      </c>
      <c r="F678" s="0" t="n">
        <v>0.39</v>
      </c>
      <c r="G678" s="7" t="str">
        <f aca="false">_xlfn.XLOOKUP(D678,Catalog!$B$2:$B$4102,Catalog!$A$2:$A$4102,"NOT IN CATALOG")</f>
        <v>PACK OF 12 WOODLAND TISSUES</v>
      </c>
      <c r="H678" s="7" t="n">
        <f aca="false">_xlfn.IFNA(VLOOKUP(D678,Catalog!$B$2:$C$4102,2,FALSE()),"")</f>
        <v>0.29</v>
      </c>
      <c r="I678" s="7" t="str">
        <f aca="false">HLOOKUP(C678,Regions!$B$1:$S$2,2,FALSE())</f>
        <v>EU</v>
      </c>
      <c r="J678" s="7" t="n">
        <f aca="false">E678*F678</f>
        <v>9.36</v>
      </c>
      <c r="K678" s="8" t="n">
        <f aca="false">IF(H678="","",1-F678/H678)</f>
        <v>-0.344827586206897</v>
      </c>
    </row>
    <row r="679" customFormat="false" ht="15" hidden="false" customHeight="false" outlineLevel="0" collapsed="false">
      <c r="A679" s="0" t="s">
        <v>523</v>
      </c>
      <c r="B679" s="6" t="n">
        <v>40883.5986111111</v>
      </c>
      <c r="C679" s="0" t="s">
        <v>524</v>
      </c>
      <c r="D679" s="0" t="s">
        <v>529</v>
      </c>
      <c r="E679" s="0" t="n">
        <v>24</v>
      </c>
      <c r="F679" s="0" t="n">
        <v>0.39</v>
      </c>
      <c r="G679" s="7" t="str">
        <f aca="false">_xlfn.XLOOKUP(D679,Catalog!$B$2:$B$4102,Catalog!$A$2:$A$4102,"NOT IN CATALOG")</f>
        <v>PACK OF 12 SUKI TISSUES</v>
      </c>
      <c r="H679" s="7" t="n">
        <f aca="false">_xlfn.IFNA(VLOOKUP(D679,Catalog!$B$2:$C$4102,2,FALSE()),"")</f>
        <v>0.29</v>
      </c>
      <c r="I679" s="7" t="str">
        <f aca="false">HLOOKUP(C679,Regions!$B$1:$S$2,2,FALSE())</f>
        <v>EU</v>
      </c>
      <c r="J679" s="7" t="n">
        <f aca="false">E679*F679</f>
        <v>9.36</v>
      </c>
      <c r="K679" s="8" t="n">
        <f aca="false">IF(H679="","",1-F679/H679)</f>
        <v>-0.344827586206897</v>
      </c>
    </row>
    <row r="680" customFormat="false" ht="15" hidden="false" customHeight="false" outlineLevel="0" collapsed="false">
      <c r="A680" s="0" t="s">
        <v>523</v>
      </c>
      <c r="B680" s="6" t="n">
        <v>40883.5986111111</v>
      </c>
      <c r="C680" s="0" t="s">
        <v>524</v>
      </c>
      <c r="D680" s="0" t="s">
        <v>530</v>
      </c>
      <c r="E680" s="0" t="n">
        <v>24</v>
      </c>
      <c r="F680" s="0" t="n">
        <v>0.39</v>
      </c>
      <c r="G680" s="7" t="str">
        <f aca="false">_xlfn.XLOOKUP(D680,Catalog!$B$2:$B$4102,Catalog!$A$2:$A$4102,"NOT IN CATALOG")</f>
        <v>PACK OF 12 RED SPOTTY TISSUES</v>
      </c>
      <c r="H680" s="7" t="n">
        <f aca="false">_xlfn.IFNA(VLOOKUP(D680,Catalog!$B$2:$C$4102,2,FALSE()),"")</f>
        <v>0.29</v>
      </c>
      <c r="I680" s="7" t="str">
        <f aca="false">HLOOKUP(C680,Regions!$B$1:$S$2,2,FALSE())</f>
        <v>EU</v>
      </c>
      <c r="J680" s="7" t="n">
        <f aca="false">E680*F680</f>
        <v>9.36</v>
      </c>
      <c r="K680" s="8" t="n">
        <f aca="false">IF(H680="","",1-F680/H680)</f>
        <v>-0.344827586206897</v>
      </c>
    </row>
    <row r="681" customFormat="false" ht="15" hidden="false" customHeight="false" outlineLevel="0" collapsed="false">
      <c r="A681" s="0" t="s">
        <v>523</v>
      </c>
      <c r="B681" s="6" t="n">
        <v>40883.5986111111</v>
      </c>
      <c r="C681" s="0" t="s">
        <v>524</v>
      </c>
      <c r="D681" s="0" t="s">
        <v>448</v>
      </c>
      <c r="E681" s="0" t="n">
        <v>12</v>
      </c>
      <c r="F681" s="0" t="n">
        <v>0.85</v>
      </c>
      <c r="G681" s="7" t="str">
        <f aca="false">_xlfn.XLOOKUP(D681,Catalog!$B$2:$B$4102,Catalog!$A$2:$A$4102,"NOT IN CATALOG")</f>
        <v>SET/6 RED SPOTTY PAPER PLATES</v>
      </c>
      <c r="H681" s="7" t="n">
        <f aca="false">_xlfn.IFNA(VLOOKUP(D681,Catalog!$B$2:$C$4102,2,FALSE()),"")</f>
        <v>0.85</v>
      </c>
      <c r="I681" s="7" t="str">
        <f aca="false">HLOOKUP(C681,Regions!$B$1:$S$2,2,FALSE())</f>
        <v>EU</v>
      </c>
      <c r="J681" s="7" t="n">
        <f aca="false">E681*F681</f>
        <v>10.2</v>
      </c>
      <c r="K681" s="8" t="n">
        <f aca="false">IF(H681="","",1-F681/H681)</f>
        <v>0</v>
      </c>
    </row>
    <row r="682" customFormat="false" ht="15" hidden="false" customHeight="false" outlineLevel="0" collapsed="false">
      <c r="A682" s="0" t="s">
        <v>523</v>
      </c>
      <c r="B682" s="6" t="n">
        <v>40883.5986111111</v>
      </c>
      <c r="C682" s="0" t="s">
        <v>524</v>
      </c>
      <c r="D682" s="0" t="s">
        <v>445</v>
      </c>
      <c r="E682" s="0" t="n">
        <v>12</v>
      </c>
      <c r="F682" s="0" t="n">
        <v>0.65</v>
      </c>
      <c r="G682" s="7" t="str">
        <f aca="false">_xlfn.XLOOKUP(D682,Catalog!$B$2:$B$4102,Catalog!$A$2:$A$4102,"NOT IN CATALOG")</f>
        <v>SET/6 RED SPOTTY PAPER CUPS</v>
      </c>
      <c r="H682" s="7" t="n">
        <f aca="false">_xlfn.IFNA(VLOOKUP(D682,Catalog!$B$2:$C$4102,2,FALSE()),"")</f>
        <v>0.65</v>
      </c>
      <c r="I682" s="7" t="str">
        <f aca="false">HLOOKUP(C682,Regions!$B$1:$S$2,2,FALSE())</f>
        <v>EU</v>
      </c>
      <c r="J682" s="7" t="n">
        <f aca="false">E682*F682</f>
        <v>7.8</v>
      </c>
      <c r="K682" s="8" t="n">
        <f aca="false">IF(H682="","",1-F682/H682)</f>
        <v>0</v>
      </c>
    </row>
    <row r="683" customFormat="false" ht="15" hidden="false" customHeight="false" outlineLevel="0" collapsed="false">
      <c r="A683" s="0" t="s">
        <v>523</v>
      </c>
      <c r="B683" s="6" t="n">
        <v>40883.5986111111</v>
      </c>
      <c r="C683" s="0" t="s">
        <v>524</v>
      </c>
      <c r="D683" s="0" t="s">
        <v>531</v>
      </c>
      <c r="E683" s="0" t="n">
        <v>25</v>
      </c>
      <c r="F683" s="0" t="n">
        <v>0.42</v>
      </c>
      <c r="G683" s="7" t="str">
        <f aca="false">_xlfn.XLOOKUP(D683,Catalog!$B$2:$B$4102,Catalog!$A$2:$A$4102,"NOT IN CATALOG")</f>
        <v>NOT IN CATALOG</v>
      </c>
      <c r="H683" s="7" t="str">
        <f aca="false">_xlfn.IFNA(VLOOKUP(D683,Catalog!$B$2:$C$4102,2,FALSE()),"")</f>
        <v/>
      </c>
      <c r="I683" s="7" t="str">
        <f aca="false">HLOOKUP(C683,Regions!$B$1:$S$2,2,FALSE())</f>
        <v>EU</v>
      </c>
      <c r="J683" s="7" t="n">
        <f aca="false">E683*F683</f>
        <v>10.5</v>
      </c>
      <c r="K683" s="8" t="str">
        <f aca="false">IF(H683="","",1-F683/H683)</f>
        <v/>
      </c>
    </row>
    <row r="684" customFormat="false" ht="15" hidden="false" customHeight="false" outlineLevel="0" collapsed="false">
      <c r="A684" s="0" t="s">
        <v>523</v>
      </c>
      <c r="B684" s="6" t="n">
        <v>40883.5986111111</v>
      </c>
      <c r="C684" s="0" t="s">
        <v>524</v>
      </c>
      <c r="D684" s="0" t="s">
        <v>532</v>
      </c>
      <c r="E684" s="0" t="n">
        <v>24</v>
      </c>
      <c r="F684" s="0" t="n">
        <v>1.25</v>
      </c>
      <c r="G684" s="7" t="str">
        <f aca="false">_xlfn.XLOOKUP(D684,Catalog!$B$2:$B$4102,Catalog!$A$2:$A$4102,"NOT IN CATALOG")</f>
        <v>SET/10 RED SPOTTY PARTY CANDLES</v>
      </c>
      <c r="H684" s="7" t="n">
        <f aca="false">_xlfn.IFNA(VLOOKUP(D684,Catalog!$B$2:$C$4102,2,FALSE()),"")</f>
        <v>1.25</v>
      </c>
      <c r="I684" s="7" t="str">
        <f aca="false">HLOOKUP(C684,Regions!$B$1:$S$2,2,FALSE())</f>
        <v>EU</v>
      </c>
      <c r="J684" s="7" t="n">
        <f aca="false">E684*F684</f>
        <v>30</v>
      </c>
      <c r="K684" s="8" t="n">
        <f aca="false">IF(H684="","",1-F684/H684)</f>
        <v>0</v>
      </c>
    </row>
    <row r="685" customFormat="false" ht="15" hidden="false" customHeight="false" outlineLevel="0" collapsed="false">
      <c r="A685" s="0" t="s">
        <v>523</v>
      </c>
      <c r="B685" s="6" t="n">
        <v>40883.5986111111</v>
      </c>
      <c r="C685" s="0" t="s">
        <v>524</v>
      </c>
      <c r="D685" s="0" t="s">
        <v>39</v>
      </c>
      <c r="E685" s="0" t="n">
        <v>1</v>
      </c>
      <c r="F685" s="0" t="n">
        <v>28</v>
      </c>
      <c r="G685" s="7" t="str">
        <f aca="false">_xlfn.XLOOKUP(D685,Catalog!$B$2:$B$4102,Catalog!$A$2:$A$4102,"NOT IN CATALOG")</f>
        <v>POSTAGE</v>
      </c>
      <c r="H685" s="7" t="n">
        <f aca="false">_xlfn.IFNA(VLOOKUP(D685,Catalog!$B$2:$C$4102,2,FALSE()),"")</f>
        <v>18</v>
      </c>
      <c r="I685" s="7" t="str">
        <f aca="false">HLOOKUP(C685,Regions!$B$1:$S$2,2,FALSE())</f>
        <v>EU</v>
      </c>
      <c r="J685" s="7" t="n">
        <f aca="false">E685*F685</f>
        <v>28</v>
      </c>
      <c r="K685" s="8" t="n">
        <f aca="false">IF(H685="","",1-F685/H685)</f>
        <v>-0.555555555555556</v>
      </c>
    </row>
    <row r="686" customFormat="false" ht="15" hidden="false" customHeight="false" outlineLevel="0" collapsed="false">
      <c r="A686" s="0" t="s">
        <v>533</v>
      </c>
      <c r="B686" s="6" t="n">
        <v>40883.6194444444</v>
      </c>
      <c r="C686" s="0" t="s">
        <v>153</v>
      </c>
      <c r="D686" s="0" t="s">
        <v>534</v>
      </c>
      <c r="E686" s="0" t="n">
        <v>8</v>
      </c>
      <c r="F686" s="0" t="n">
        <v>1.95</v>
      </c>
      <c r="G686" s="7" t="str">
        <f aca="false">_xlfn.XLOOKUP(D686,Catalog!$B$2:$B$4102,Catalog!$A$2:$A$4102,"NOT IN CATALOG")</f>
        <v>NOT IN CATALOG</v>
      </c>
      <c r="H686" s="7" t="str">
        <f aca="false">_xlfn.IFNA(VLOOKUP(D686,Catalog!$B$2:$C$4102,2,FALSE()),"")</f>
        <v/>
      </c>
      <c r="I686" s="7" t="str">
        <f aca="false">HLOOKUP(C686,Regions!$B$1:$S$2,2,FALSE())</f>
        <v>EU</v>
      </c>
      <c r="J686" s="7" t="n">
        <f aca="false">E686*F686</f>
        <v>15.6</v>
      </c>
      <c r="K686" s="8" t="str">
        <f aca="false">IF(H686="","",1-F686/H686)</f>
        <v/>
      </c>
    </row>
    <row r="687" customFormat="false" ht="15" hidden="false" customHeight="false" outlineLevel="0" collapsed="false">
      <c r="A687" s="0" t="s">
        <v>533</v>
      </c>
      <c r="B687" s="6" t="n">
        <v>40883.6194444444</v>
      </c>
      <c r="C687" s="0" t="s">
        <v>153</v>
      </c>
      <c r="D687" s="0" t="s">
        <v>535</v>
      </c>
      <c r="E687" s="0" t="n">
        <v>6</v>
      </c>
      <c r="F687" s="0" t="n">
        <v>2.89</v>
      </c>
      <c r="G687" s="7" t="str">
        <f aca="false">_xlfn.XLOOKUP(D687,Catalog!$B$2:$B$4102,Catalog!$A$2:$A$4102,"NOT IN CATALOG")</f>
        <v>NOT IN CATALOG</v>
      </c>
      <c r="H687" s="7" t="str">
        <f aca="false">_xlfn.IFNA(VLOOKUP(D687,Catalog!$B$2:$C$4102,2,FALSE()),"")</f>
        <v/>
      </c>
      <c r="I687" s="7" t="str">
        <f aca="false">HLOOKUP(C687,Regions!$B$1:$S$2,2,FALSE())</f>
        <v>EU</v>
      </c>
      <c r="J687" s="7" t="n">
        <f aca="false">E687*F687</f>
        <v>17.34</v>
      </c>
      <c r="K687" s="8" t="str">
        <f aca="false">IF(H687="","",1-F687/H687)</f>
        <v/>
      </c>
    </row>
    <row r="688" customFormat="false" ht="15" hidden="false" customHeight="false" outlineLevel="0" collapsed="false">
      <c r="A688" s="0" t="s">
        <v>533</v>
      </c>
      <c r="B688" s="6" t="n">
        <v>40883.6194444444</v>
      </c>
      <c r="C688" s="0" t="s">
        <v>153</v>
      </c>
      <c r="D688" s="0" t="s">
        <v>54</v>
      </c>
      <c r="E688" s="0" t="n">
        <v>4</v>
      </c>
      <c r="F688" s="0" t="n">
        <v>12.75</v>
      </c>
      <c r="G688" s="7" t="str">
        <f aca="false">_xlfn.XLOOKUP(D688,Catalog!$B$2:$B$4102,Catalog!$A$2:$A$4102,"NOT IN CATALOG")</f>
        <v>REGENCY CAKESTAND 3 TIER</v>
      </c>
      <c r="H688" s="7" t="n">
        <f aca="false">_xlfn.IFNA(VLOOKUP(D688,Catalog!$B$2:$C$4102,2,FALSE()),"")</f>
        <v>12.75</v>
      </c>
      <c r="I688" s="7" t="str">
        <f aca="false">HLOOKUP(C688,Regions!$B$1:$S$2,2,FALSE())</f>
        <v>EU</v>
      </c>
      <c r="J688" s="7" t="n">
        <f aca="false">E688*F688</f>
        <v>51</v>
      </c>
      <c r="K688" s="8" t="n">
        <f aca="false">IF(H688="","",1-F688/H688)</f>
        <v>0</v>
      </c>
    </row>
    <row r="689" customFormat="false" ht="15" hidden="false" customHeight="false" outlineLevel="0" collapsed="false">
      <c r="A689" s="0" t="s">
        <v>533</v>
      </c>
      <c r="B689" s="6" t="n">
        <v>40883.6194444444</v>
      </c>
      <c r="C689" s="0" t="s">
        <v>153</v>
      </c>
      <c r="D689" s="0" t="s">
        <v>536</v>
      </c>
      <c r="E689" s="0" t="n">
        <v>1</v>
      </c>
      <c r="F689" s="0" t="n">
        <v>16.95</v>
      </c>
      <c r="G689" s="7" t="str">
        <f aca="false">_xlfn.XLOOKUP(D689,Catalog!$B$2:$B$4102,Catalog!$A$2:$A$4102,"NOT IN CATALOG")</f>
        <v>NOT IN CATALOG</v>
      </c>
      <c r="H689" s="7" t="str">
        <f aca="false">_xlfn.IFNA(VLOOKUP(D689,Catalog!$B$2:$C$4102,2,FALSE()),"")</f>
        <v/>
      </c>
      <c r="I689" s="7" t="str">
        <f aca="false">HLOOKUP(C689,Regions!$B$1:$S$2,2,FALSE())</f>
        <v>EU</v>
      </c>
      <c r="J689" s="7" t="n">
        <f aca="false">E689*F689</f>
        <v>16.95</v>
      </c>
      <c r="K689" s="8" t="str">
        <f aca="false">IF(H689="","",1-F689/H689)</f>
        <v/>
      </c>
    </row>
    <row r="690" customFormat="false" ht="15" hidden="false" customHeight="false" outlineLevel="0" collapsed="false">
      <c r="A690" s="0" t="s">
        <v>533</v>
      </c>
      <c r="B690" s="6" t="n">
        <v>40883.6194444444</v>
      </c>
      <c r="C690" s="0" t="s">
        <v>153</v>
      </c>
      <c r="D690" s="0" t="s">
        <v>537</v>
      </c>
      <c r="E690" s="0" t="n">
        <v>6</v>
      </c>
      <c r="F690" s="0" t="n">
        <v>2.08</v>
      </c>
      <c r="G690" s="7" t="str">
        <f aca="false">_xlfn.XLOOKUP(D690,Catalog!$B$2:$B$4102,Catalog!$A$2:$A$4102,"NOT IN CATALOG")</f>
        <v>NOT IN CATALOG</v>
      </c>
      <c r="H690" s="7" t="str">
        <f aca="false">_xlfn.IFNA(VLOOKUP(D690,Catalog!$B$2:$C$4102,2,FALSE()),"")</f>
        <v/>
      </c>
      <c r="I690" s="7" t="str">
        <f aca="false">HLOOKUP(C690,Regions!$B$1:$S$2,2,FALSE())</f>
        <v>EU</v>
      </c>
      <c r="J690" s="7" t="n">
        <f aca="false">E690*F690</f>
        <v>12.48</v>
      </c>
      <c r="K690" s="8" t="str">
        <f aca="false">IF(H690="","",1-F690/H690)</f>
        <v/>
      </c>
    </row>
    <row r="691" customFormat="false" ht="15" hidden="false" customHeight="false" outlineLevel="0" collapsed="false">
      <c r="A691" s="0" t="s">
        <v>533</v>
      </c>
      <c r="B691" s="6" t="n">
        <v>40883.6194444444</v>
      </c>
      <c r="C691" s="0" t="s">
        <v>153</v>
      </c>
      <c r="D691" s="0" t="s">
        <v>538</v>
      </c>
      <c r="E691" s="0" t="n">
        <v>8</v>
      </c>
      <c r="F691" s="0" t="n">
        <v>1.69</v>
      </c>
      <c r="G691" s="7" t="str">
        <f aca="false">_xlfn.XLOOKUP(D691,Catalog!$B$2:$B$4102,Catalog!$A$2:$A$4102,"NOT IN CATALOG")</f>
        <v>VICTORIAN METAL POSTCARD SPRING</v>
      </c>
      <c r="H691" s="7" t="n">
        <f aca="false">_xlfn.IFNA(VLOOKUP(D691,Catalog!$B$2:$C$4102,2,FALSE()),"")</f>
        <v>1.69</v>
      </c>
      <c r="I691" s="7" t="str">
        <f aca="false">HLOOKUP(C691,Regions!$B$1:$S$2,2,FALSE())</f>
        <v>EU</v>
      </c>
      <c r="J691" s="7" t="n">
        <f aca="false">E691*F691</f>
        <v>13.52</v>
      </c>
      <c r="K691" s="8" t="n">
        <f aca="false">IF(H691="","",1-F691/H691)</f>
        <v>0</v>
      </c>
    </row>
    <row r="692" customFormat="false" ht="15" hidden="false" customHeight="false" outlineLevel="0" collapsed="false">
      <c r="A692" s="0" t="s">
        <v>533</v>
      </c>
      <c r="B692" s="6" t="n">
        <v>40883.6194444444</v>
      </c>
      <c r="C692" s="0" t="s">
        <v>153</v>
      </c>
      <c r="D692" s="0" t="s">
        <v>539</v>
      </c>
      <c r="E692" s="0" t="n">
        <v>12</v>
      </c>
      <c r="F692" s="0" t="n">
        <v>1.25</v>
      </c>
      <c r="G692" s="7" t="str">
        <f aca="false">_xlfn.XLOOKUP(D692,Catalog!$B$2:$B$4102,Catalog!$A$2:$A$4102,"NOT IN CATALOG")</f>
        <v>CHRISTMAS METAL POSTCARD WITH BELLS</v>
      </c>
      <c r="H692" s="7" t="n">
        <f aca="false">_xlfn.IFNA(VLOOKUP(D692,Catalog!$B$2:$C$4102,2,FALSE()),"")</f>
        <v>1.25</v>
      </c>
      <c r="I692" s="7" t="str">
        <f aca="false">HLOOKUP(C692,Regions!$B$1:$S$2,2,FALSE())</f>
        <v>EU</v>
      </c>
      <c r="J692" s="7" t="n">
        <f aca="false">E692*F692</f>
        <v>15</v>
      </c>
      <c r="K692" s="8" t="n">
        <f aca="false">IF(H692="","",1-F692/H692)</f>
        <v>0</v>
      </c>
    </row>
    <row r="693" customFormat="false" ht="15" hidden="false" customHeight="false" outlineLevel="0" collapsed="false">
      <c r="A693" s="0" t="s">
        <v>533</v>
      </c>
      <c r="B693" s="6" t="n">
        <v>40883.6194444444</v>
      </c>
      <c r="C693" s="0" t="s">
        <v>153</v>
      </c>
      <c r="D693" s="0" t="s">
        <v>540</v>
      </c>
      <c r="E693" s="0" t="n">
        <v>25</v>
      </c>
      <c r="F693" s="0" t="n">
        <v>0.42</v>
      </c>
      <c r="G693" s="7" t="str">
        <f aca="false">_xlfn.XLOOKUP(D693,Catalog!$B$2:$B$4102,Catalog!$A$2:$A$4102,"NOT IN CATALOG")</f>
        <v>WRAP CHRISTMAS VILLAGE</v>
      </c>
      <c r="H693" s="7" t="n">
        <f aca="false">_xlfn.IFNA(VLOOKUP(D693,Catalog!$B$2:$C$4102,2,FALSE()),"")</f>
        <v>0.42</v>
      </c>
      <c r="I693" s="7" t="str">
        <f aca="false">HLOOKUP(C693,Regions!$B$1:$S$2,2,FALSE())</f>
        <v>EU</v>
      </c>
      <c r="J693" s="7" t="n">
        <f aca="false">E693*F693</f>
        <v>10.5</v>
      </c>
      <c r="K693" s="8" t="n">
        <f aca="false">IF(H693="","",1-F693/H693)</f>
        <v>0</v>
      </c>
    </row>
    <row r="694" customFormat="false" ht="15" hidden="false" customHeight="false" outlineLevel="0" collapsed="false">
      <c r="A694" s="0" t="s">
        <v>533</v>
      </c>
      <c r="B694" s="6" t="n">
        <v>40883.6194444444</v>
      </c>
      <c r="C694" s="0" t="s">
        <v>153</v>
      </c>
      <c r="D694" s="0" t="s">
        <v>541</v>
      </c>
      <c r="E694" s="0" t="n">
        <v>25</v>
      </c>
      <c r="F694" s="0" t="n">
        <v>0.42</v>
      </c>
      <c r="G694" s="7" t="str">
        <f aca="false">_xlfn.XLOOKUP(D694,Catalog!$B$2:$B$4102,Catalog!$A$2:$A$4102,"NOT IN CATALOG")</f>
        <v>WRAP ENGLISH ROSE</v>
      </c>
      <c r="H694" s="7" t="n">
        <f aca="false">_xlfn.IFNA(VLOOKUP(D694,Catalog!$B$2:$C$4102,2,FALSE()),"")</f>
        <v>0.42</v>
      </c>
      <c r="I694" s="7" t="str">
        <f aca="false">HLOOKUP(C694,Regions!$B$1:$S$2,2,FALSE())</f>
        <v>EU</v>
      </c>
      <c r="J694" s="7" t="n">
        <f aca="false">E694*F694</f>
        <v>10.5</v>
      </c>
      <c r="K694" s="8" t="n">
        <f aca="false">IF(H694="","",1-F694/H694)</f>
        <v>0</v>
      </c>
    </row>
    <row r="695" customFormat="false" ht="15" hidden="false" customHeight="false" outlineLevel="0" collapsed="false">
      <c r="A695" s="0" t="s">
        <v>533</v>
      </c>
      <c r="B695" s="6" t="n">
        <v>40883.6194444444</v>
      </c>
      <c r="C695" s="0" t="s">
        <v>153</v>
      </c>
      <c r="D695" s="0" t="s">
        <v>542</v>
      </c>
      <c r="E695" s="0" t="n">
        <v>6</v>
      </c>
      <c r="F695" s="0" t="n">
        <v>2.95</v>
      </c>
      <c r="G695" s="7" t="str">
        <f aca="false">_xlfn.XLOOKUP(D695,Catalog!$B$2:$B$4102,Catalog!$A$2:$A$4102,"NOT IN CATALOG")</f>
        <v>RECIPE BOX PANTRY YELLOW DESIGN</v>
      </c>
      <c r="H695" s="7" t="n">
        <f aca="false">_xlfn.IFNA(VLOOKUP(D695,Catalog!$B$2:$C$4102,2,FALSE()),"")</f>
        <v>2.95</v>
      </c>
      <c r="I695" s="7" t="str">
        <f aca="false">HLOOKUP(C695,Regions!$B$1:$S$2,2,FALSE())</f>
        <v>EU</v>
      </c>
      <c r="J695" s="7" t="n">
        <f aca="false">E695*F695</f>
        <v>17.7</v>
      </c>
      <c r="K695" s="8" t="n">
        <f aca="false">IF(H695="","",1-F695/H695)</f>
        <v>0</v>
      </c>
    </row>
    <row r="696" customFormat="false" ht="15" hidden="false" customHeight="false" outlineLevel="0" collapsed="false">
      <c r="A696" s="0" t="s">
        <v>533</v>
      </c>
      <c r="B696" s="6" t="n">
        <v>40883.6194444444</v>
      </c>
      <c r="C696" s="0" t="s">
        <v>153</v>
      </c>
      <c r="D696" s="0" t="s">
        <v>543</v>
      </c>
      <c r="E696" s="0" t="n">
        <v>4</v>
      </c>
      <c r="F696" s="0" t="n">
        <v>4.95</v>
      </c>
      <c r="G696" s="7" t="str">
        <f aca="false">_xlfn.XLOOKUP(D696,Catalog!$B$2:$B$4102,Catalog!$A$2:$A$4102,"NOT IN CATALOG")</f>
        <v>NOT IN CATALOG</v>
      </c>
      <c r="H696" s="7" t="str">
        <f aca="false">_xlfn.IFNA(VLOOKUP(D696,Catalog!$B$2:$C$4102,2,FALSE()),"")</f>
        <v/>
      </c>
      <c r="I696" s="7" t="str">
        <f aca="false">HLOOKUP(C696,Regions!$B$1:$S$2,2,FALSE())</f>
        <v>EU</v>
      </c>
      <c r="J696" s="7" t="n">
        <f aca="false">E696*F696</f>
        <v>19.8</v>
      </c>
      <c r="K696" s="8" t="str">
        <f aca="false">IF(H696="","",1-F696/H696)</f>
        <v/>
      </c>
    </row>
    <row r="697" customFormat="false" ht="15" hidden="false" customHeight="false" outlineLevel="0" collapsed="false">
      <c r="A697" s="0" t="s">
        <v>533</v>
      </c>
      <c r="B697" s="6" t="n">
        <v>40883.6194444444</v>
      </c>
      <c r="C697" s="0" t="s">
        <v>153</v>
      </c>
      <c r="D697" s="0" t="s">
        <v>154</v>
      </c>
      <c r="E697" s="0" t="n">
        <v>25</v>
      </c>
      <c r="F697" s="0" t="n">
        <v>0.42</v>
      </c>
      <c r="G697" s="7" t="str">
        <f aca="false">_xlfn.XLOOKUP(D697,Catalog!$B$2:$B$4102,Catalog!$A$2:$A$4102,"NOT IN CATALOG")</f>
        <v>BLUE SPOTS WRAP</v>
      </c>
      <c r="H697" s="7" t="n">
        <f aca="false">_xlfn.IFNA(VLOOKUP(D697,Catalog!$B$2:$C$4102,2,FALSE()),"")</f>
        <v>0.42</v>
      </c>
      <c r="I697" s="7" t="str">
        <f aca="false">HLOOKUP(C697,Regions!$B$1:$S$2,2,FALSE())</f>
        <v>EU</v>
      </c>
      <c r="J697" s="7" t="n">
        <f aca="false">E697*F697</f>
        <v>10.5</v>
      </c>
      <c r="K697" s="8" t="n">
        <f aca="false">IF(H697="","",1-F697/H697)</f>
        <v>0</v>
      </c>
    </row>
    <row r="698" customFormat="false" ht="15" hidden="false" customHeight="false" outlineLevel="0" collapsed="false">
      <c r="A698" s="0" t="s">
        <v>533</v>
      </c>
      <c r="B698" s="6" t="n">
        <v>40883.6194444444</v>
      </c>
      <c r="C698" s="0" t="s">
        <v>153</v>
      </c>
      <c r="D698" s="0" t="s">
        <v>75</v>
      </c>
      <c r="E698" s="0" t="n">
        <v>2</v>
      </c>
      <c r="F698" s="0" t="n">
        <v>9.95</v>
      </c>
      <c r="G698" s="7" t="str">
        <f aca="false">_xlfn.XLOOKUP(D698,Catalog!$B$2:$B$4102,Catalog!$A$2:$A$4102,"NOT IN CATALOG")</f>
        <v>NOT IN CATALOG</v>
      </c>
      <c r="H698" s="7" t="str">
        <f aca="false">_xlfn.IFNA(VLOOKUP(D698,Catalog!$B$2:$C$4102,2,FALSE()),"")</f>
        <v/>
      </c>
      <c r="I698" s="7" t="str">
        <f aca="false">HLOOKUP(C698,Regions!$B$1:$S$2,2,FALSE())</f>
        <v>EU</v>
      </c>
      <c r="J698" s="7" t="n">
        <f aca="false">E698*F698</f>
        <v>19.9</v>
      </c>
      <c r="K698" s="8" t="str">
        <f aca="false">IF(H698="","",1-F698/H698)</f>
        <v/>
      </c>
    </row>
    <row r="699" customFormat="false" ht="15" hidden="false" customHeight="false" outlineLevel="0" collapsed="false">
      <c r="A699" s="0" t="s">
        <v>533</v>
      </c>
      <c r="B699" s="6" t="n">
        <v>40883.6194444444</v>
      </c>
      <c r="C699" s="0" t="s">
        <v>153</v>
      </c>
      <c r="D699" s="0" t="s">
        <v>79</v>
      </c>
      <c r="E699" s="0" t="n">
        <v>4</v>
      </c>
      <c r="F699" s="0" t="n">
        <v>3.25</v>
      </c>
      <c r="G699" s="7" t="str">
        <f aca="false">_xlfn.XLOOKUP(D699,Catalog!$B$2:$B$4102,Catalog!$A$2:$A$4102,"NOT IN CATALOG")</f>
        <v>NOT IN CATALOG</v>
      </c>
      <c r="H699" s="7" t="str">
        <f aca="false">_xlfn.IFNA(VLOOKUP(D699,Catalog!$B$2:$C$4102,2,FALSE()),"")</f>
        <v/>
      </c>
      <c r="I699" s="7" t="str">
        <f aca="false">HLOOKUP(C699,Regions!$B$1:$S$2,2,FALSE())</f>
        <v>EU</v>
      </c>
      <c r="J699" s="7" t="n">
        <f aca="false">E699*F699</f>
        <v>13</v>
      </c>
      <c r="K699" s="8" t="str">
        <f aca="false">IF(H699="","",1-F699/H699)</f>
        <v/>
      </c>
    </row>
    <row r="700" customFormat="false" ht="15" hidden="false" customHeight="false" outlineLevel="0" collapsed="false">
      <c r="A700" s="0" t="s">
        <v>533</v>
      </c>
      <c r="B700" s="6" t="n">
        <v>40883.6194444444</v>
      </c>
      <c r="C700" s="0" t="s">
        <v>153</v>
      </c>
      <c r="D700" s="0" t="s">
        <v>70</v>
      </c>
      <c r="E700" s="0" t="n">
        <v>4</v>
      </c>
      <c r="F700" s="0" t="n">
        <v>4.15</v>
      </c>
      <c r="G700" s="7" t="str">
        <f aca="false">_xlfn.XLOOKUP(D700,Catalog!$B$2:$B$4102,Catalog!$A$2:$A$4102,"NOT IN CATALOG")</f>
        <v>NOT IN CATALOG</v>
      </c>
      <c r="H700" s="7" t="str">
        <f aca="false">_xlfn.IFNA(VLOOKUP(D700,Catalog!$B$2:$C$4102,2,FALSE()),"")</f>
        <v/>
      </c>
      <c r="I700" s="7" t="str">
        <f aca="false">HLOOKUP(C700,Regions!$B$1:$S$2,2,FALSE())</f>
        <v>EU</v>
      </c>
      <c r="J700" s="7" t="n">
        <f aca="false">E700*F700</f>
        <v>16.6</v>
      </c>
      <c r="K700" s="8" t="str">
        <f aca="false">IF(H700="","",1-F700/H700)</f>
        <v/>
      </c>
    </row>
    <row r="701" customFormat="false" ht="15" hidden="false" customHeight="false" outlineLevel="0" collapsed="false">
      <c r="A701" s="0" t="s">
        <v>533</v>
      </c>
      <c r="B701" s="6" t="n">
        <v>40883.6194444444</v>
      </c>
      <c r="C701" s="0" t="s">
        <v>153</v>
      </c>
      <c r="D701" s="0" t="s">
        <v>73</v>
      </c>
      <c r="E701" s="0" t="n">
        <v>12</v>
      </c>
      <c r="F701" s="0" t="n">
        <v>1.65</v>
      </c>
      <c r="G701" s="7" t="str">
        <f aca="false">_xlfn.XLOOKUP(D701,Catalog!$B$2:$B$4102,Catalog!$A$2:$A$4102,"NOT IN CATALOG")</f>
        <v>NOT IN CATALOG</v>
      </c>
      <c r="H701" s="7" t="str">
        <f aca="false">_xlfn.IFNA(VLOOKUP(D701,Catalog!$B$2:$C$4102,2,FALSE()),"")</f>
        <v/>
      </c>
      <c r="I701" s="7" t="str">
        <f aca="false">HLOOKUP(C701,Regions!$B$1:$S$2,2,FALSE())</f>
        <v>EU</v>
      </c>
      <c r="J701" s="7" t="n">
        <f aca="false">E701*F701</f>
        <v>19.8</v>
      </c>
      <c r="K701" s="8" t="str">
        <f aca="false">IF(H701="","",1-F701/H701)</f>
        <v/>
      </c>
    </row>
    <row r="702" customFormat="false" ht="15" hidden="false" customHeight="false" outlineLevel="0" collapsed="false">
      <c r="A702" s="0" t="s">
        <v>533</v>
      </c>
      <c r="B702" s="6" t="n">
        <v>40883.6194444444</v>
      </c>
      <c r="C702" s="0" t="s">
        <v>153</v>
      </c>
      <c r="D702" s="0" t="s">
        <v>544</v>
      </c>
      <c r="E702" s="0" t="n">
        <v>6</v>
      </c>
      <c r="F702" s="0" t="n">
        <v>3.75</v>
      </c>
      <c r="G702" s="7" t="str">
        <f aca="false">_xlfn.XLOOKUP(D702,Catalog!$B$2:$B$4102,Catalog!$A$2:$A$4102,"NOT IN CATALOG")</f>
        <v>RED SPOTTY BISCUIT TIN</v>
      </c>
      <c r="H702" s="7" t="n">
        <f aca="false">_xlfn.IFNA(VLOOKUP(D702,Catalog!$B$2:$C$4102,2,FALSE()),"")</f>
        <v>3.75</v>
      </c>
      <c r="I702" s="7" t="str">
        <f aca="false">HLOOKUP(C702,Regions!$B$1:$S$2,2,FALSE())</f>
        <v>EU</v>
      </c>
      <c r="J702" s="7" t="n">
        <f aca="false">E702*F702</f>
        <v>22.5</v>
      </c>
      <c r="K702" s="8" t="n">
        <f aca="false">IF(H702="","",1-F702/H702)</f>
        <v>0</v>
      </c>
    </row>
    <row r="703" customFormat="false" ht="15" hidden="false" customHeight="false" outlineLevel="0" collapsed="false">
      <c r="A703" s="0" t="s">
        <v>533</v>
      </c>
      <c r="B703" s="6" t="n">
        <v>40883.6194444444</v>
      </c>
      <c r="C703" s="0" t="s">
        <v>153</v>
      </c>
      <c r="D703" s="0" t="s">
        <v>222</v>
      </c>
      <c r="E703" s="0" t="n">
        <v>2</v>
      </c>
      <c r="F703" s="0" t="n">
        <v>8.5</v>
      </c>
      <c r="G703" s="7" t="str">
        <f aca="false">_xlfn.XLOOKUP(D703,Catalog!$B$2:$B$4102,Catalog!$A$2:$A$4102,"NOT IN CATALOG")</f>
        <v>IVORY KITCHEN SCALES</v>
      </c>
      <c r="H703" s="7" t="n">
        <f aca="false">_xlfn.IFNA(VLOOKUP(D703,Catalog!$B$2:$C$4102,2,FALSE()),"")</f>
        <v>8.5</v>
      </c>
      <c r="I703" s="7" t="str">
        <f aca="false">HLOOKUP(C703,Regions!$B$1:$S$2,2,FALSE())</f>
        <v>EU</v>
      </c>
      <c r="J703" s="7" t="n">
        <f aca="false">E703*F703</f>
        <v>17</v>
      </c>
      <c r="K703" s="8" t="n">
        <f aca="false">IF(H703="","",1-F703/H703)</f>
        <v>0</v>
      </c>
    </row>
    <row r="704" customFormat="false" ht="15" hidden="false" customHeight="false" outlineLevel="0" collapsed="false">
      <c r="A704" s="0" t="s">
        <v>533</v>
      </c>
      <c r="B704" s="6" t="n">
        <v>40883.6194444444</v>
      </c>
      <c r="C704" s="0" t="s">
        <v>153</v>
      </c>
      <c r="D704" s="0" t="s">
        <v>313</v>
      </c>
      <c r="E704" s="0" t="n">
        <v>12</v>
      </c>
      <c r="F704" s="0" t="n">
        <v>0.42</v>
      </c>
      <c r="G704" s="7" t="str">
        <f aca="false">_xlfn.XLOOKUP(D704,Catalog!$B$2:$B$4102,Catalog!$A$2:$A$4102,"NOT IN CATALOG")</f>
        <v>ASSORTED BOTTLE TOP MAGNETS</v>
      </c>
      <c r="H704" s="7" t="n">
        <f aca="false">_xlfn.IFNA(VLOOKUP(D704,Catalog!$B$2:$C$4102,2,FALSE()),"")</f>
        <v>0.42</v>
      </c>
      <c r="I704" s="7" t="str">
        <f aca="false">HLOOKUP(C704,Regions!$B$1:$S$2,2,FALSE())</f>
        <v>EU</v>
      </c>
      <c r="J704" s="7" t="n">
        <f aca="false">E704*F704</f>
        <v>5.04</v>
      </c>
      <c r="K704" s="8" t="n">
        <f aca="false">IF(H704="","",1-F704/H704)</f>
        <v>0</v>
      </c>
    </row>
    <row r="705" customFormat="false" ht="15" hidden="false" customHeight="false" outlineLevel="0" collapsed="false">
      <c r="A705" s="0" t="s">
        <v>533</v>
      </c>
      <c r="B705" s="6" t="n">
        <v>40883.6194444444</v>
      </c>
      <c r="C705" s="0" t="s">
        <v>153</v>
      </c>
      <c r="D705" s="0" t="s">
        <v>39</v>
      </c>
      <c r="E705" s="0" t="n">
        <v>3</v>
      </c>
      <c r="F705" s="0" t="n">
        <v>15</v>
      </c>
      <c r="G705" s="7" t="str">
        <f aca="false">_xlfn.XLOOKUP(D705,Catalog!$B$2:$B$4102,Catalog!$A$2:$A$4102,"NOT IN CATALOG")</f>
        <v>POSTAGE</v>
      </c>
      <c r="H705" s="7" t="n">
        <f aca="false">_xlfn.IFNA(VLOOKUP(D705,Catalog!$B$2:$C$4102,2,FALSE()),"")</f>
        <v>18</v>
      </c>
      <c r="I705" s="7" t="str">
        <f aca="false">HLOOKUP(C705,Regions!$B$1:$S$2,2,FALSE())</f>
        <v>EU</v>
      </c>
      <c r="J705" s="7" t="n">
        <f aca="false">E705*F705</f>
        <v>45</v>
      </c>
      <c r="K705" s="8" t="n">
        <f aca="false">IF(H705="","",1-F705/H705)</f>
        <v>0.166666666666667</v>
      </c>
    </row>
    <row r="706" customFormat="false" ht="15" hidden="false" customHeight="false" outlineLevel="0" collapsed="false">
      <c r="A706" s="0" t="s">
        <v>545</v>
      </c>
      <c r="B706" s="6" t="n">
        <v>40883.6527777778</v>
      </c>
      <c r="C706" s="0" t="s">
        <v>153</v>
      </c>
      <c r="D706" s="0" t="s">
        <v>546</v>
      </c>
      <c r="E706" s="0" t="n">
        <v>6</v>
      </c>
      <c r="F706" s="0" t="n">
        <v>4.15</v>
      </c>
      <c r="G706" s="7" t="str">
        <f aca="false">_xlfn.XLOOKUP(D706,Catalog!$B$2:$B$4102,Catalog!$A$2:$A$4102,"NOT IN CATALOG")</f>
        <v>NOT IN CATALOG</v>
      </c>
      <c r="H706" s="7" t="str">
        <f aca="false">_xlfn.IFNA(VLOOKUP(D706,Catalog!$B$2:$C$4102,2,FALSE()),"")</f>
        <v/>
      </c>
      <c r="I706" s="7" t="str">
        <f aca="false">HLOOKUP(C706,Regions!$B$1:$S$2,2,FALSE())</f>
        <v>EU</v>
      </c>
      <c r="J706" s="7" t="n">
        <f aca="false">E706*F706</f>
        <v>24.9</v>
      </c>
      <c r="K706" s="8" t="str">
        <f aca="false">IF(H706="","",1-F706/H706)</f>
        <v/>
      </c>
    </row>
    <row r="707" customFormat="false" ht="15" hidden="false" customHeight="false" outlineLevel="0" collapsed="false">
      <c r="A707" s="0" t="s">
        <v>545</v>
      </c>
      <c r="B707" s="6" t="n">
        <v>40883.6527777778</v>
      </c>
      <c r="C707" s="0" t="s">
        <v>153</v>
      </c>
      <c r="D707" s="0" t="s">
        <v>316</v>
      </c>
      <c r="E707" s="0" t="n">
        <v>6</v>
      </c>
      <c r="F707" s="0" t="n">
        <v>4.15</v>
      </c>
      <c r="G707" s="7" t="str">
        <f aca="false">_xlfn.XLOOKUP(D707,Catalog!$B$2:$B$4102,Catalog!$A$2:$A$4102,"NOT IN CATALOG")</f>
        <v>NOT IN CATALOG</v>
      </c>
      <c r="H707" s="7" t="str">
        <f aca="false">_xlfn.IFNA(VLOOKUP(D707,Catalog!$B$2:$C$4102,2,FALSE()),"")</f>
        <v/>
      </c>
      <c r="I707" s="7" t="str">
        <f aca="false">HLOOKUP(C707,Regions!$B$1:$S$2,2,FALSE())</f>
        <v>EU</v>
      </c>
      <c r="J707" s="7" t="n">
        <f aca="false">E707*F707</f>
        <v>24.9</v>
      </c>
      <c r="K707" s="8" t="str">
        <f aca="false">IF(H707="","",1-F707/H707)</f>
        <v/>
      </c>
    </row>
    <row r="708" customFormat="false" ht="15" hidden="false" customHeight="false" outlineLevel="0" collapsed="false">
      <c r="A708" s="0" t="s">
        <v>545</v>
      </c>
      <c r="B708" s="6" t="n">
        <v>40883.6527777778</v>
      </c>
      <c r="C708" s="0" t="s">
        <v>153</v>
      </c>
      <c r="D708" s="0" t="s">
        <v>441</v>
      </c>
      <c r="E708" s="0" t="n">
        <v>6</v>
      </c>
      <c r="F708" s="0" t="n">
        <v>2.95</v>
      </c>
      <c r="G708" s="7" t="str">
        <f aca="false">_xlfn.XLOOKUP(D708,Catalog!$B$2:$B$4102,Catalog!$A$2:$A$4102,"NOT IN CATALOG")</f>
        <v>ROUND SNACK BOXES SET OF 4 FRUITS</v>
      </c>
      <c r="H708" s="7" t="n">
        <f aca="false">_xlfn.IFNA(VLOOKUP(D708,Catalog!$B$2:$C$4102,2,FALSE()),"")</f>
        <v>2.95</v>
      </c>
      <c r="I708" s="7" t="str">
        <f aca="false">HLOOKUP(C708,Regions!$B$1:$S$2,2,FALSE())</f>
        <v>EU</v>
      </c>
      <c r="J708" s="7" t="n">
        <f aca="false">E708*F708</f>
        <v>17.7</v>
      </c>
      <c r="K708" s="8" t="n">
        <f aca="false">IF(H708="","",1-F708/H708)</f>
        <v>0</v>
      </c>
    </row>
    <row r="709" customFormat="false" ht="15" hidden="false" customHeight="false" outlineLevel="0" collapsed="false">
      <c r="A709" s="0" t="s">
        <v>545</v>
      </c>
      <c r="B709" s="6" t="n">
        <v>40883.6527777778</v>
      </c>
      <c r="C709" s="0" t="s">
        <v>153</v>
      </c>
      <c r="D709" s="0" t="s">
        <v>269</v>
      </c>
      <c r="E709" s="0" t="n">
        <v>6</v>
      </c>
      <c r="F709" s="0" t="n">
        <v>1.95</v>
      </c>
      <c r="G709" s="7" t="str">
        <f aca="false">_xlfn.XLOOKUP(D709,Catalog!$B$2:$B$4102,Catalog!$A$2:$A$4102,"NOT IN CATALOG")</f>
        <v>NOT IN CATALOG</v>
      </c>
      <c r="H709" s="7" t="str">
        <f aca="false">_xlfn.IFNA(VLOOKUP(D709,Catalog!$B$2:$C$4102,2,FALSE()),"")</f>
        <v/>
      </c>
      <c r="I709" s="7" t="str">
        <f aca="false">HLOOKUP(C709,Regions!$B$1:$S$2,2,FALSE())</f>
        <v>EU</v>
      </c>
      <c r="J709" s="7" t="n">
        <f aca="false">E709*F709</f>
        <v>11.7</v>
      </c>
      <c r="K709" s="8" t="str">
        <f aca="false">IF(H709="","",1-F709/H709)</f>
        <v/>
      </c>
    </row>
    <row r="710" customFormat="false" ht="15" hidden="false" customHeight="false" outlineLevel="0" collapsed="false">
      <c r="A710" s="0" t="s">
        <v>545</v>
      </c>
      <c r="B710" s="6" t="n">
        <v>40883.6527777778</v>
      </c>
      <c r="C710" s="0" t="s">
        <v>153</v>
      </c>
      <c r="D710" s="0" t="s">
        <v>508</v>
      </c>
      <c r="E710" s="0" t="n">
        <v>4</v>
      </c>
      <c r="F710" s="0" t="n">
        <v>4.15</v>
      </c>
      <c r="G710" s="7" t="str">
        <f aca="false">_xlfn.XLOOKUP(D710,Catalog!$B$2:$B$4102,Catalog!$A$2:$A$4102,"NOT IN CATALOG")</f>
        <v>NOT IN CATALOG</v>
      </c>
      <c r="H710" s="7" t="str">
        <f aca="false">_xlfn.IFNA(VLOOKUP(D710,Catalog!$B$2:$C$4102,2,FALSE()),"")</f>
        <v/>
      </c>
      <c r="I710" s="7" t="str">
        <f aca="false">HLOOKUP(C710,Regions!$B$1:$S$2,2,FALSE())</f>
        <v>EU</v>
      </c>
      <c r="J710" s="7" t="n">
        <f aca="false">E710*F710</f>
        <v>16.6</v>
      </c>
      <c r="K710" s="8" t="str">
        <f aca="false">IF(H710="","",1-F710/H710)</f>
        <v/>
      </c>
    </row>
    <row r="711" customFormat="false" ht="15" hidden="false" customHeight="false" outlineLevel="0" collapsed="false">
      <c r="A711" s="0" t="s">
        <v>545</v>
      </c>
      <c r="B711" s="6" t="n">
        <v>40883.6527777778</v>
      </c>
      <c r="C711" s="0" t="s">
        <v>153</v>
      </c>
      <c r="D711" s="0" t="s">
        <v>506</v>
      </c>
      <c r="E711" s="0" t="n">
        <v>4</v>
      </c>
      <c r="F711" s="0" t="n">
        <v>4.15</v>
      </c>
      <c r="G711" s="7" t="str">
        <f aca="false">_xlfn.XLOOKUP(D711,Catalog!$B$2:$B$4102,Catalog!$A$2:$A$4102,"NOT IN CATALOG")</f>
        <v>NOT IN CATALOG</v>
      </c>
      <c r="H711" s="7" t="str">
        <f aca="false">_xlfn.IFNA(VLOOKUP(D711,Catalog!$B$2:$C$4102,2,FALSE()),"")</f>
        <v/>
      </c>
      <c r="I711" s="7" t="str">
        <f aca="false">HLOOKUP(C711,Regions!$B$1:$S$2,2,FALSE())</f>
        <v>EU</v>
      </c>
      <c r="J711" s="7" t="n">
        <f aca="false">E711*F711</f>
        <v>16.6</v>
      </c>
      <c r="K711" s="8" t="str">
        <f aca="false">IF(H711="","",1-F711/H711)</f>
        <v/>
      </c>
    </row>
    <row r="712" customFormat="false" ht="15" hidden="false" customHeight="false" outlineLevel="0" collapsed="false">
      <c r="A712" s="0" t="s">
        <v>545</v>
      </c>
      <c r="B712" s="6" t="n">
        <v>40883.6527777778</v>
      </c>
      <c r="C712" s="0" t="s">
        <v>153</v>
      </c>
      <c r="D712" s="0" t="s">
        <v>522</v>
      </c>
      <c r="E712" s="0" t="n">
        <v>4</v>
      </c>
      <c r="F712" s="0" t="n">
        <v>4.15</v>
      </c>
      <c r="G712" s="7" t="str">
        <f aca="false">_xlfn.XLOOKUP(D712,Catalog!$B$2:$B$4102,Catalog!$A$2:$A$4102,"NOT IN CATALOG")</f>
        <v>NOT IN CATALOG</v>
      </c>
      <c r="H712" s="7" t="str">
        <f aca="false">_xlfn.IFNA(VLOOKUP(D712,Catalog!$B$2:$C$4102,2,FALSE()),"")</f>
        <v/>
      </c>
      <c r="I712" s="7" t="str">
        <f aca="false">HLOOKUP(C712,Regions!$B$1:$S$2,2,FALSE())</f>
        <v>EU</v>
      </c>
      <c r="J712" s="7" t="n">
        <f aca="false">E712*F712</f>
        <v>16.6</v>
      </c>
      <c r="K712" s="8" t="str">
        <f aca="false">IF(H712="","",1-F712/H712)</f>
        <v/>
      </c>
    </row>
    <row r="713" customFormat="false" ht="15" hidden="false" customHeight="false" outlineLevel="0" collapsed="false">
      <c r="A713" s="0" t="s">
        <v>545</v>
      </c>
      <c r="B713" s="6" t="n">
        <v>40883.6527777778</v>
      </c>
      <c r="C713" s="0" t="s">
        <v>153</v>
      </c>
      <c r="D713" s="0" t="s">
        <v>94</v>
      </c>
      <c r="E713" s="0" t="n">
        <v>4</v>
      </c>
      <c r="F713" s="0" t="n">
        <v>4.15</v>
      </c>
      <c r="G713" s="7" t="str">
        <f aca="false">_xlfn.XLOOKUP(D713,Catalog!$B$2:$B$4102,Catalog!$A$2:$A$4102,"NOT IN CATALOG")</f>
        <v>PINK 3 PIECE MINI DOTS CUTLERY SET</v>
      </c>
      <c r="H713" s="7" t="n">
        <f aca="false">_xlfn.IFNA(VLOOKUP(D713,Catalog!$B$2:$C$4102,2,FALSE()),"")</f>
        <v>3.75</v>
      </c>
      <c r="I713" s="7" t="str">
        <f aca="false">HLOOKUP(C713,Regions!$B$1:$S$2,2,FALSE())</f>
        <v>EU</v>
      </c>
      <c r="J713" s="7" t="n">
        <f aca="false">E713*F713</f>
        <v>16.6</v>
      </c>
      <c r="K713" s="8" t="n">
        <f aca="false">IF(H713="","",1-F713/H713)</f>
        <v>-0.106666666666667</v>
      </c>
    </row>
    <row r="714" customFormat="false" ht="15" hidden="false" customHeight="false" outlineLevel="0" collapsed="false">
      <c r="A714" s="0" t="s">
        <v>545</v>
      </c>
      <c r="B714" s="6" t="n">
        <v>40883.6527777778</v>
      </c>
      <c r="C714" s="0" t="s">
        <v>153</v>
      </c>
      <c r="D714" s="0" t="s">
        <v>266</v>
      </c>
      <c r="E714" s="0" t="n">
        <v>8</v>
      </c>
      <c r="F714" s="0" t="n">
        <v>1.25</v>
      </c>
      <c r="G714" s="7" t="str">
        <f aca="false">_xlfn.XLOOKUP(D714,Catalog!$B$2:$B$4102,Catalog!$A$2:$A$4102,"NOT IN CATALOG")</f>
        <v>NOT IN CATALOG</v>
      </c>
      <c r="H714" s="7" t="str">
        <f aca="false">_xlfn.IFNA(VLOOKUP(D714,Catalog!$B$2:$C$4102,2,FALSE()),"")</f>
        <v/>
      </c>
      <c r="I714" s="7" t="str">
        <f aca="false">HLOOKUP(C714,Regions!$B$1:$S$2,2,FALSE())</f>
        <v>EU</v>
      </c>
      <c r="J714" s="7" t="n">
        <f aca="false">E714*F714</f>
        <v>10</v>
      </c>
      <c r="K714" s="8" t="str">
        <f aca="false">IF(H714="","",1-F714/H714)</f>
        <v/>
      </c>
    </row>
    <row r="715" customFormat="false" ht="15" hidden="false" customHeight="false" outlineLevel="0" collapsed="false">
      <c r="A715" s="0" t="s">
        <v>545</v>
      </c>
      <c r="B715" s="6" t="n">
        <v>40883.6527777778</v>
      </c>
      <c r="C715" s="0" t="s">
        <v>153</v>
      </c>
      <c r="D715" s="0" t="s">
        <v>547</v>
      </c>
      <c r="E715" s="0" t="n">
        <v>8</v>
      </c>
      <c r="F715" s="0" t="n">
        <v>1.25</v>
      </c>
      <c r="G715" s="7" t="str">
        <f aca="false">_xlfn.XLOOKUP(D715,Catalog!$B$2:$B$4102,Catalog!$A$2:$A$4102,"NOT IN CATALOG")</f>
        <v>NOT IN CATALOG</v>
      </c>
      <c r="H715" s="7" t="str">
        <f aca="false">_xlfn.IFNA(VLOOKUP(D715,Catalog!$B$2:$C$4102,2,FALSE()),"")</f>
        <v/>
      </c>
      <c r="I715" s="7" t="str">
        <f aca="false">HLOOKUP(C715,Regions!$B$1:$S$2,2,FALSE())</f>
        <v>EU</v>
      </c>
      <c r="J715" s="7" t="n">
        <f aca="false">E715*F715</f>
        <v>10</v>
      </c>
      <c r="K715" s="8" t="str">
        <f aca="false">IF(H715="","",1-F715/H715)</f>
        <v/>
      </c>
    </row>
    <row r="716" customFormat="false" ht="15" hidden="false" customHeight="false" outlineLevel="0" collapsed="false">
      <c r="A716" s="0" t="s">
        <v>545</v>
      </c>
      <c r="B716" s="6" t="n">
        <v>40883.6527777778</v>
      </c>
      <c r="C716" s="0" t="s">
        <v>153</v>
      </c>
      <c r="D716" s="0" t="s">
        <v>46</v>
      </c>
      <c r="E716" s="0" t="n">
        <v>2</v>
      </c>
      <c r="F716" s="0" t="n">
        <v>7.95</v>
      </c>
      <c r="G716" s="7" t="str">
        <f aca="false">_xlfn.XLOOKUP(D716,Catalog!$B$2:$B$4102,Catalog!$A$2:$A$4102,"NOT IN CATALOG")</f>
        <v>ASSORTED COLOUR MINI CASES</v>
      </c>
      <c r="H716" s="7" t="n">
        <f aca="false">_xlfn.IFNA(VLOOKUP(D716,Catalog!$B$2:$C$4102,2,FALSE()),"")</f>
        <v>7.95</v>
      </c>
      <c r="I716" s="7" t="str">
        <f aca="false">HLOOKUP(C716,Regions!$B$1:$S$2,2,FALSE())</f>
        <v>EU</v>
      </c>
      <c r="J716" s="7" t="n">
        <f aca="false">E716*F716</f>
        <v>15.9</v>
      </c>
      <c r="K716" s="8" t="n">
        <f aca="false">IF(H716="","",1-F716/H716)</f>
        <v>0</v>
      </c>
    </row>
    <row r="717" customFormat="false" ht="15" hidden="false" customHeight="false" outlineLevel="0" collapsed="false">
      <c r="A717" s="0" t="s">
        <v>545</v>
      </c>
      <c r="B717" s="6" t="n">
        <v>40883.6527777778</v>
      </c>
      <c r="C717" s="0" t="s">
        <v>153</v>
      </c>
      <c r="D717" s="0" t="s">
        <v>47</v>
      </c>
      <c r="E717" s="0" t="n">
        <v>2</v>
      </c>
      <c r="F717" s="0" t="n">
        <v>7.95</v>
      </c>
      <c r="G717" s="7" t="str">
        <f aca="false">_xlfn.XLOOKUP(D717,Catalog!$B$2:$B$4102,Catalog!$A$2:$A$4102,"NOT IN CATALOG")</f>
        <v>RED/WHITE DOT MINI CASES</v>
      </c>
      <c r="H717" s="7" t="n">
        <f aca="false">_xlfn.IFNA(VLOOKUP(D717,Catalog!$B$2:$C$4102,2,FALSE()),"")</f>
        <v>7.95</v>
      </c>
      <c r="I717" s="7" t="str">
        <f aca="false">HLOOKUP(C717,Regions!$B$1:$S$2,2,FALSE())</f>
        <v>EU</v>
      </c>
      <c r="J717" s="7" t="n">
        <f aca="false">E717*F717</f>
        <v>15.9</v>
      </c>
      <c r="K717" s="8" t="n">
        <f aca="false">IF(H717="","",1-F717/H717)</f>
        <v>0</v>
      </c>
    </row>
    <row r="718" customFormat="false" ht="15" hidden="false" customHeight="false" outlineLevel="0" collapsed="false">
      <c r="A718" s="0" t="s">
        <v>545</v>
      </c>
      <c r="B718" s="6" t="n">
        <v>40883.6527777778</v>
      </c>
      <c r="C718" s="0" t="s">
        <v>153</v>
      </c>
      <c r="D718" s="0" t="s">
        <v>309</v>
      </c>
      <c r="E718" s="0" t="n">
        <v>4</v>
      </c>
      <c r="F718" s="0" t="n">
        <v>4.15</v>
      </c>
      <c r="G718" s="7" t="str">
        <f aca="false">_xlfn.XLOOKUP(D718,Catalog!$B$2:$B$4102,Catalog!$A$2:$A$4102,"NOT IN CATALOG")</f>
        <v>NOT IN CATALOG</v>
      </c>
      <c r="H718" s="7" t="str">
        <f aca="false">_xlfn.IFNA(VLOOKUP(D718,Catalog!$B$2:$C$4102,2,FALSE()),"")</f>
        <v/>
      </c>
      <c r="I718" s="7" t="str">
        <f aca="false">HLOOKUP(C718,Regions!$B$1:$S$2,2,FALSE())</f>
        <v>EU</v>
      </c>
      <c r="J718" s="7" t="n">
        <f aca="false">E718*F718</f>
        <v>16.6</v>
      </c>
      <c r="K718" s="8" t="str">
        <f aca="false">IF(H718="","",1-F718/H718)</f>
        <v/>
      </c>
    </row>
    <row r="719" customFormat="false" ht="15" hidden="false" customHeight="false" outlineLevel="0" collapsed="false">
      <c r="A719" s="0" t="s">
        <v>545</v>
      </c>
      <c r="B719" s="6" t="n">
        <v>40883.6527777778</v>
      </c>
      <c r="C719" s="0" t="s">
        <v>153</v>
      </c>
      <c r="D719" s="0" t="s">
        <v>85</v>
      </c>
      <c r="E719" s="0" t="n">
        <v>4</v>
      </c>
      <c r="F719" s="0" t="n">
        <v>4.15</v>
      </c>
      <c r="G719" s="7" t="str">
        <f aca="false">_xlfn.XLOOKUP(D719,Catalog!$B$2:$B$4102,Catalog!$A$2:$A$4102,"NOT IN CATALOG")</f>
        <v>NOT IN CATALOG</v>
      </c>
      <c r="H719" s="7" t="str">
        <f aca="false">_xlfn.IFNA(VLOOKUP(D719,Catalog!$B$2:$C$4102,2,FALSE()),"")</f>
        <v/>
      </c>
      <c r="I719" s="7" t="str">
        <f aca="false">HLOOKUP(C719,Regions!$B$1:$S$2,2,FALSE())</f>
        <v>EU</v>
      </c>
      <c r="J719" s="7" t="n">
        <f aca="false">E719*F719</f>
        <v>16.6</v>
      </c>
      <c r="K719" s="8" t="str">
        <f aca="false">IF(H719="","",1-F719/H719)</f>
        <v/>
      </c>
    </row>
    <row r="720" customFormat="false" ht="15" hidden="false" customHeight="false" outlineLevel="0" collapsed="false">
      <c r="A720" s="0" t="s">
        <v>545</v>
      </c>
      <c r="B720" s="6" t="n">
        <v>40883.6527777778</v>
      </c>
      <c r="C720" s="0" t="s">
        <v>153</v>
      </c>
      <c r="D720" s="0" t="s">
        <v>548</v>
      </c>
      <c r="E720" s="0" t="n">
        <v>4</v>
      </c>
      <c r="F720" s="0" t="n">
        <v>4.15</v>
      </c>
      <c r="G720" s="7" t="str">
        <f aca="false">_xlfn.XLOOKUP(D720,Catalog!$B$2:$B$4102,Catalog!$A$2:$A$4102,"NOT IN CATALOG")</f>
        <v>NOT IN CATALOG</v>
      </c>
      <c r="H720" s="7" t="str">
        <f aca="false">_xlfn.IFNA(VLOOKUP(D720,Catalog!$B$2:$C$4102,2,FALSE()),"")</f>
        <v/>
      </c>
      <c r="I720" s="7" t="str">
        <f aca="false">HLOOKUP(C720,Regions!$B$1:$S$2,2,FALSE())</f>
        <v>EU</v>
      </c>
      <c r="J720" s="7" t="n">
        <f aca="false">E720*F720</f>
        <v>16.6</v>
      </c>
      <c r="K720" s="8" t="str">
        <f aca="false">IF(H720="","",1-F720/H720)</f>
        <v/>
      </c>
    </row>
    <row r="721" customFormat="false" ht="15" hidden="false" customHeight="false" outlineLevel="0" collapsed="false">
      <c r="A721" s="0" t="s">
        <v>545</v>
      </c>
      <c r="B721" s="6" t="n">
        <v>40883.6527777778</v>
      </c>
      <c r="C721" s="0" t="s">
        <v>153</v>
      </c>
      <c r="D721" s="0" t="s">
        <v>365</v>
      </c>
      <c r="E721" s="0" t="n">
        <v>10</v>
      </c>
      <c r="F721" s="0" t="n">
        <v>0.85</v>
      </c>
      <c r="G721" s="7" t="str">
        <f aca="false">_xlfn.XLOOKUP(D721,Catalog!$B$2:$B$4102,Catalog!$A$2:$A$4102,"NOT IN CATALOG")</f>
        <v>NOT IN CATALOG</v>
      </c>
      <c r="H721" s="7" t="str">
        <f aca="false">_xlfn.IFNA(VLOOKUP(D721,Catalog!$B$2:$C$4102,2,FALSE()),"")</f>
        <v/>
      </c>
      <c r="I721" s="7" t="str">
        <f aca="false">HLOOKUP(C721,Regions!$B$1:$S$2,2,FALSE())</f>
        <v>EU</v>
      </c>
      <c r="J721" s="7" t="n">
        <f aca="false">E721*F721</f>
        <v>8.5</v>
      </c>
      <c r="K721" s="8" t="str">
        <f aca="false">IF(H721="","",1-F721/H721)</f>
        <v/>
      </c>
    </row>
    <row r="722" customFormat="false" ht="15" hidden="false" customHeight="false" outlineLevel="0" collapsed="false">
      <c r="A722" s="0" t="s">
        <v>545</v>
      </c>
      <c r="B722" s="6" t="n">
        <v>40883.6527777778</v>
      </c>
      <c r="C722" s="0" t="s">
        <v>153</v>
      </c>
      <c r="D722" s="0" t="s">
        <v>511</v>
      </c>
      <c r="E722" s="0" t="n">
        <v>10</v>
      </c>
      <c r="F722" s="0" t="n">
        <v>2.08</v>
      </c>
      <c r="G722" s="7" t="str">
        <f aca="false">_xlfn.XLOOKUP(D722,Catalog!$B$2:$B$4102,Catalog!$A$2:$A$4102,"NOT IN CATALOG")</f>
        <v>JUMBO STORAGE BAG SUKI</v>
      </c>
      <c r="H722" s="7" t="n">
        <f aca="false">_xlfn.IFNA(VLOOKUP(D722,Catalog!$B$2:$C$4102,2,FALSE()),"")</f>
        <v>1.95</v>
      </c>
      <c r="I722" s="7" t="str">
        <f aca="false">HLOOKUP(C722,Regions!$B$1:$S$2,2,FALSE())</f>
        <v>EU</v>
      </c>
      <c r="J722" s="7" t="n">
        <f aca="false">E722*F722</f>
        <v>20.8</v>
      </c>
      <c r="K722" s="8" t="n">
        <f aca="false">IF(H722="","",1-F722/H722)</f>
        <v>-0.0666666666666667</v>
      </c>
    </row>
    <row r="723" customFormat="false" ht="15" hidden="false" customHeight="false" outlineLevel="0" collapsed="false">
      <c r="A723" s="0" t="s">
        <v>545</v>
      </c>
      <c r="B723" s="6" t="n">
        <v>40883.6527777778</v>
      </c>
      <c r="C723" s="0" t="s">
        <v>153</v>
      </c>
      <c r="D723" s="0" t="s">
        <v>357</v>
      </c>
      <c r="E723" s="0" t="n">
        <v>10</v>
      </c>
      <c r="F723" s="0" t="n">
        <v>2.08</v>
      </c>
      <c r="G723" s="7" t="str">
        <f aca="false">_xlfn.XLOOKUP(D723,Catalog!$B$2:$B$4102,Catalog!$A$2:$A$4102,"NOT IN CATALOG")</f>
        <v>NOT IN CATALOG</v>
      </c>
      <c r="H723" s="7" t="str">
        <f aca="false">_xlfn.IFNA(VLOOKUP(D723,Catalog!$B$2:$C$4102,2,FALSE()),"")</f>
        <v/>
      </c>
      <c r="I723" s="7" t="str">
        <f aca="false">HLOOKUP(C723,Regions!$B$1:$S$2,2,FALSE())</f>
        <v>EU</v>
      </c>
      <c r="J723" s="7" t="n">
        <f aca="false">E723*F723</f>
        <v>20.8</v>
      </c>
      <c r="K723" s="8" t="str">
        <f aca="false">IF(H723="","",1-F723/H723)</f>
        <v/>
      </c>
    </row>
    <row r="724" customFormat="false" ht="15" hidden="false" customHeight="false" outlineLevel="0" collapsed="false">
      <c r="A724" s="0" t="s">
        <v>545</v>
      </c>
      <c r="B724" s="6" t="n">
        <v>40883.6527777778</v>
      </c>
      <c r="C724" s="0" t="s">
        <v>153</v>
      </c>
      <c r="D724" s="0" t="s">
        <v>364</v>
      </c>
      <c r="E724" s="0" t="n">
        <v>10</v>
      </c>
      <c r="F724" s="0" t="n">
        <v>2.08</v>
      </c>
      <c r="G724" s="7" t="str">
        <f aca="false">_xlfn.XLOOKUP(D724,Catalog!$B$2:$B$4102,Catalog!$A$2:$A$4102,"NOT IN CATALOG")</f>
        <v>NOT IN CATALOG</v>
      </c>
      <c r="H724" s="7" t="str">
        <f aca="false">_xlfn.IFNA(VLOOKUP(D724,Catalog!$B$2:$C$4102,2,FALSE()),"")</f>
        <v/>
      </c>
      <c r="I724" s="7" t="str">
        <f aca="false">HLOOKUP(C724,Regions!$B$1:$S$2,2,FALSE())</f>
        <v>EU</v>
      </c>
      <c r="J724" s="7" t="n">
        <f aca="false">E724*F724</f>
        <v>20.8</v>
      </c>
      <c r="K724" s="8" t="str">
        <f aca="false">IF(H724="","",1-F724/H724)</f>
        <v/>
      </c>
    </row>
    <row r="725" customFormat="false" ht="15" hidden="false" customHeight="false" outlineLevel="0" collapsed="false">
      <c r="A725" s="0" t="s">
        <v>545</v>
      </c>
      <c r="B725" s="6" t="n">
        <v>40883.6527777778</v>
      </c>
      <c r="C725" s="0" t="s">
        <v>153</v>
      </c>
      <c r="D725" s="0" t="s">
        <v>87</v>
      </c>
      <c r="E725" s="0" t="n">
        <v>10</v>
      </c>
      <c r="F725" s="0" t="n">
        <v>2.08</v>
      </c>
      <c r="G725" s="7" t="str">
        <f aca="false">_xlfn.XLOOKUP(D725,Catalog!$B$2:$B$4102,Catalog!$A$2:$A$4102,"NOT IN CATALOG")</f>
        <v>JUMBO BAG RED RETROSPOT</v>
      </c>
      <c r="H725" s="7" t="n">
        <f aca="false">_xlfn.IFNA(VLOOKUP(D725,Catalog!$B$2:$C$4102,2,FALSE()),"")</f>
        <v>1.95</v>
      </c>
      <c r="I725" s="7" t="str">
        <f aca="false">HLOOKUP(C725,Regions!$B$1:$S$2,2,FALSE())</f>
        <v>EU</v>
      </c>
      <c r="J725" s="7" t="n">
        <f aca="false">E725*F725</f>
        <v>20.8</v>
      </c>
      <c r="K725" s="8" t="n">
        <f aca="false">IF(H725="","",1-F725/H725)</f>
        <v>-0.0666666666666667</v>
      </c>
    </row>
    <row r="726" customFormat="false" ht="15" hidden="false" customHeight="false" outlineLevel="0" collapsed="false">
      <c r="A726" s="0" t="s">
        <v>545</v>
      </c>
      <c r="B726" s="6" t="n">
        <v>40883.6527777778</v>
      </c>
      <c r="C726" s="0" t="s">
        <v>153</v>
      </c>
      <c r="D726" s="0" t="s">
        <v>363</v>
      </c>
      <c r="E726" s="0" t="n">
        <v>10</v>
      </c>
      <c r="F726" s="0" t="n">
        <v>2.08</v>
      </c>
      <c r="G726" s="7" t="str">
        <f aca="false">_xlfn.XLOOKUP(D726,Catalog!$B$2:$B$4102,Catalog!$A$2:$A$4102,"NOT IN CATALOG")</f>
        <v>NOT IN CATALOG</v>
      </c>
      <c r="H726" s="7" t="str">
        <f aca="false">_xlfn.IFNA(VLOOKUP(D726,Catalog!$B$2:$C$4102,2,FALSE()),"")</f>
        <v/>
      </c>
      <c r="I726" s="7" t="str">
        <f aca="false">HLOOKUP(C726,Regions!$B$1:$S$2,2,FALSE())</f>
        <v>EU</v>
      </c>
      <c r="J726" s="7" t="n">
        <f aca="false">E726*F726</f>
        <v>20.8</v>
      </c>
      <c r="K726" s="8" t="str">
        <f aca="false">IF(H726="","",1-F726/H726)</f>
        <v/>
      </c>
    </row>
    <row r="727" customFormat="false" ht="15" hidden="false" customHeight="false" outlineLevel="0" collapsed="false">
      <c r="A727" s="0" t="s">
        <v>545</v>
      </c>
      <c r="B727" s="6" t="n">
        <v>40883.6527777778</v>
      </c>
      <c r="C727" s="0" t="s">
        <v>153</v>
      </c>
      <c r="D727" s="0" t="s">
        <v>438</v>
      </c>
      <c r="E727" s="0" t="n">
        <v>12</v>
      </c>
      <c r="F727" s="0" t="n">
        <v>0.42</v>
      </c>
      <c r="G727" s="7" t="str">
        <f aca="false">_xlfn.XLOOKUP(D727,Catalog!$B$2:$B$4102,Catalog!$A$2:$A$4102,"NOT IN CATALOG")</f>
        <v>CARD MOTORBIKE SANTA</v>
      </c>
      <c r="H727" s="7" t="n">
        <f aca="false">_xlfn.IFNA(VLOOKUP(D727,Catalog!$B$2:$C$4102,2,FALSE()),"")</f>
        <v>0.42</v>
      </c>
      <c r="I727" s="7" t="str">
        <f aca="false">HLOOKUP(C727,Regions!$B$1:$S$2,2,FALSE())</f>
        <v>EU</v>
      </c>
      <c r="J727" s="7" t="n">
        <f aca="false">E727*F727</f>
        <v>5.04</v>
      </c>
      <c r="K727" s="8" t="n">
        <f aca="false">IF(H727="","",1-F727/H727)</f>
        <v>0</v>
      </c>
    </row>
    <row r="728" customFormat="false" ht="15" hidden="false" customHeight="false" outlineLevel="0" collapsed="false">
      <c r="A728" s="0" t="s">
        <v>545</v>
      </c>
      <c r="B728" s="6" t="n">
        <v>40883.6527777778</v>
      </c>
      <c r="C728" s="0" t="s">
        <v>153</v>
      </c>
      <c r="D728" s="0" t="s">
        <v>168</v>
      </c>
      <c r="E728" s="0" t="n">
        <v>12</v>
      </c>
      <c r="F728" s="0" t="n">
        <v>0.85</v>
      </c>
      <c r="G728" s="7" t="str">
        <f aca="false">_xlfn.XLOOKUP(D728,Catalog!$B$2:$B$4102,Catalog!$A$2:$A$4102,"NOT IN CATALOG")</f>
        <v>PACK OF 20 NAPKINS RED APPLES</v>
      </c>
      <c r="H728" s="7" t="n">
        <f aca="false">_xlfn.IFNA(VLOOKUP(D728,Catalog!$B$2:$C$4102,2,FALSE()),"")</f>
        <v>0.85</v>
      </c>
      <c r="I728" s="7" t="str">
        <f aca="false">HLOOKUP(C728,Regions!$B$1:$S$2,2,FALSE())</f>
        <v>EU</v>
      </c>
      <c r="J728" s="7" t="n">
        <f aca="false">E728*F728</f>
        <v>10.2</v>
      </c>
      <c r="K728" s="8" t="n">
        <f aca="false">IF(H728="","",1-F728/H728)</f>
        <v>0</v>
      </c>
    </row>
    <row r="729" customFormat="false" ht="15" hidden="false" customHeight="false" outlineLevel="0" collapsed="false">
      <c r="A729" s="0" t="s">
        <v>545</v>
      </c>
      <c r="B729" s="6" t="n">
        <v>40883.6527777778</v>
      </c>
      <c r="C729" s="0" t="s">
        <v>153</v>
      </c>
      <c r="D729" s="0" t="s">
        <v>549</v>
      </c>
      <c r="E729" s="0" t="n">
        <v>16</v>
      </c>
      <c r="F729" s="0" t="n">
        <v>1.25</v>
      </c>
      <c r="G729" s="7" t="str">
        <f aca="false">_xlfn.XLOOKUP(D729,Catalog!$B$2:$B$4102,Catalog!$A$2:$A$4102,"NOT IN CATALOG")</f>
        <v>NOT IN CATALOG</v>
      </c>
      <c r="H729" s="7" t="str">
        <f aca="false">_xlfn.IFNA(VLOOKUP(D729,Catalog!$B$2:$C$4102,2,FALSE()),"")</f>
        <v/>
      </c>
      <c r="I729" s="7" t="str">
        <f aca="false">HLOOKUP(C729,Regions!$B$1:$S$2,2,FALSE())</f>
        <v>EU</v>
      </c>
      <c r="J729" s="7" t="n">
        <f aca="false">E729*F729</f>
        <v>20</v>
      </c>
      <c r="K729" s="8" t="str">
        <f aca="false">IF(H729="","",1-F729/H729)</f>
        <v/>
      </c>
    </row>
    <row r="730" customFormat="false" ht="15" hidden="false" customHeight="false" outlineLevel="0" collapsed="false">
      <c r="A730" s="0" t="s">
        <v>545</v>
      </c>
      <c r="B730" s="6" t="n">
        <v>40883.6527777778</v>
      </c>
      <c r="C730" s="0" t="s">
        <v>153</v>
      </c>
      <c r="D730" s="0" t="s">
        <v>550</v>
      </c>
      <c r="E730" s="0" t="n">
        <v>12</v>
      </c>
      <c r="F730" s="0" t="n">
        <v>0.85</v>
      </c>
      <c r="G730" s="7" t="str">
        <f aca="false">_xlfn.XLOOKUP(D730,Catalog!$B$2:$B$4102,Catalog!$A$2:$A$4102,"NOT IN CATALOG")</f>
        <v>BAG 250g SWIRLY MARBLES</v>
      </c>
      <c r="H730" s="7" t="n">
        <f aca="false">_xlfn.IFNA(VLOOKUP(D730,Catalog!$B$2:$C$4102,2,FALSE()),"")</f>
        <v>0.85</v>
      </c>
      <c r="I730" s="7" t="str">
        <f aca="false">HLOOKUP(C730,Regions!$B$1:$S$2,2,FALSE())</f>
        <v>EU</v>
      </c>
      <c r="J730" s="7" t="n">
        <f aca="false">E730*F730</f>
        <v>10.2</v>
      </c>
      <c r="K730" s="8" t="n">
        <f aca="false">IF(H730="","",1-F730/H730)</f>
        <v>0</v>
      </c>
    </row>
    <row r="731" customFormat="false" ht="15" hidden="false" customHeight="false" outlineLevel="0" collapsed="false">
      <c r="A731" s="0" t="s">
        <v>545</v>
      </c>
      <c r="B731" s="6" t="n">
        <v>40883.6527777778</v>
      </c>
      <c r="C731" s="0" t="s">
        <v>153</v>
      </c>
      <c r="D731" s="0" t="s">
        <v>292</v>
      </c>
      <c r="E731" s="0" t="n">
        <v>12</v>
      </c>
      <c r="F731" s="0" t="n">
        <v>1.45</v>
      </c>
      <c r="G731" s="7" t="str">
        <f aca="false">_xlfn.XLOOKUP(D731,Catalog!$B$2:$B$4102,Catalog!$A$2:$A$4102,"NOT IN CATALOG")</f>
        <v>PICTURE DOMINOES</v>
      </c>
      <c r="H731" s="7" t="n">
        <f aca="false">_xlfn.IFNA(VLOOKUP(D731,Catalog!$B$2:$C$4102,2,FALSE()),"")</f>
        <v>1.45</v>
      </c>
      <c r="I731" s="7" t="str">
        <f aca="false">HLOOKUP(C731,Regions!$B$1:$S$2,2,FALSE())</f>
        <v>EU</v>
      </c>
      <c r="J731" s="7" t="n">
        <f aca="false">E731*F731</f>
        <v>17.4</v>
      </c>
      <c r="K731" s="8" t="n">
        <f aca="false">IF(H731="","",1-F731/H731)</f>
        <v>0</v>
      </c>
    </row>
    <row r="732" customFormat="false" ht="15" hidden="false" customHeight="false" outlineLevel="0" collapsed="false">
      <c r="A732" s="0" t="s">
        <v>545</v>
      </c>
      <c r="B732" s="6" t="n">
        <v>40883.6527777778</v>
      </c>
      <c r="C732" s="0" t="s">
        <v>153</v>
      </c>
      <c r="D732" s="0" t="s">
        <v>214</v>
      </c>
      <c r="E732" s="0" t="n">
        <v>4</v>
      </c>
      <c r="F732" s="0" t="n">
        <v>4.95</v>
      </c>
      <c r="G732" s="7" t="str">
        <f aca="false">_xlfn.XLOOKUP(D732,Catalog!$B$2:$B$4102,Catalog!$A$2:$A$4102,"NOT IN CATALOG")</f>
        <v>NOT IN CATALOG</v>
      </c>
      <c r="H732" s="7" t="str">
        <f aca="false">_xlfn.IFNA(VLOOKUP(D732,Catalog!$B$2:$C$4102,2,FALSE()),"")</f>
        <v/>
      </c>
      <c r="I732" s="7" t="str">
        <f aca="false">HLOOKUP(C732,Regions!$B$1:$S$2,2,FALSE())</f>
        <v>EU</v>
      </c>
      <c r="J732" s="7" t="n">
        <f aca="false">E732*F732</f>
        <v>19.8</v>
      </c>
      <c r="K732" s="8" t="str">
        <f aca="false">IF(H732="","",1-F732/H732)</f>
        <v/>
      </c>
    </row>
    <row r="733" customFormat="false" ht="15" hidden="false" customHeight="false" outlineLevel="0" collapsed="false">
      <c r="A733" s="0" t="s">
        <v>545</v>
      </c>
      <c r="B733" s="6" t="n">
        <v>40883.6527777778</v>
      </c>
      <c r="C733" s="0" t="s">
        <v>153</v>
      </c>
      <c r="D733" s="0" t="s">
        <v>551</v>
      </c>
      <c r="E733" s="0" t="n">
        <v>6</v>
      </c>
      <c r="F733" s="0" t="n">
        <v>2.95</v>
      </c>
      <c r="G733" s="7" t="str">
        <f aca="false">_xlfn.XLOOKUP(D733,Catalog!$B$2:$B$4102,Catalog!$A$2:$A$4102,"NOT IN CATALOG")</f>
        <v>NOT IN CATALOG</v>
      </c>
      <c r="H733" s="7" t="str">
        <f aca="false">_xlfn.IFNA(VLOOKUP(D733,Catalog!$B$2:$C$4102,2,FALSE()),"")</f>
        <v/>
      </c>
      <c r="I733" s="7" t="str">
        <f aca="false">HLOOKUP(C733,Regions!$B$1:$S$2,2,FALSE())</f>
        <v>EU</v>
      </c>
      <c r="J733" s="7" t="n">
        <f aca="false">E733*F733</f>
        <v>17.7</v>
      </c>
      <c r="K733" s="8" t="str">
        <f aca="false">IF(H733="","",1-F733/H733)</f>
        <v/>
      </c>
    </row>
    <row r="734" customFormat="false" ht="15" hidden="false" customHeight="false" outlineLevel="0" collapsed="false">
      <c r="A734" s="0" t="s">
        <v>545</v>
      </c>
      <c r="B734" s="6" t="n">
        <v>40883.6527777778</v>
      </c>
      <c r="C734" s="0" t="s">
        <v>153</v>
      </c>
      <c r="D734" s="0" t="s">
        <v>137</v>
      </c>
      <c r="E734" s="0" t="n">
        <v>12</v>
      </c>
      <c r="F734" s="0" t="n">
        <v>1.25</v>
      </c>
      <c r="G734" s="7" t="str">
        <f aca="false">_xlfn.XLOOKUP(D734,Catalog!$B$2:$B$4102,Catalog!$A$2:$A$4102,"NOT IN CATALOG")</f>
        <v>NOT IN CATALOG</v>
      </c>
      <c r="H734" s="7" t="str">
        <f aca="false">_xlfn.IFNA(VLOOKUP(D734,Catalog!$B$2:$C$4102,2,FALSE()),"")</f>
        <v/>
      </c>
      <c r="I734" s="7" t="str">
        <f aca="false">HLOOKUP(C734,Regions!$B$1:$S$2,2,FALSE())</f>
        <v>EU</v>
      </c>
      <c r="J734" s="7" t="n">
        <f aca="false">E734*F734</f>
        <v>15</v>
      </c>
      <c r="K734" s="8" t="str">
        <f aca="false">IF(H734="","",1-F734/H734)</f>
        <v/>
      </c>
    </row>
    <row r="735" customFormat="false" ht="15" hidden="false" customHeight="false" outlineLevel="0" collapsed="false">
      <c r="A735" s="0" t="s">
        <v>545</v>
      </c>
      <c r="B735" s="6" t="n">
        <v>40883.6527777778</v>
      </c>
      <c r="C735" s="0" t="s">
        <v>153</v>
      </c>
      <c r="D735" s="0" t="s">
        <v>39</v>
      </c>
      <c r="E735" s="0" t="n">
        <v>3</v>
      </c>
      <c r="F735" s="0" t="n">
        <v>18</v>
      </c>
      <c r="G735" s="7" t="str">
        <f aca="false">_xlfn.XLOOKUP(D735,Catalog!$B$2:$B$4102,Catalog!$A$2:$A$4102,"NOT IN CATALOG")</f>
        <v>POSTAGE</v>
      </c>
      <c r="H735" s="7" t="n">
        <f aca="false">_xlfn.IFNA(VLOOKUP(D735,Catalog!$B$2:$C$4102,2,FALSE()),"")</f>
        <v>18</v>
      </c>
      <c r="I735" s="7" t="str">
        <f aca="false">HLOOKUP(C735,Regions!$B$1:$S$2,2,FALSE())</f>
        <v>EU</v>
      </c>
      <c r="J735" s="7" t="n">
        <f aca="false">E735*F735</f>
        <v>54</v>
      </c>
      <c r="K735" s="8" t="n">
        <f aca="false">IF(H735="","",1-F735/H735)</f>
        <v>0</v>
      </c>
    </row>
    <row r="736" customFormat="false" ht="15" hidden="false" customHeight="false" outlineLevel="0" collapsed="false">
      <c r="A736" s="0" t="s">
        <v>552</v>
      </c>
      <c r="B736" s="6" t="n">
        <v>40883.6902777778</v>
      </c>
      <c r="C736" s="0" t="s">
        <v>81</v>
      </c>
      <c r="D736" s="0" t="s">
        <v>553</v>
      </c>
      <c r="E736" s="0" t="n">
        <v>12</v>
      </c>
      <c r="F736" s="0" t="n">
        <v>0.39</v>
      </c>
      <c r="G736" s="7" t="str">
        <f aca="false">_xlfn.XLOOKUP(D736,Catalog!$B$2:$B$4102,Catalog!$A$2:$A$4102,"NOT IN CATALOG")</f>
        <v>LARGE RED BABUSHKA NOTEBOOK</v>
      </c>
      <c r="H736" s="7" t="n">
        <f aca="false">_xlfn.IFNA(VLOOKUP(D736,Catalog!$B$2:$C$4102,2,FALSE()),"")</f>
        <v>1.25</v>
      </c>
      <c r="I736" s="7" t="str">
        <f aca="false">HLOOKUP(C736,Regions!$B$1:$S$2,2,FALSE())</f>
        <v>EU</v>
      </c>
      <c r="J736" s="7" t="n">
        <f aca="false">E736*F736</f>
        <v>4.68</v>
      </c>
      <c r="K736" s="8" t="n">
        <f aca="false">IF(H736="","",1-F736/H736)</f>
        <v>0.688</v>
      </c>
    </row>
    <row r="737" customFormat="false" ht="15" hidden="false" customHeight="false" outlineLevel="0" collapsed="false">
      <c r="A737" s="0" t="s">
        <v>552</v>
      </c>
      <c r="B737" s="6" t="n">
        <v>40883.6902777778</v>
      </c>
      <c r="C737" s="0" t="s">
        <v>81</v>
      </c>
      <c r="D737" s="0" t="s">
        <v>339</v>
      </c>
      <c r="E737" s="0" t="n">
        <v>24</v>
      </c>
      <c r="F737" s="0" t="n">
        <v>0.21</v>
      </c>
      <c r="G737" s="7" t="str">
        <f aca="false">_xlfn.XLOOKUP(D737,Catalog!$B$2:$B$4102,Catalog!$A$2:$A$4102,"NOT IN CATALOG")</f>
        <v>SMALL RED BABUSHKA NOTEBOOK</v>
      </c>
      <c r="H737" s="7" t="n">
        <f aca="false">_xlfn.IFNA(VLOOKUP(D737,Catalog!$B$2:$C$4102,2,FALSE()),"")</f>
        <v>0.85</v>
      </c>
      <c r="I737" s="7" t="str">
        <f aca="false">HLOOKUP(C737,Regions!$B$1:$S$2,2,FALSE())</f>
        <v>EU</v>
      </c>
      <c r="J737" s="7" t="n">
        <f aca="false">E737*F737</f>
        <v>5.04</v>
      </c>
      <c r="K737" s="8" t="n">
        <f aca="false">IF(H737="","",1-F737/H737)</f>
        <v>0.752941176470588</v>
      </c>
    </row>
    <row r="738" customFormat="false" ht="15" hidden="false" customHeight="false" outlineLevel="0" collapsed="false">
      <c r="A738" s="0" t="s">
        <v>552</v>
      </c>
      <c r="B738" s="6" t="n">
        <v>40883.6902777778</v>
      </c>
      <c r="C738" s="0" t="s">
        <v>81</v>
      </c>
      <c r="D738" s="0" t="s">
        <v>554</v>
      </c>
      <c r="E738" s="0" t="n">
        <v>12</v>
      </c>
      <c r="F738" s="0" t="n">
        <v>0.39</v>
      </c>
      <c r="G738" s="7" t="str">
        <f aca="false">_xlfn.XLOOKUP(D738,Catalog!$B$2:$B$4102,Catalog!$A$2:$A$4102,"NOT IN CATALOG")</f>
        <v>LARGE PURPLE BABUSHKA NOTEBOOK</v>
      </c>
      <c r="H738" s="7" t="n">
        <f aca="false">_xlfn.IFNA(VLOOKUP(D738,Catalog!$B$2:$C$4102,2,FALSE()),"")</f>
        <v>1.25</v>
      </c>
      <c r="I738" s="7" t="str">
        <f aca="false">HLOOKUP(C738,Regions!$B$1:$S$2,2,FALSE())</f>
        <v>EU</v>
      </c>
      <c r="J738" s="7" t="n">
        <f aca="false">E738*F738</f>
        <v>4.68</v>
      </c>
      <c r="K738" s="8" t="n">
        <f aca="false">IF(H738="","",1-F738/H738)</f>
        <v>0.688</v>
      </c>
    </row>
    <row r="739" customFormat="false" ht="15" hidden="false" customHeight="false" outlineLevel="0" collapsed="false">
      <c r="A739" s="0" t="s">
        <v>552</v>
      </c>
      <c r="B739" s="6" t="n">
        <v>40883.6902777778</v>
      </c>
      <c r="C739" s="0" t="s">
        <v>81</v>
      </c>
      <c r="D739" s="0" t="s">
        <v>555</v>
      </c>
      <c r="E739" s="0" t="n">
        <v>24</v>
      </c>
      <c r="F739" s="0" t="n">
        <v>0.21</v>
      </c>
      <c r="G739" s="7" t="str">
        <f aca="false">_xlfn.XLOOKUP(D739,Catalog!$B$2:$B$4102,Catalog!$A$2:$A$4102,"NOT IN CATALOG")</f>
        <v>SMALL PURPLE BABUSHKA NOTEBOOK</v>
      </c>
      <c r="H739" s="7" t="n">
        <f aca="false">_xlfn.IFNA(VLOOKUP(D739,Catalog!$B$2:$C$4102,2,FALSE()),"")</f>
        <v>0.85</v>
      </c>
      <c r="I739" s="7" t="str">
        <f aca="false">HLOOKUP(C739,Regions!$B$1:$S$2,2,FALSE())</f>
        <v>EU</v>
      </c>
      <c r="J739" s="7" t="n">
        <f aca="false">E739*F739</f>
        <v>5.04</v>
      </c>
      <c r="K739" s="8" t="n">
        <f aca="false">IF(H739="","",1-F739/H739)</f>
        <v>0.752941176470588</v>
      </c>
    </row>
    <row r="740" customFormat="false" ht="15" hidden="false" customHeight="false" outlineLevel="0" collapsed="false">
      <c r="A740" s="0" t="s">
        <v>552</v>
      </c>
      <c r="B740" s="6" t="n">
        <v>40883.6902777778</v>
      </c>
      <c r="C740" s="0" t="s">
        <v>81</v>
      </c>
      <c r="D740" s="0" t="s">
        <v>556</v>
      </c>
      <c r="E740" s="0" t="n">
        <v>12</v>
      </c>
      <c r="F740" s="0" t="n">
        <v>0.39</v>
      </c>
      <c r="G740" s="7" t="str">
        <f aca="false">_xlfn.XLOOKUP(D740,Catalog!$B$2:$B$4102,Catalog!$A$2:$A$4102,"NOT IN CATALOG")</f>
        <v>LARGE YELLOW BABUSHKA NOTEBOOK</v>
      </c>
      <c r="H740" s="7" t="n">
        <f aca="false">_xlfn.IFNA(VLOOKUP(D740,Catalog!$B$2:$C$4102,2,FALSE()),"")</f>
        <v>1.25</v>
      </c>
      <c r="I740" s="7" t="str">
        <f aca="false">HLOOKUP(C740,Regions!$B$1:$S$2,2,FALSE())</f>
        <v>EU</v>
      </c>
      <c r="J740" s="7" t="n">
        <f aca="false">E740*F740</f>
        <v>4.68</v>
      </c>
      <c r="K740" s="8" t="n">
        <f aca="false">IF(H740="","",1-F740/H740)</f>
        <v>0.688</v>
      </c>
    </row>
    <row r="741" customFormat="false" ht="15" hidden="false" customHeight="false" outlineLevel="0" collapsed="false">
      <c r="A741" s="0" t="s">
        <v>552</v>
      </c>
      <c r="B741" s="6" t="n">
        <v>40883.6902777778</v>
      </c>
      <c r="C741" s="0" t="s">
        <v>81</v>
      </c>
      <c r="D741" s="0" t="s">
        <v>340</v>
      </c>
      <c r="E741" s="0" t="n">
        <v>24</v>
      </c>
      <c r="F741" s="0" t="n">
        <v>0.21</v>
      </c>
      <c r="G741" s="7" t="str">
        <f aca="false">_xlfn.XLOOKUP(D741,Catalog!$B$2:$B$4102,Catalog!$A$2:$A$4102,"NOT IN CATALOG")</f>
        <v>SMALL YELLOW BABUSHKA NOTEBOOK</v>
      </c>
      <c r="H741" s="7" t="n">
        <f aca="false">_xlfn.IFNA(VLOOKUP(D741,Catalog!$B$2:$C$4102,2,FALSE()),"")</f>
        <v>0.85</v>
      </c>
      <c r="I741" s="7" t="str">
        <f aca="false">HLOOKUP(C741,Regions!$B$1:$S$2,2,FALSE())</f>
        <v>EU</v>
      </c>
      <c r="J741" s="7" t="n">
        <f aca="false">E741*F741</f>
        <v>5.04</v>
      </c>
      <c r="K741" s="8" t="n">
        <f aca="false">IF(H741="","",1-F741/H741)</f>
        <v>0.752941176470588</v>
      </c>
    </row>
    <row r="742" customFormat="false" ht="15" hidden="false" customHeight="false" outlineLevel="0" collapsed="false">
      <c r="A742" s="0" t="s">
        <v>552</v>
      </c>
      <c r="B742" s="6" t="n">
        <v>40883.6902777778</v>
      </c>
      <c r="C742" s="0" t="s">
        <v>81</v>
      </c>
      <c r="D742" s="0" t="s">
        <v>119</v>
      </c>
      <c r="E742" s="0" t="n">
        <v>24</v>
      </c>
      <c r="F742" s="0" t="n">
        <v>3.95</v>
      </c>
      <c r="G742" s="7" t="str">
        <f aca="false">_xlfn.XLOOKUP(D742,Catalog!$B$2:$B$4102,Catalog!$A$2:$A$4102,"NOT IN CATALOG")</f>
        <v>SET 7 BABUSHKA NESTING BOXES</v>
      </c>
      <c r="H742" s="7" t="n">
        <f aca="false">_xlfn.IFNA(VLOOKUP(D742,Catalog!$B$2:$C$4102,2,FALSE()),"")</f>
        <v>8.5</v>
      </c>
      <c r="I742" s="7" t="str">
        <f aca="false">HLOOKUP(C742,Regions!$B$1:$S$2,2,FALSE())</f>
        <v>EU</v>
      </c>
      <c r="J742" s="7" t="n">
        <f aca="false">E742*F742</f>
        <v>94.8</v>
      </c>
      <c r="K742" s="8" t="n">
        <f aca="false">IF(H742="","",1-F742/H742)</f>
        <v>0.535294117647059</v>
      </c>
    </row>
    <row r="743" customFormat="false" ht="15" hidden="false" customHeight="false" outlineLevel="0" collapsed="false">
      <c r="A743" s="0" t="s">
        <v>552</v>
      </c>
      <c r="B743" s="6" t="n">
        <v>40883.6902777778</v>
      </c>
      <c r="C743" s="0" t="s">
        <v>81</v>
      </c>
      <c r="D743" s="0" t="s">
        <v>557</v>
      </c>
      <c r="E743" s="0" t="n">
        <v>12</v>
      </c>
      <c r="F743" s="0" t="n">
        <v>0.39</v>
      </c>
      <c r="G743" s="7" t="str">
        <f aca="false">_xlfn.XLOOKUP(D743,Catalog!$B$2:$B$4102,Catalog!$A$2:$A$4102,"NOT IN CATALOG")</f>
        <v>PAPERWEIGHT CHILDHOOD MEMORIES</v>
      </c>
      <c r="H743" s="7" t="n">
        <f aca="false">_xlfn.IFNA(VLOOKUP(D743,Catalog!$B$2:$C$4102,2,FALSE()),"")</f>
        <v>2.55</v>
      </c>
      <c r="I743" s="7" t="str">
        <f aca="false">HLOOKUP(C743,Regions!$B$1:$S$2,2,FALSE())</f>
        <v>EU</v>
      </c>
      <c r="J743" s="7" t="n">
        <f aca="false">E743*F743</f>
        <v>4.68</v>
      </c>
      <c r="K743" s="8" t="n">
        <f aca="false">IF(H743="","",1-F743/H743)</f>
        <v>0.847058823529412</v>
      </c>
    </row>
    <row r="744" customFormat="false" ht="15" hidden="false" customHeight="false" outlineLevel="0" collapsed="false">
      <c r="A744" s="0" t="s">
        <v>552</v>
      </c>
      <c r="B744" s="6" t="n">
        <v>40883.6902777778</v>
      </c>
      <c r="C744" s="0" t="s">
        <v>81</v>
      </c>
      <c r="D744" s="0" t="s">
        <v>558</v>
      </c>
      <c r="E744" s="0" t="n">
        <v>6</v>
      </c>
      <c r="F744" s="0" t="n">
        <v>2.95</v>
      </c>
      <c r="G744" s="7" t="str">
        <f aca="false">_xlfn.XLOOKUP(D744,Catalog!$B$2:$B$4102,Catalog!$A$2:$A$4102,"NOT IN CATALOG")</f>
        <v>SKULLS STORAGE BOX LARGE</v>
      </c>
      <c r="H744" s="7" t="n">
        <f aca="false">_xlfn.IFNA(VLOOKUP(D744,Catalog!$B$2:$C$4102,2,FALSE()),"")</f>
        <v>2.95</v>
      </c>
      <c r="I744" s="7" t="str">
        <f aca="false">HLOOKUP(C744,Regions!$B$1:$S$2,2,FALSE())</f>
        <v>EU</v>
      </c>
      <c r="J744" s="7" t="n">
        <f aca="false">E744*F744</f>
        <v>17.7</v>
      </c>
      <c r="K744" s="8" t="n">
        <f aca="false">IF(H744="","",1-F744/H744)</f>
        <v>0</v>
      </c>
    </row>
    <row r="745" customFormat="false" ht="15" hidden="false" customHeight="false" outlineLevel="0" collapsed="false">
      <c r="A745" s="0" t="s">
        <v>552</v>
      </c>
      <c r="B745" s="6" t="n">
        <v>40883.6902777778</v>
      </c>
      <c r="C745" s="0" t="s">
        <v>81</v>
      </c>
      <c r="D745" s="0" t="s">
        <v>559</v>
      </c>
      <c r="E745" s="0" t="n">
        <v>6</v>
      </c>
      <c r="F745" s="0" t="n">
        <v>2.1</v>
      </c>
      <c r="G745" s="7" t="str">
        <f aca="false">_xlfn.XLOOKUP(D745,Catalog!$B$2:$B$4102,Catalog!$A$2:$A$4102,"NOT IN CATALOG")</f>
        <v>SKULLS STORAGE BOX SMALL</v>
      </c>
      <c r="H745" s="7" t="n">
        <f aca="false">_xlfn.IFNA(VLOOKUP(D745,Catalog!$B$2:$C$4102,2,FALSE()),"")</f>
        <v>2.1</v>
      </c>
      <c r="I745" s="7" t="str">
        <f aca="false">HLOOKUP(C745,Regions!$B$1:$S$2,2,FALSE())</f>
        <v>EU</v>
      </c>
      <c r="J745" s="7" t="n">
        <f aca="false">E745*F745</f>
        <v>12.6</v>
      </c>
      <c r="K745" s="8" t="n">
        <f aca="false">IF(H745="","",1-F745/H745)</f>
        <v>0</v>
      </c>
    </row>
    <row r="746" customFormat="false" ht="15" hidden="false" customHeight="false" outlineLevel="0" collapsed="false">
      <c r="A746" s="0" t="s">
        <v>552</v>
      </c>
      <c r="B746" s="6" t="n">
        <v>40883.6902777778</v>
      </c>
      <c r="C746" s="0" t="s">
        <v>81</v>
      </c>
      <c r="D746" s="0" t="s">
        <v>84</v>
      </c>
      <c r="E746" s="0" t="n">
        <v>10</v>
      </c>
      <c r="F746" s="0" t="n">
        <v>0.85</v>
      </c>
      <c r="G746" s="7" t="str">
        <f aca="false">_xlfn.XLOOKUP(D746,Catalog!$B$2:$B$4102,Catalog!$A$2:$A$4102,"NOT IN CATALOG")</f>
        <v>CHARLOTTE BAG SUKI DESIGN</v>
      </c>
      <c r="H746" s="7" t="n">
        <f aca="false">_xlfn.IFNA(VLOOKUP(D746,Catalog!$B$2:$C$4102,2,FALSE()),"")</f>
        <v>0.85</v>
      </c>
      <c r="I746" s="7" t="str">
        <f aca="false">HLOOKUP(C746,Regions!$B$1:$S$2,2,FALSE())</f>
        <v>EU</v>
      </c>
      <c r="J746" s="7" t="n">
        <f aca="false">E746*F746</f>
        <v>8.5</v>
      </c>
      <c r="K746" s="8" t="n">
        <f aca="false">IF(H746="","",1-F746/H746)</f>
        <v>0</v>
      </c>
    </row>
    <row r="747" customFormat="false" ht="15" hidden="false" customHeight="false" outlineLevel="0" collapsed="false">
      <c r="A747" s="0" t="s">
        <v>552</v>
      </c>
      <c r="B747" s="6" t="n">
        <v>40883.6902777778</v>
      </c>
      <c r="C747" s="0" t="s">
        <v>81</v>
      </c>
      <c r="D747" s="0" t="s">
        <v>560</v>
      </c>
      <c r="E747" s="0" t="n">
        <v>10</v>
      </c>
      <c r="F747" s="0" t="n">
        <v>1.65</v>
      </c>
      <c r="G747" s="7" t="str">
        <f aca="false">_xlfn.XLOOKUP(D747,Catalog!$B$2:$B$4102,Catalog!$A$2:$A$4102,"NOT IN CATALOG")</f>
        <v>SUKI SHOULDER BAG</v>
      </c>
      <c r="H747" s="7" t="n">
        <f aca="false">_xlfn.IFNA(VLOOKUP(D747,Catalog!$B$2:$C$4102,2,FALSE()),"")</f>
        <v>1.65</v>
      </c>
      <c r="I747" s="7" t="str">
        <f aca="false">HLOOKUP(C747,Regions!$B$1:$S$2,2,FALSE())</f>
        <v>EU</v>
      </c>
      <c r="J747" s="7" t="n">
        <f aca="false">E747*F747</f>
        <v>16.5</v>
      </c>
      <c r="K747" s="8" t="n">
        <f aca="false">IF(H747="","",1-F747/H747)</f>
        <v>0</v>
      </c>
    </row>
    <row r="748" customFormat="false" ht="15" hidden="false" customHeight="false" outlineLevel="0" collapsed="false">
      <c r="A748" s="0" t="s">
        <v>552</v>
      </c>
      <c r="B748" s="6" t="n">
        <v>40883.6902777778</v>
      </c>
      <c r="C748" s="0" t="s">
        <v>81</v>
      </c>
      <c r="D748" s="0" t="s">
        <v>561</v>
      </c>
      <c r="E748" s="0" t="n">
        <v>12</v>
      </c>
      <c r="F748" s="0" t="n">
        <v>0.42</v>
      </c>
      <c r="G748" s="7" t="str">
        <f aca="false">_xlfn.XLOOKUP(D748,Catalog!$B$2:$B$4102,Catalog!$A$2:$A$4102,"NOT IN CATALOG")</f>
        <v>CARD I LOVE LONDON</v>
      </c>
      <c r="H748" s="7" t="n">
        <f aca="false">_xlfn.IFNA(VLOOKUP(D748,Catalog!$B$2:$C$4102,2,FALSE()),"")</f>
        <v>0.42</v>
      </c>
      <c r="I748" s="7" t="str">
        <f aca="false">HLOOKUP(C748,Regions!$B$1:$S$2,2,FALSE())</f>
        <v>EU</v>
      </c>
      <c r="J748" s="7" t="n">
        <f aca="false">E748*F748</f>
        <v>5.04</v>
      </c>
      <c r="K748" s="8" t="n">
        <f aca="false">IF(H748="","",1-F748/H748)</f>
        <v>0</v>
      </c>
    </row>
    <row r="749" customFormat="false" ht="15" hidden="false" customHeight="false" outlineLevel="0" collapsed="false">
      <c r="A749" s="0" t="s">
        <v>552</v>
      </c>
      <c r="B749" s="6" t="n">
        <v>40883.6902777778</v>
      </c>
      <c r="C749" s="0" t="s">
        <v>81</v>
      </c>
      <c r="D749" s="0" t="s">
        <v>499</v>
      </c>
      <c r="E749" s="0" t="n">
        <v>12</v>
      </c>
      <c r="F749" s="0" t="n">
        <v>0.42</v>
      </c>
      <c r="G749" s="7" t="str">
        <f aca="false">_xlfn.XLOOKUP(D749,Catalog!$B$2:$B$4102,Catalog!$A$2:$A$4102,"NOT IN CATALOG")</f>
        <v>ROBOT BIRTHDAY CARD</v>
      </c>
      <c r="H749" s="7" t="n">
        <f aca="false">_xlfn.IFNA(VLOOKUP(D749,Catalog!$B$2:$C$4102,2,FALSE()),"")</f>
        <v>0.42</v>
      </c>
      <c r="I749" s="7" t="str">
        <f aca="false">HLOOKUP(C749,Regions!$B$1:$S$2,2,FALSE())</f>
        <v>EU</v>
      </c>
      <c r="J749" s="7" t="n">
        <f aca="false">E749*F749</f>
        <v>5.04</v>
      </c>
      <c r="K749" s="8" t="n">
        <f aca="false">IF(H749="","",1-F749/H749)</f>
        <v>0</v>
      </c>
    </row>
    <row r="750" customFormat="false" ht="15" hidden="false" customHeight="false" outlineLevel="0" collapsed="false">
      <c r="A750" s="0" t="s">
        <v>552</v>
      </c>
      <c r="B750" s="6" t="n">
        <v>40883.6902777778</v>
      </c>
      <c r="C750" s="0" t="s">
        <v>81</v>
      </c>
      <c r="D750" s="0" t="s">
        <v>562</v>
      </c>
      <c r="E750" s="0" t="n">
        <v>12</v>
      </c>
      <c r="F750" s="0" t="n">
        <v>0.42</v>
      </c>
      <c r="G750" s="7" t="str">
        <f aca="false">_xlfn.XLOOKUP(D750,Catalog!$B$2:$B$4102,Catalog!$A$2:$A$4102,"NOT IN CATALOG")</f>
        <v>RAINY LADIES BIRTHDAY CARD</v>
      </c>
      <c r="H750" s="7" t="n">
        <f aca="false">_xlfn.IFNA(VLOOKUP(D750,Catalog!$B$2:$C$4102,2,FALSE()),"")</f>
        <v>0.42</v>
      </c>
      <c r="I750" s="7" t="str">
        <f aca="false">HLOOKUP(C750,Regions!$B$1:$S$2,2,FALSE())</f>
        <v>EU</v>
      </c>
      <c r="J750" s="7" t="n">
        <f aca="false">E750*F750</f>
        <v>5.04</v>
      </c>
      <c r="K750" s="8" t="n">
        <f aca="false">IF(H750="","",1-F750/H750)</f>
        <v>0</v>
      </c>
    </row>
    <row r="751" customFormat="false" ht="15" hidden="false" customHeight="false" outlineLevel="0" collapsed="false">
      <c r="A751" s="0" t="s">
        <v>552</v>
      </c>
      <c r="B751" s="6" t="n">
        <v>40883.6902777778</v>
      </c>
      <c r="C751" s="0" t="s">
        <v>81</v>
      </c>
      <c r="D751" s="0" t="s">
        <v>234</v>
      </c>
      <c r="E751" s="0" t="n">
        <v>12</v>
      </c>
      <c r="F751" s="0" t="n">
        <v>0.42</v>
      </c>
      <c r="G751" s="7" t="str">
        <f aca="false">_xlfn.XLOOKUP(D751,Catalog!$B$2:$B$4102,Catalog!$A$2:$A$4102,"NOT IN CATALOG")</f>
        <v>TEA PARTY BIRTHDAY CARD</v>
      </c>
      <c r="H751" s="7" t="n">
        <f aca="false">_xlfn.IFNA(VLOOKUP(D751,Catalog!$B$2:$C$4102,2,FALSE()),"")</f>
        <v>0.42</v>
      </c>
      <c r="I751" s="7" t="str">
        <f aca="false">HLOOKUP(C751,Regions!$B$1:$S$2,2,FALSE())</f>
        <v>EU</v>
      </c>
      <c r="J751" s="7" t="n">
        <f aca="false">E751*F751</f>
        <v>5.04</v>
      </c>
      <c r="K751" s="8" t="n">
        <f aca="false">IF(H751="","",1-F751/H751)</f>
        <v>0</v>
      </c>
    </row>
    <row r="752" customFormat="false" ht="15" hidden="false" customHeight="false" outlineLevel="0" collapsed="false">
      <c r="A752" s="0" t="s">
        <v>552</v>
      </c>
      <c r="B752" s="6" t="n">
        <v>40883.6902777778</v>
      </c>
      <c r="C752" s="0" t="s">
        <v>81</v>
      </c>
      <c r="D752" s="0" t="s">
        <v>308</v>
      </c>
      <c r="E752" s="0" t="n">
        <v>12</v>
      </c>
      <c r="F752" s="0" t="n">
        <v>0.42</v>
      </c>
      <c r="G752" s="7" t="str">
        <f aca="false">_xlfn.XLOOKUP(D752,Catalog!$B$2:$B$4102,Catalog!$A$2:$A$4102,"NOT IN CATALOG")</f>
        <v>SPACEBOY BIRTHDAY CARD</v>
      </c>
      <c r="H752" s="7" t="n">
        <f aca="false">_xlfn.IFNA(VLOOKUP(D752,Catalog!$B$2:$C$4102,2,FALSE()),"")</f>
        <v>0.42</v>
      </c>
      <c r="I752" s="7" t="str">
        <f aca="false">HLOOKUP(C752,Regions!$B$1:$S$2,2,FALSE())</f>
        <v>EU</v>
      </c>
      <c r="J752" s="7" t="n">
        <f aca="false">E752*F752</f>
        <v>5.04</v>
      </c>
      <c r="K752" s="8" t="n">
        <f aca="false">IF(H752="","",1-F752/H752)</f>
        <v>0</v>
      </c>
    </row>
    <row r="753" customFormat="false" ht="15" hidden="false" customHeight="false" outlineLevel="0" collapsed="false">
      <c r="A753" s="0" t="s">
        <v>552</v>
      </c>
      <c r="B753" s="6" t="n">
        <v>40883.6902777778</v>
      </c>
      <c r="C753" s="0" t="s">
        <v>81</v>
      </c>
      <c r="D753" s="0" t="s">
        <v>563</v>
      </c>
      <c r="E753" s="0" t="n">
        <v>8</v>
      </c>
      <c r="F753" s="0" t="n">
        <v>1.95</v>
      </c>
      <c r="G753" s="7" t="str">
        <f aca="false">_xlfn.XLOOKUP(D753,Catalog!$B$2:$B$4102,Catalog!$A$2:$A$4102,"NOT IN CATALOG")</f>
        <v>NOT IN CATALOG</v>
      </c>
      <c r="H753" s="7" t="str">
        <f aca="false">_xlfn.IFNA(VLOOKUP(D753,Catalog!$B$2:$C$4102,2,FALSE()),"")</f>
        <v/>
      </c>
      <c r="I753" s="7" t="str">
        <f aca="false">HLOOKUP(C753,Regions!$B$1:$S$2,2,FALSE())</f>
        <v>EU</v>
      </c>
      <c r="J753" s="7" t="n">
        <f aca="false">E753*F753</f>
        <v>15.6</v>
      </c>
      <c r="K753" s="8" t="str">
        <f aca="false">IF(H753="","",1-F753/H753)</f>
        <v/>
      </c>
    </row>
    <row r="754" customFormat="false" ht="15" hidden="false" customHeight="false" outlineLevel="0" collapsed="false">
      <c r="A754" s="0" t="s">
        <v>552</v>
      </c>
      <c r="B754" s="6" t="n">
        <v>40883.6902777778</v>
      </c>
      <c r="C754" s="0" t="s">
        <v>81</v>
      </c>
      <c r="D754" s="0" t="s">
        <v>505</v>
      </c>
      <c r="E754" s="0" t="n">
        <v>6</v>
      </c>
      <c r="F754" s="0" t="n">
        <v>2.95</v>
      </c>
      <c r="G754" s="7" t="str">
        <f aca="false">_xlfn.XLOOKUP(D754,Catalog!$B$2:$B$4102,Catalog!$A$2:$A$4102,"NOT IN CATALOG")</f>
        <v>ROUND SNACK BOXES SET OF 4 SKULLS</v>
      </c>
      <c r="H754" s="7" t="n">
        <f aca="false">_xlfn.IFNA(VLOOKUP(D754,Catalog!$B$2:$C$4102,2,FALSE()),"")</f>
        <v>2.95</v>
      </c>
      <c r="I754" s="7" t="str">
        <f aca="false">HLOOKUP(C754,Regions!$B$1:$S$2,2,FALSE())</f>
        <v>EU</v>
      </c>
      <c r="J754" s="7" t="n">
        <f aca="false">E754*F754</f>
        <v>17.7</v>
      </c>
      <c r="K754" s="8" t="n">
        <f aca="false">IF(H754="","",1-F754/H754)</f>
        <v>0</v>
      </c>
    </row>
    <row r="755" customFormat="false" ht="15" hidden="false" customHeight="false" outlineLevel="0" collapsed="false">
      <c r="A755" s="0" t="s">
        <v>552</v>
      </c>
      <c r="B755" s="6" t="n">
        <v>40883.6902777778</v>
      </c>
      <c r="C755" s="0" t="s">
        <v>81</v>
      </c>
      <c r="D755" s="0" t="s">
        <v>39</v>
      </c>
      <c r="E755" s="0" t="n">
        <v>4</v>
      </c>
      <c r="F755" s="0" t="n">
        <v>18</v>
      </c>
      <c r="G755" s="7" t="str">
        <f aca="false">_xlfn.XLOOKUP(D755,Catalog!$B$2:$B$4102,Catalog!$A$2:$A$4102,"NOT IN CATALOG")</f>
        <v>POSTAGE</v>
      </c>
      <c r="H755" s="7" t="n">
        <f aca="false">_xlfn.IFNA(VLOOKUP(D755,Catalog!$B$2:$C$4102,2,FALSE()),"")</f>
        <v>18</v>
      </c>
      <c r="I755" s="7" t="str">
        <f aca="false">HLOOKUP(C755,Regions!$B$1:$S$2,2,FALSE())</f>
        <v>EU</v>
      </c>
      <c r="J755" s="7" t="n">
        <f aca="false">E755*F755</f>
        <v>72</v>
      </c>
      <c r="K755" s="8" t="n">
        <f aca="false">IF(H755="","",1-F755/H755)</f>
        <v>0</v>
      </c>
    </row>
    <row r="756" customFormat="false" ht="15" hidden="false" customHeight="false" outlineLevel="0" collapsed="false">
      <c r="A756" s="0" t="s">
        <v>564</v>
      </c>
      <c r="B756" s="6" t="n">
        <v>40884.3354166667</v>
      </c>
      <c r="C756" s="0" t="s">
        <v>29</v>
      </c>
      <c r="D756" s="0" t="s">
        <v>565</v>
      </c>
      <c r="E756" s="0" t="n">
        <v>12</v>
      </c>
      <c r="F756" s="0" t="n">
        <v>1.45</v>
      </c>
      <c r="G756" s="7" t="str">
        <f aca="false">_xlfn.XLOOKUP(D756,Catalog!$B$2:$B$4102,Catalog!$A$2:$A$4102,"NOT IN CATALOG")</f>
        <v>JAM MAKING SET PRINTED</v>
      </c>
      <c r="H756" s="7" t="n">
        <f aca="false">_xlfn.IFNA(VLOOKUP(D756,Catalog!$B$2:$C$4102,2,FALSE()),"")</f>
        <v>1.45</v>
      </c>
      <c r="I756" s="7" t="str">
        <f aca="false">HLOOKUP(C756,Regions!$B$1:$S$2,2,FALSE())</f>
        <v>EU</v>
      </c>
      <c r="J756" s="7" t="n">
        <f aca="false">E756*F756</f>
        <v>17.4</v>
      </c>
      <c r="K756" s="8" t="n">
        <f aca="false">IF(H756="","",1-F756/H756)</f>
        <v>0</v>
      </c>
    </row>
    <row r="757" customFormat="false" ht="15" hidden="false" customHeight="false" outlineLevel="0" collapsed="false">
      <c r="A757" s="0" t="s">
        <v>564</v>
      </c>
      <c r="B757" s="6" t="n">
        <v>40884.3354166667</v>
      </c>
      <c r="C757" s="0" t="s">
        <v>29</v>
      </c>
      <c r="D757" s="0" t="s">
        <v>566</v>
      </c>
      <c r="E757" s="0" t="n">
        <v>6</v>
      </c>
      <c r="F757" s="0" t="n">
        <v>2.55</v>
      </c>
      <c r="G757" s="7" t="str">
        <f aca="false">_xlfn.XLOOKUP(D757,Catalog!$B$2:$B$4102,Catalog!$A$2:$A$4102,"NOT IN CATALOG")</f>
        <v>RED RETROSPOT SUGAR JAM BOWL</v>
      </c>
      <c r="H757" s="7" t="n">
        <f aca="false">_xlfn.IFNA(VLOOKUP(D757,Catalog!$B$2:$C$4102,2,FALSE()),"")</f>
        <v>2.55</v>
      </c>
      <c r="I757" s="7" t="str">
        <f aca="false">HLOOKUP(C757,Regions!$B$1:$S$2,2,FALSE())</f>
        <v>EU</v>
      </c>
      <c r="J757" s="7" t="n">
        <f aca="false">E757*F757</f>
        <v>15.3</v>
      </c>
      <c r="K757" s="8" t="n">
        <f aca="false">IF(H757="","",1-F757/H757)</f>
        <v>0</v>
      </c>
    </row>
    <row r="758" customFormat="false" ht="15" hidden="false" customHeight="false" outlineLevel="0" collapsed="false">
      <c r="A758" s="0" t="s">
        <v>564</v>
      </c>
      <c r="B758" s="6" t="n">
        <v>40884.3354166667</v>
      </c>
      <c r="C758" s="0" t="s">
        <v>29</v>
      </c>
      <c r="D758" s="0" t="s">
        <v>444</v>
      </c>
      <c r="E758" s="0" t="n">
        <v>2</v>
      </c>
      <c r="F758" s="0" t="n">
        <v>8.5</v>
      </c>
      <c r="G758" s="7" t="str">
        <f aca="false">_xlfn.XLOOKUP(D758,Catalog!$B$2:$B$4102,Catalog!$A$2:$A$4102,"NOT IN CATALOG")</f>
        <v>MINT KITCHEN SCALES</v>
      </c>
      <c r="H758" s="7" t="n">
        <f aca="false">_xlfn.IFNA(VLOOKUP(D758,Catalog!$B$2:$C$4102,2,FALSE()),"")</f>
        <v>8.5</v>
      </c>
      <c r="I758" s="7" t="str">
        <f aca="false">HLOOKUP(C758,Regions!$B$1:$S$2,2,FALSE())</f>
        <v>EU</v>
      </c>
      <c r="J758" s="7" t="n">
        <f aca="false">E758*F758</f>
        <v>17</v>
      </c>
      <c r="K758" s="8" t="n">
        <f aca="false">IF(H758="","",1-F758/H758)</f>
        <v>0</v>
      </c>
    </row>
    <row r="759" customFormat="false" ht="15" hidden="false" customHeight="false" outlineLevel="0" collapsed="false">
      <c r="A759" s="0" t="s">
        <v>564</v>
      </c>
      <c r="B759" s="6" t="n">
        <v>40884.3354166667</v>
      </c>
      <c r="C759" s="0" t="s">
        <v>29</v>
      </c>
      <c r="D759" s="0" t="s">
        <v>381</v>
      </c>
      <c r="E759" s="0" t="n">
        <v>2</v>
      </c>
      <c r="F759" s="0" t="n">
        <v>8.5</v>
      </c>
      <c r="G759" s="7" t="str">
        <f aca="false">_xlfn.XLOOKUP(D759,Catalog!$B$2:$B$4102,Catalog!$A$2:$A$4102,"NOT IN CATALOG")</f>
        <v>RED KITCHEN SCALES</v>
      </c>
      <c r="H759" s="7" t="n">
        <f aca="false">_xlfn.IFNA(VLOOKUP(D759,Catalog!$B$2:$C$4102,2,FALSE()),"")</f>
        <v>8.5</v>
      </c>
      <c r="I759" s="7" t="str">
        <f aca="false">HLOOKUP(C759,Regions!$B$1:$S$2,2,FALSE())</f>
        <v>EU</v>
      </c>
      <c r="J759" s="7" t="n">
        <f aca="false">E759*F759</f>
        <v>17</v>
      </c>
      <c r="K759" s="8" t="n">
        <f aca="false">IF(H759="","",1-F759/H759)</f>
        <v>0</v>
      </c>
    </row>
    <row r="760" customFormat="false" ht="15" hidden="false" customHeight="false" outlineLevel="0" collapsed="false">
      <c r="A760" s="0" t="s">
        <v>564</v>
      </c>
      <c r="B760" s="6" t="n">
        <v>40884.3354166667</v>
      </c>
      <c r="C760" s="0" t="s">
        <v>29</v>
      </c>
      <c r="D760" s="0" t="s">
        <v>567</v>
      </c>
      <c r="E760" s="0" t="n">
        <v>12</v>
      </c>
      <c r="F760" s="0" t="n">
        <v>3.75</v>
      </c>
      <c r="G760" s="7" t="str">
        <f aca="false">_xlfn.XLOOKUP(D760,Catalog!$B$2:$B$4102,Catalog!$A$2:$A$4102,"NOT IN CATALOG")</f>
        <v>JAM MAKING SET WITH JARS</v>
      </c>
      <c r="H760" s="7" t="n">
        <f aca="false">_xlfn.IFNA(VLOOKUP(D760,Catalog!$B$2:$C$4102,2,FALSE()),"")</f>
        <v>4.25</v>
      </c>
      <c r="I760" s="7" t="str">
        <f aca="false">HLOOKUP(C760,Regions!$B$1:$S$2,2,FALSE())</f>
        <v>EU</v>
      </c>
      <c r="J760" s="7" t="n">
        <f aca="false">E760*F760</f>
        <v>45</v>
      </c>
      <c r="K760" s="8" t="n">
        <f aca="false">IF(H760="","",1-F760/H760)</f>
        <v>0.117647058823529</v>
      </c>
    </row>
    <row r="761" customFormat="false" ht="15" hidden="false" customHeight="false" outlineLevel="0" collapsed="false">
      <c r="A761" s="0" t="s">
        <v>564</v>
      </c>
      <c r="B761" s="6" t="n">
        <v>40884.3354166667</v>
      </c>
      <c r="C761" s="0" t="s">
        <v>29</v>
      </c>
      <c r="D761" s="0" t="s">
        <v>243</v>
      </c>
      <c r="E761" s="0" t="n">
        <v>12</v>
      </c>
      <c r="F761" s="0" t="n">
        <v>1.65</v>
      </c>
      <c r="G761" s="7" t="str">
        <f aca="false">_xlfn.XLOOKUP(D761,Catalog!$B$2:$B$4102,Catalog!$A$2:$A$4102,"NOT IN CATALOG")</f>
        <v>PLASTERS IN TIN WOODLAND ANIMALS</v>
      </c>
      <c r="H761" s="7" t="n">
        <f aca="false">_xlfn.IFNA(VLOOKUP(D761,Catalog!$B$2:$C$4102,2,FALSE()),"")</f>
        <v>1.65</v>
      </c>
      <c r="I761" s="7" t="str">
        <f aca="false">HLOOKUP(C761,Regions!$B$1:$S$2,2,FALSE())</f>
        <v>EU</v>
      </c>
      <c r="J761" s="7" t="n">
        <f aca="false">E761*F761</f>
        <v>19.8</v>
      </c>
      <c r="K761" s="8" t="n">
        <f aca="false">IF(H761="","",1-F761/H761)</f>
        <v>0</v>
      </c>
    </row>
    <row r="762" customFormat="false" ht="15" hidden="false" customHeight="false" outlineLevel="0" collapsed="false">
      <c r="A762" s="0" t="s">
        <v>564</v>
      </c>
      <c r="B762" s="6" t="n">
        <v>40884.3354166667</v>
      </c>
      <c r="C762" s="0" t="s">
        <v>29</v>
      </c>
      <c r="D762" s="0" t="s">
        <v>301</v>
      </c>
      <c r="E762" s="0" t="n">
        <v>4</v>
      </c>
      <c r="F762" s="0" t="n">
        <v>3.95</v>
      </c>
      <c r="G762" s="7" t="str">
        <f aca="false">_xlfn.XLOOKUP(D762,Catalog!$B$2:$B$4102,Catalog!$A$2:$A$4102,"NOT IN CATALOG")</f>
        <v>SET OF 6 SPICE TINS PANTRY DESIGN</v>
      </c>
      <c r="H762" s="7" t="n">
        <f aca="false">_xlfn.IFNA(VLOOKUP(D762,Catalog!$B$2:$C$4102,2,FALSE()),"")</f>
        <v>3.95</v>
      </c>
      <c r="I762" s="7" t="str">
        <f aca="false">HLOOKUP(C762,Regions!$B$1:$S$2,2,FALSE())</f>
        <v>EU</v>
      </c>
      <c r="J762" s="7" t="n">
        <f aca="false">E762*F762</f>
        <v>15.8</v>
      </c>
      <c r="K762" s="8" t="n">
        <f aca="false">IF(H762="","",1-F762/H762)</f>
        <v>0</v>
      </c>
    </row>
    <row r="763" customFormat="false" ht="15" hidden="false" customHeight="false" outlineLevel="0" collapsed="false">
      <c r="A763" s="0" t="s">
        <v>564</v>
      </c>
      <c r="B763" s="6" t="n">
        <v>40884.3354166667</v>
      </c>
      <c r="C763" s="0" t="s">
        <v>29</v>
      </c>
      <c r="D763" s="0" t="s">
        <v>426</v>
      </c>
      <c r="E763" s="0" t="n">
        <v>3</v>
      </c>
      <c r="F763" s="0" t="n">
        <v>4.95</v>
      </c>
      <c r="G763" s="7" t="str">
        <f aca="false">_xlfn.XLOOKUP(D763,Catalog!$B$2:$B$4102,Catalog!$A$2:$A$4102,"NOT IN CATALOG")</f>
        <v>NOT IN CATALOG</v>
      </c>
      <c r="H763" s="7" t="str">
        <f aca="false">_xlfn.IFNA(VLOOKUP(D763,Catalog!$B$2:$C$4102,2,FALSE()),"")</f>
        <v/>
      </c>
      <c r="I763" s="7" t="str">
        <f aca="false">HLOOKUP(C763,Regions!$B$1:$S$2,2,FALSE())</f>
        <v>EU</v>
      </c>
      <c r="J763" s="7" t="n">
        <f aca="false">E763*F763</f>
        <v>14.85</v>
      </c>
      <c r="K763" s="8" t="str">
        <f aca="false">IF(H763="","",1-F763/H763)</f>
        <v/>
      </c>
    </row>
    <row r="764" customFormat="false" ht="15" hidden="false" customHeight="false" outlineLevel="0" collapsed="false">
      <c r="A764" s="0" t="s">
        <v>564</v>
      </c>
      <c r="B764" s="6" t="n">
        <v>40884.3354166667</v>
      </c>
      <c r="C764" s="0" t="s">
        <v>29</v>
      </c>
      <c r="D764" s="0" t="s">
        <v>568</v>
      </c>
      <c r="E764" s="0" t="n">
        <v>12</v>
      </c>
      <c r="F764" s="0" t="n">
        <v>1.25</v>
      </c>
      <c r="G764" s="7" t="str">
        <f aca="false">_xlfn.XLOOKUP(D764,Catalog!$B$2:$B$4102,Catalog!$A$2:$A$4102,"NOT IN CATALOG")</f>
        <v>NOT IN CATALOG</v>
      </c>
      <c r="H764" s="7" t="str">
        <f aca="false">_xlfn.IFNA(VLOOKUP(D764,Catalog!$B$2:$C$4102,2,FALSE()),"")</f>
        <v/>
      </c>
      <c r="I764" s="7" t="str">
        <f aca="false">HLOOKUP(C764,Regions!$B$1:$S$2,2,FALSE())</f>
        <v>EU</v>
      </c>
      <c r="J764" s="7" t="n">
        <f aca="false">E764*F764</f>
        <v>15</v>
      </c>
      <c r="K764" s="8" t="str">
        <f aca="false">IF(H764="","",1-F764/H764)</f>
        <v/>
      </c>
    </row>
    <row r="765" customFormat="false" ht="15" hidden="false" customHeight="false" outlineLevel="0" collapsed="false">
      <c r="A765" s="0" t="s">
        <v>564</v>
      </c>
      <c r="B765" s="6" t="n">
        <v>40884.3354166667</v>
      </c>
      <c r="C765" s="0" t="s">
        <v>29</v>
      </c>
      <c r="D765" s="0" t="s">
        <v>569</v>
      </c>
      <c r="E765" s="0" t="n">
        <v>12</v>
      </c>
      <c r="F765" s="0" t="n">
        <v>1.25</v>
      </c>
      <c r="G765" s="7" t="str">
        <f aca="false">_xlfn.XLOOKUP(D765,Catalog!$B$2:$B$4102,Catalog!$A$2:$A$4102,"NOT IN CATALOG")</f>
        <v>RED RETROSPOT TEA CUP AND SAUCER</v>
      </c>
      <c r="H765" s="7" t="n">
        <f aca="false">_xlfn.IFNA(VLOOKUP(D765,Catalog!$B$2:$C$4102,2,FALSE()),"")</f>
        <v>3.75</v>
      </c>
      <c r="I765" s="7" t="str">
        <f aca="false">HLOOKUP(C765,Regions!$B$1:$S$2,2,FALSE())</f>
        <v>EU</v>
      </c>
      <c r="J765" s="7" t="n">
        <f aca="false">E765*F765</f>
        <v>15</v>
      </c>
      <c r="K765" s="8" t="n">
        <f aca="false">IF(H765="","",1-F765/H765)</f>
        <v>0.666666666666667</v>
      </c>
    </row>
    <row r="766" customFormat="false" ht="15" hidden="false" customHeight="false" outlineLevel="0" collapsed="false">
      <c r="A766" s="0" t="s">
        <v>564</v>
      </c>
      <c r="B766" s="6" t="n">
        <v>40884.3354166667</v>
      </c>
      <c r="C766" s="0" t="s">
        <v>29</v>
      </c>
      <c r="D766" s="0" t="s">
        <v>513</v>
      </c>
      <c r="E766" s="0" t="n">
        <v>24</v>
      </c>
      <c r="F766" s="0" t="n">
        <v>0.39</v>
      </c>
      <c r="G766" s="7" t="str">
        <f aca="false">_xlfn.XLOOKUP(D766,Catalog!$B$2:$B$4102,Catalog!$A$2:$A$4102,"NOT IN CATALOG")</f>
        <v>CHRISTMAS STAR WISH LIST CHALKBOARD</v>
      </c>
      <c r="H766" s="7" t="n">
        <f aca="false">_xlfn.IFNA(VLOOKUP(D766,Catalog!$B$2:$C$4102,2,FALSE()),"")</f>
        <v>0.85</v>
      </c>
      <c r="I766" s="7" t="str">
        <f aca="false">HLOOKUP(C766,Regions!$B$1:$S$2,2,FALSE())</f>
        <v>EU</v>
      </c>
      <c r="J766" s="7" t="n">
        <f aca="false">E766*F766</f>
        <v>9.36</v>
      </c>
      <c r="K766" s="8" t="n">
        <f aca="false">IF(H766="","",1-F766/H766)</f>
        <v>0.541176470588235</v>
      </c>
    </row>
    <row r="767" customFormat="false" ht="15" hidden="false" customHeight="false" outlineLevel="0" collapsed="false">
      <c r="A767" s="0" t="s">
        <v>564</v>
      </c>
      <c r="B767" s="6" t="n">
        <v>40884.3354166667</v>
      </c>
      <c r="C767" s="0" t="s">
        <v>29</v>
      </c>
      <c r="D767" s="0" t="s">
        <v>345</v>
      </c>
      <c r="E767" s="0" t="n">
        <v>16</v>
      </c>
      <c r="F767" s="0" t="n">
        <v>0.79</v>
      </c>
      <c r="G767" s="7" t="str">
        <f aca="false">_xlfn.XLOOKUP(D767,Catalog!$B$2:$B$4102,Catalog!$A$2:$A$4102,"NOT IN CATALOG")</f>
        <v>DANISH ROSE ROUND SEWING BOX</v>
      </c>
      <c r="H767" s="7" t="n">
        <f aca="false">_xlfn.IFNA(VLOOKUP(D767,Catalog!$B$2:$C$4102,2,FALSE()),"")</f>
        <v>4.25</v>
      </c>
      <c r="I767" s="7" t="str">
        <f aca="false">HLOOKUP(C767,Regions!$B$1:$S$2,2,FALSE())</f>
        <v>EU</v>
      </c>
      <c r="J767" s="7" t="n">
        <f aca="false">E767*F767</f>
        <v>12.64</v>
      </c>
      <c r="K767" s="8" t="n">
        <f aca="false">IF(H767="","",1-F767/H767)</f>
        <v>0.814117647058824</v>
      </c>
    </row>
    <row r="768" customFormat="false" ht="15" hidden="false" customHeight="false" outlineLevel="0" collapsed="false">
      <c r="A768" s="0" t="s">
        <v>564</v>
      </c>
      <c r="B768" s="6" t="n">
        <v>40884.3354166667</v>
      </c>
      <c r="C768" s="0" t="s">
        <v>29</v>
      </c>
      <c r="D768" s="0" t="s">
        <v>570</v>
      </c>
      <c r="E768" s="0" t="n">
        <v>16</v>
      </c>
      <c r="F768" s="0" t="n">
        <v>0.79</v>
      </c>
      <c r="G768" s="7" t="str">
        <f aca="false">_xlfn.XLOOKUP(D768,Catalog!$B$2:$B$4102,Catalog!$A$2:$A$4102,"NOT IN CATALOG")</f>
        <v>DANISH ROSE TRINKET TRAYS</v>
      </c>
      <c r="H768" s="7" t="n">
        <f aca="false">_xlfn.IFNA(VLOOKUP(D768,Catalog!$B$2:$C$4102,2,FALSE()),"")</f>
        <v>5.95</v>
      </c>
      <c r="I768" s="7" t="str">
        <f aca="false">HLOOKUP(C768,Regions!$B$1:$S$2,2,FALSE())</f>
        <v>EU</v>
      </c>
      <c r="J768" s="7" t="n">
        <f aca="false">E768*F768</f>
        <v>12.64</v>
      </c>
      <c r="K768" s="8" t="n">
        <f aca="false">IF(H768="","",1-F768/H768)</f>
        <v>0.867226890756303</v>
      </c>
    </row>
    <row r="769" customFormat="false" ht="15" hidden="false" customHeight="false" outlineLevel="0" collapsed="false">
      <c r="A769" s="0" t="s">
        <v>564</v>
      </c>
      <c r="B769" s="6" t="n">
        <v>40884.3354166667</v>
      </c>
      <c r="C769" s="0" t="s">
        <v>29</v>
      </c>
      <c r="D769" s="0" t="s">
        <v>571</v>
      </c>
      <c r="E769" s="0" t="n">
        <v>8</v>
      </c>
      <c r="F769" s="0" t="n">
        <v>0.83</v>
      </c>
      <c r="G769" s="7" t="str">
        <f aca="false">_xlfn.XLOOKUP(D769,Catalog!$B$2:$B$4102,Catalog!$A$2:$A$4102,"NOT IN CATALOG")</f>
        <v>NOT IN CATALOG</v>
      </c>
      <c r="H769" s="7" t="str">
        <f aca="false">_xlfn.IFNA(VLOOKUP(D769,Catalog!$B$2:$C$4102,2,FALSE()),"")</f>
        <v/>
      </c>
      <c r="I769" s="7" t="str">
        <f aca="false">HLOOKUP(C769,Regions!$B$1:$S$2,2,FALSE())</f>
        <v>EU</v>
      </c>
      <c r="J769" s="7" t="n">
        <f aca="false">E769*F769</f>
        <v>6.64</v>
      </c>
      <c r="K769" s="8" t="str">
        <f aca="false">IF(H769="","",1-F769/H769)</f>
        <v/>
      </c>
    </row>
    <row r="770" customFormat="false" ht="15" hidden="false" customHeight="false" outlineLevel="0" collapsed="false">
      <c r="A770" s="0" t="s">
        <v>564</v>
      </c>
      <c r="B770" s="6" t="n">
        <v>40884.3354166667</v>
      </c>
      <c r="C770" s="0" t="s">
        <v>29</v>
      </c>
      <c r="D770" s="0" t="s">
        <v>453</v>
      </c>
      <c r="E770" s="0" t="n">
        <v>8</v>
      </c>
      <c r="F770" s="0" t="n">
        <v>0.83</v>
      </c>
      <c r="G770" s="7" t="str">
        <f aca="false">_xlfn.XLOOKUP(D770,Catalog!$B$2:$B$4102,Catalog!$A$2:$A$4102,"NOT IN CATALOG")</f>
        <v>NOT IN CATALOG</v>
      </c>
      <c r="H770" s="7" t="str">
        <f aca="false">_xlfn.IFNA(VLOOKUP(D770,Catalog!$B$2:$C$4102,2,FALSE()),"")</f>
        <v/>
      </c>
      <c r="I770" s="7" t="str">
        <f aca="false">HLOOKUP(C770,Regions!$B$1:$S$2,2,FALSE())</f>
        <v>EU</v>
      </c>
      <c r="J770" s="7" t="n">
        <f aca="false">E770*F770</f>
        <v>6.64</v>
      </c>
      <c r="K770" s="8" t="str">
        <f aca="false">IF(H770="","",1-F770/H770)</f>
        <v/>
      </c>
    </row>
    <row r="771" customFormat="false" ht="15" hidden="false" customHeight="false" outlineLevel="0" collapsed="false">
      <c r="A771" s="0" t="s">
        <v>564</v>
      </c>
      <c r="B771" s="6" t="n">
        <v>40884.3354166667</v>
      </c>
      <c r="C771" s="0" t="s">
        <v>29</v>
      </c>
      <c r="D771" s="0" t="s">
        <v>482</v>
      </c>
      <c r="E771" s="0" t="n">
        <v>6</v>
      </c>
      <c r="F771" s="0" t="n">
        <v>2.95</v>
      </c>
      <c r="G771" s="7" t="str">
        <f aca="false">_xlfn.XLOOKUP(D771,Catalog!$B$2:$B$4102,Catalog!$A$2:$A$4102,"NOT IN CATALOG")</f>
        <v>ROUND SNACK BOXES SET OF4 WOODLAND</v>
      </c>
      <c r="H771" s="7" t="n">
        <f aca="false">_xlfn.IFNA(VLOOKUP(D771,Catalog!$B$2:$C$4102,2,FALSE()),"")</f>
        <v>2.95</v>
      </c>
      <c r="I771" s="7" t="str">
        <f aca="false">HLOOKUP(C771,Regions!$B$1:$S$2,2,FALSE())</f>
        <v>EU</v>
      </c>
      <c r="J771" s="7" t="n">
        <f aca="false">E771*F771</f>
        <v>17.7</v>
      </c>
      <c r="K771" s="8" t="n">
        <f aca="false">IF(H771="","",1-F771/H771)</f>
        <v>0</v>
      </c>
    </row>
    <row r="772" customFormat="false" ht="15" hidden="false" customHeight="false" outlineLevel="0" collapsed="false">
      <c r="A772" s="0" t="s">
        <v>564</v>
      </c>
      <c r="B772" s="6" t="n">
        <v>40884.3354166667</v>
      </c>
      <c r="C772" s="0" t="s">
        <v>29</v>
      </c>
      <c r="D772" s="0" t="s">
        <v>441</v>
      </c>
      <c r="E772" s="0" t="n">
        <v>6</v>
      </c>
      <c r="F772" s="0" t="n">
        <v>2.95</v>
      </c>
      <c r="G772" s="7" t="str">
        <f aca="false">_xlfn.XLOOKUP(D772,Catalog!$B$2:$B$4102,Catalog!$A$2:$A$4102,"NOT IN CATALOG")</f>
        <v>ROUND SNACK BOXES SET OF 4 FRUITS</v>
      </c>
      <c r="H772" s="7" t="n">
        <f aca="false">_xlfn.IFNA(VLOOKUP(D772,Catalog!$B$2:$C$4102,2,FALSE()),"")</f>
        <v>2.95</v>
      </c>
      <c r="I772" s="7" t="str">
        <f aca="false">HLOOKUP(C772,Regions!$B$1:$S$2,2,FALSE())</f>
        <v>EU</v>
      </c>
      <c r="J772" s="7" t="n">
        <f aca="false">E772*F772</f>
        <v>17.7</v>
      </c>
      <c r="K772" s="8" t="n">
        <f aca="false">IF(H772="","",1-F772/H772)</f>
        <v>0</v>
      </c>
    </row>
    <row r="773" customFormat="false" ht="15" hidden="false" customHeight="false" outlineLevel="0" collapsed="false">
      <c r="A773" s="0" t="s">
        <v>564</v>
      </c>
      <c r="B773" s="6" t="n">
        <v>40884.3354166667</v>
      </c>
      <c r="C773" s="0" t="s">
        <v>29</v>
      </c>
      <c r="D773" s="0" t="s">
        <v>222</v>
      </c>
      <c r="E773" s="0" t="n">
        <v>2</v>
      </c>
      <c r="F773" s="0" t="n">
        <v>8.5</v>
      </c>
      <c r="G773" s="7" t="str">
        <f aca="false">_xlfn.XLOOKUP(D773,Catalog!$B$2:$B$4102,Catalog!$A$2:$A$4102,"NOT IN CATALOG")</f>
        <v>IVORY KITCHEN SCALES</v>
      </c>
      <c r="H773" s="7" t="n">
        <f aca="false">_xlfn.IFNA(VLOOKUP(D773,Catalog!$B$2:$C$4102,2,FALSE()),"")</f>
        <v>8.5</v>
      </c>
      <c r="I773" s="7" t="str">
        <f aca="false">HLOOKUP(C773,Regions!$B$1:$S$2,2,FALSE())</f>
        <v>EU</v>
      </c>
      <c r="J773" s="7" t="n">
        <f aca="false">E773*F773</f>
        <v>17</v>
      </c>
      <c r="K773" s="8" t="n">
        <f aca="false">IF(H773="","",1-F773/H773)</f>
        <v>0</v>
      </c>
    </row>
    <row r="774" customFormat="false" ht="15" hidden="false" customHeight="false" outlineLevel="0" collapsed="false">
      <c r="A774" s="0" t="s">
        <v>564</v>
      </c>
      <c r="B774" s="6" t="n">
        <v>40884.3354166667</v>
      </c>
      <c r="C774" s="0" t="s">
        <v>29</v>
      </c>
      <c r="D774" s="0" t="s">
        <v>39</v>
      </c>
      <c r="E774" s="0" t="n">
        <v>5</v>
      </c>
      <c r="F774" s="0" t="n">
        <v>18</v>
      </c>
      <c r="G774" s="7" t="str">
        <f aca="false">_xlfn.XLOOKUP(D774,Catalog!$B$2:$B$4102,Catalog!$A$2:$A$4102,"NOT IN CATALOG")</f>
        <v>POSTAGE</v>
      </c>
      <c r="H774" s="7" t="n">
        <f aca="false">_xlfn.IFNA(VLOOKUP(D774,Catalog!$B$2:$C$4102,2,FALSE()),"")</f>
        <v>18</v>
      </c>
      <c r="I774" s="7" t="str">
        <f aca="false">HLOOKUP(C774,Regions!$B$1:$S$2,2,FALSE())</f>
        <v>EU</v>
      </c>
      <c r="J774" s="7" t="n">
        <f aca="false">E774*F774</f>
        <v>90</v>
      </c>
      <c r="K774" s="8" t="n">
        <f aca="false">IF(H774="","",1-F774/H774)</f>
        <v>0</v>
      </c>
    </row>
    <row r="775" customFormat="false" ht="15" hidden="false" customHeight="false" outlineLevel="0" collapsed="false">
      <c r="A775" s="0" t="s">
        <v>572</v>
      </c>
      <c r="B775" s="6" t="n">
        <v>40884.3381944444</v>
      </c>
      <c r="C775" s="0" t="s">
        <v>81</v>
      </c>
      <c r="D775" s="0" t="s">
        <v>535</v>
      </c>
      <c r="E775" s="0" t="n">
        <v>6</v>
      </c>
      <c r="F775" s="0" t="n">
        <v>2.89</v>
      </c>
      <c r="G775" s="7" t="str">
        <f aca="false">_xlfn.XLOOKUP(D775,Catalog!$B$2:$B$4102,Catalog!$A$2:$A$4102,"NOT IN CATALOG")</f>
        <v>NOT IN CATALOG</v>
      </c>
      <c r="H775" s="7" t="str">
        <f aca="false">_xlfn.IFNA(VLOOKUP(D775,Catalog!$B$2:$C$4102,2,FALSE()),"")</f>
        <v/>
      </c>
      <c r="I775" s="7" t="str">
        <f aca="false">HLOOKUP(C775,Regions!$B$1:$S$2,2,FALSE())</f>
        <v>EU</v>
      </c>
      <c r="J775" s="7" t="n">
        <f aca="false">E775*F775</f>
        <v>17.34</v>
      </c>
      <c r="K775" s="8" t="str">
        <f aca="false">IF(H775="","",1-F775/H775)</f>
        <v/>
      </c>
    </row>
    <row r="776" customFormat="false" ht="15" hidden="false" customHeight="false" outlineLevel="0" collapsed="false">
      <c r="A776" s="0" t="s">
        <v>572</v>
      </c>
      <c r="B776" s="6" t="n">
        <v>40884.3381944444</v>
      </c>
      <c r="C776" s="0" t="s">
        <v>81</v>
      </c>
      <c r="D776" s="0" t="s">
        <v>573</v>
      </c>
      <c r="E776" s="0" t="n">
        <v>48</v>
      </c>
      <c r="F776" s="0" t="n">
        <v>0.19</v>
      </c>
      <c r="G776" s="7" t="str">
        <f aca="false">_xlfn.XLOOKUP(D776,Catalog!$B$2:$B$4102,Catalog!$A$2:$A$4102,"NOT IN CATALOG")</f>
        <v>MINI JIGSAW CIRCUS PARADE</v>
      </c>
      <c r="H776" s="7" t="n">
        <f aca="false">_xlfn.IFNA(VLOOKUP(D776,Catalog!$B$2:$C$4102,2,FALSE()),"")</f>
        <v>0.42</v>
      </c>
      <c r="I776" s="7" t="str">
        <f aca="false">HLOOKUP(C776,Regions!$B$1:$S$2,2,FALSE())</f>
        <v>EU</v>
      </c>
      <c r="J776" s="7" t="n">
        <f aca="false">E776*F776</f>
        <v>9.12</v>
      </c>
      <c r="K776" s="8" t="n">
        <f aca="false">IF(H776="","",1-F776/H776)</f>
        <v>0.547619047619048</v>
      </c>
    </row>
    <row r="777" customFormat="false" ht="15" hidden="false" customHeight="false" outlineLevel="0" collapsed="false">
      <c r="A777" s="0" t="s">
        <v>572</v>
      </c>
      <c r="B777" s="6" t="n">
        <v>40884.3381944444</v>
      </c>
      <c r="C777" s="0" t="s">
        <v>81</v>
      </c>
      <c r="D777" s="0" t="s">
        <v>574</v>
      </c>
      <c r="E777" s="0" t="n">
        <v>48</v>
      </c>
      <c r="F777" s="0" t="n">
        <v>0.19</v>
      </c>
      <c r="G777" s="7" t="str">
        <f aca="false">_xlfn.XLOOKUP(D777,Catalog!$B$2:$B$4102,Catalog!$A$2:$A$4102,"NOT IN CATALOG")</f>
        <v>MINI JIGSAW SPACEBOY</v>
      </c>
      <c r="H777" s="7" t="n">
        <f aca="false">_xlfn.IFNA(VLOOKUP(D777,Catalog!$B$2:$C$4102,2,FALSE()),"")</f>
        <v>0.42</v>
      </c>
      <c r="I777" s="7" t="str">
        <f aca="false">HLOOKUP(C777,Regions!$B$1:$S$2,2,FALSE())</f>
        <v>EU</v>
      </c>
      <c r="J777" s="7" t="n">
        <f aca="false">E777*F777</f>
        <v>9.12</v>
      </c>
      <c r="K777" s="8" t="n">
        <f aca="false">IF(H777="","",1-F777/H777)</f>
        <v>0.547619047619048</v>
      </c>
    </row>
    <row r="778" customFormat="false" ht="15" hidden="false" customHeight="false" outlineLevel="0" collapsed="false">
      <c r="A778" s="0" t="s">
        <v>572</v>
      </c>
      <c r="B778" s="6" t="n">
        <v>40884.3381944444</v>
      </c>
      <c r="C778" s="0" t="s">
        <v>81</v>
      </c>
      <c r="D778" s="0" t="s">
        <v>236</v>
      </c>
      <c r="E778" s="0" t="n">
        <v>32</v>
      </c>
      <c r="F778" s="0" t="n">
        <v>3.75</v>
      </c>
      <c r="G778" s="7" t="str">
        <f aca="false">_xlfn.XLOOKUP(D778,Catalog!$B$2:$B$4102,Catalog!$A$2:$A$4102,"NOT IN CATALOG")</f>
        <v>NOT IN CATALOG</v>
      </c>
      <c r="H778" s="7" t="str">
        <f aca="false">_xlfn.IFNA(VLOOKUP(D778,Catalog!$B$2:$C$4102,2,FALSE()),"")</f>
        <v/>
      </c>
      <c r="I778" s="7" t="str">
        <f aca="false">HLOOKUP(C778,Regions!$B$1:$S$2,2,FALSE())</f>
        <v>EU</v>
      </c>
      <c r="J778" s="7" t="n">
        <f aca="false">E778*F778</f>
        <v>120</v>
      </c>
      <c r="K778" s="8" t="str">
        <f aca="false">IF(H778="","",1-F778/H778)</f>
        <v/>
      </c>
    </row>
    <row r="779" customFormat="false" ht="15" hidden="false" customHeight="false" outlineLevel="0" collapsed="false">
      <c r="A779" s="0" t="s">
        <v>572</v>
      </c>
      <c r="B779" s="6" t="n">
        <v>40884.3381944444</v>
      </c>
      <c r="C779" s="0" t="s">
        <v>81</v>
      </c>
      <c r="D779" s="0" t="s">
        <v>82</v>
      </c>
      <c r="E779" s="0" t="n">
        <v>24</v>
      </c>
      <c r="F779" s="0" t="n">
        <v>1.79</v>
      </c>
      <c r="G779" s="7" t="str">
        <f aca="false">_xlfn.XLOOKUP(D779,Catalog!$B$2:$B$4102,Catalog!$A$2:$A$4102,"NOT IN CATALOG")</f>
        <v>NOT IN CATALOG</v>
      </c>
      <c r="H779" s="7" t="str">
        <f aca="false">_xlfn.IFNA(VLOOKUP(D779,Catalog!$B$2:$C$4102,2,FALSE()),"")</f>
        <v/>
      </c>
      <c r="I779" s="7" t="str">
        <f aca="false">HLOOKUP(C779,Regions!$B$1:$S$2,2,FALSE())</f>
        <v>EU</v>
      </c>
      <c r="J779" s="7" t="n">
        <f aca="false">E779*F779</f>
        <v>42.96</v>
      </c>
      <c r="K779" s="8" t="str">
        <f aca="false">IF(H779="","",1-F779/H779)</f>
        <v/>
      </c>
    </row>
    <row r="780" customFormat="false" ht="15" hidden="false" customHeight="false" outlineLevel="0" collapsed="false">
      <c r="A780" s="0" t="s">
        <v>572</v>
      </c>
      <c r="B780" s="6" t="n">
        <v>40884.3381944444</v>
      </c>
      <c r="C780" s="0" t="s">
        <v>81</v>
      </c>
      <c r="D780" s="0" t="s">
        <v>270</v>
      </c>
      <c r="E780" s="0" t="n">
        <v>12</v>
      </c>
      <c r="F780" s="0" t="n">
        <v>4.95</v>
      </c>
      <c r="G780" s="7" t="str">
        <f aca="false">_xlfn.XLOOKUP(D780,Catalog!$B$2:$B$4102,Catalog!$A$2:$A$4102,"NOT IN CATALOG")</f>
        <v>NOT IN CATALOG</v>
      </c>
      <c r="H780" s="7" t="str">
        <f aca="false">_xlfn.IFNA(VLOOKUP(D780,Catalog!$B$2:$C$4102,2,FALSE()),"")</f>
        <v/>
      </c>
      <c r="I780" s="7" t="str">
        <f aca="false">HLOOKUP(C780,Regions!$B$1:$S$2,2,FALSE())</f>
        <v>EU</v>
      </c>
      <c r="J780" s="7" t="n">
        <f aca="false">E780*F780</f>
        <v>59.4</v>
      </c>
      <c r="K780" s="8" t="str">
        <f aca="false">IF(H780="","",1-F780/H780)</f>
        <v/>
      </c>
    </row>
    <row r="781" customFormat="false" ht="15" hidden="false" customHeight="false" outlineLevel="0" collapsed="false">
      <c r="A781" s="0" t="s">
        <v>572</v>
      </c>
      <c r="B781" s="6" t="n">
        <v>40884.3381944444</v>
      </c>
      <c r="C781" s="0" t="s">
        <v>81</v>
      </c>
      <c r="D781" s="0" t="s">
        <v>130</v>
      </c>
      <c r="E781" s="0" t="n">
        <v>12</v>
      </c>
      <c r="F781" s="0" t="n">
        <v>0.85</v>
      </c>
      <c r="G781" s="7" t="str">
        <f aca="false">_xlfn.XLOOKUP(D781,Catalog!$B$2:$B$4102,Catalog!$A$2:$A$4102,"NOT IN CATALOG")</f>
        <v>SET OF 20 VINTAGE CHRISTMAS NAPKINS</v>
      </c>
      <c r="H781" s="7" t="n">
        <f aca="false">_xlfn.IFNA(VLOOKUP(D781,Catalog!$B$2:$C$4102,2,FALSE()),"")</f>
        <v>0.85</v>
      </c>
      <c r="I781" s="7" t="str">
        <f aca="false">HLOOKUP(C781,Regions!$B$1:$S$2,2,FALSE())</f>
        <v>EU</v>
      </c>
      <c r="J781" s="7" t="n">
        <f aca="false">E781*F781</f>
        <v>10.2</v>
      </c>
      <c r="K781" s="8" t="n">
        <f aca="false">IF(H781="","",1-F781/H781)</f>
        <v>0</v>
      </c>
    </row>
    <row r="782" customFormat="false" ht="15" hidden="false" customHeight="false" outlineLevel="0" collapsed="false">
      <c r="A782" s="0" t="s">
        <v>572</v>
      </c>
      <c r="B782" s="6" t="n">
        <v>40884.3381944444</v>
      </c>
      <c r="C782" s="0" t="s">
        <v>81</v>
      </c>
      <c r="D782" s="0" t="s">
        <v>169</v>
      </c>
      <c r="E782" s="0" t="n">
        <v>12</v>
      </c>
      <c r="F782" s="0" t="n">
        <v>0.85</v>
      </c>
      <c r="G782" s="7" t="str">
        <f aca="false">_xlfn.XLOOKUP(D782,Catalog!$B$2:$B$4102,Catalog!$A$2:$A$4102,"NOT IN CATALOG")</f>
        <v>PACK OF 20 SPACEBOY NAPKINS</v>
      </c>
      <c r="H782" s="7" t="n">
        <f aca="false">_xlfn.IFNA(VLOOKUP(D782,Catalog!$B$2:$C$4102,2,FALSE()),"")</f>
        <v>0.85</v>
      </c>
      <c r="I782" s="7" t="str">
        <f aca="false">HLOOKUP(C782,Regions!$B$1:$S$2,2,FALSE())</f>
        <v>EU</v>
      </c>
      <c r="J782" s="7" t="n">
        <f aca="false">E782*F782</f>
        <v>10.2</v>
      </c>
      <c r="K782" s="8" t="n">
        <f aca="false">IF(H782="","",1-F782/H782)</f>
        <v>0</v>
      </c>
    </row>
    <row r="783" customFormat="false" ht="15" hidden="false" customHeight="false" outlineLevel="0" collapsed="false">
      <c r="A783" s="0" t="s">
        <v>572</v>
      </c>
      <c r="B783" s="6" t="n">
        <v>40884.3381944444</v>
      </c>
      <c r="C783" s="0" t="s">
        <v>81</v>
      </c>
      <c r="D783" s="0" t="s">
        <v>100</v>
      </c>
      <c r="E783" s="0" t="n">
        <v>3</v>
      </c>
      <c r="F783" s="0" t="n">
        <v>4.95</v>
      </c>
      <c r="G783" s="7" t="str">
        <f aca="false">_xlfn.XLOOKUP(D783,Catalog!$B$2:$B$4102,Catalog!$A$2:$A$4102,"NOT IN CATALOG")</f>
        <v>BAKING SET SPACEBOY DESIGN</v>
      </c>
      <c r="H783" s="7" t="n">
        <f aca="false">_xlfn.IFNA(VLOOKUP(D783,Catalog!$B$2:$C$4102,2,FALSE()),"")</f>
        <v>4.95</v>
      </c>
      <c r="I783" s="7" t="str">
        <f aca="false">HLOOKUP(C783,Regions!$B$1:$S$2,2,FALSE())</f>
        <v>EU</v>
      </c>
      <c r="J783" s="7" t="n">
        <f aca="false">E783*F783</f>
        <v>14.85</v>
      </c>
      <c r="K783" s="8" t="n">
        <f aca="false">IF(H783="","",1-F783/H783)</f>
        <v>0</v>
      </c>
    </row>
    <row r="784" customFormat="false" ht="15" hidden="false" customHeight="false" outlineLevel="0" collapsed="false">
      <c r="A784" s="0" t="s">
        <v>572</v>
      </c>
      <c r="B784" s="6" t="n">
        <v>40884.3381944444</v>
      </c>
      <c r="C784" s="0" t="s">
        <v>81</v>
      </c>
      <c r="D784" s="0" t="s">
        <v>575</v>
      </c>
      <c r="E784" s="0" t="n">
        <v>6</v>
      </c>
      <c r="F784" s="0" t="n">
        <v>2.08</v>
      </c>
      <c r="G784" s="7" t="str">
        <f aca="false">_xlfn.XLOOKUP(D784,Catalog!$B$2:$B$4102,Catalog!$A$2:$A$4102,"NOT IN CATALOG")</f>
        <v>NOT IN CATALOG</v>
      </c>
      <c r="H784" s="7" t="str">
        <f aca="false">_xlfn.IFNA(VLOOKUP(D784,Catalog!$B$2:$C$4102,2,FALSE()),"")</f>
        <v/>
      </c>
      <c r="I784" s="7" t="str">
        <f aca="false">HLOOKUP(C784,Regions!$B$1:$S$2,2,FALSE())</f>
        <v>EU</v>
      </c>
      <c r="J784" s="7" t="n">
        <f aca="false">E784*F784</f>
        <v>12.48</v>
      </c>
      <c r="K784" s="8" t="str">
        <f aca="false">IF(H784="","",1-F784/H784)</f>
        <v/>
      </c>
    </row>
    <row r="785" customFormat="false" ht="15" hidden="false" customHeight="false" outlineLevel="0" collapsed="false">
      <c r="A785" s="0" t="s">
        <v>572</v>
      </c>
      <c r="B785" s="6" t="n">
        <v>40884.3381944444</v>
      </c>
      <c r="C785" s="0" t="s">
        <v>81</v>
      </c>
      <c r="D785" s="0" t="s">
        <v>481</v>
      </c>
      <c r="E785" s="0" t="n">
        <v>8</v>
      </c>
      <c r="F785" s="0" t="n">
        <v>1.95</v>
      </c>
      <c r="G785" s="7" t="str">
        <f aca="false">_xlfn.XLOOKUP(D785,Catalog!$B$2:$B$4102,Catalog!$A$2:$A$4102,"NOT IN CATALOG")</f>
        <v>CHILDRENS APRON SPACEBOY DESIGN</v>
      </c>
      <c r="H785" s="7" t="n">
        <f aca="false">_xlfn.IFNA(VLOOKUP(D785,Catalog!$B$2:$C$4102,2,FALSE()),"")</f>
        <v>1.95</v>
      </c>
      <c r="I785" s="7" t="str">
        <f aca="false">HLOOKUP(C785,Regions!$B$1:$S$2,2,FALSE())</f>
        <v>EU</v>
      </c>
      <c r="J785" s="7" t="n">
        <f aca="false">E785*F785</f>
        <v>15.6</v>
      </c>
      <c r="K785" s="8" t="n">
        <f aca="false">IF(H785="","",1-F785/H785)</f>
        <v>0</v>
      </c>
    </row>
    <row r="786" customFormat="false" ht="15" hidden="false" customHeight="false" outlineLevel="0" collapsed="false">
      <c r="A786" s="0" t="s">
        <v>572</v>
      </c>
      <c r="B786" s="6" t="n">
        <v>40884.3381944444</v>
      </c>
      <c r="C786" s="0" t="s">
        <v>81</v>
      </c>
      <c r="D786" s="0" t="s">
        <v>39</v>
      </c>
      <c r="E786" s="0" t="n">
        <v>3</v>
      </c>
      <c r="F786" s="0" t="n">
        <v>18</v>
      </c>
      <c r="G786" s="7" t="str">
        <f aca="false">_xlfn.XLOOKUP(D786,Catalog!$B$2:$B$4102,Catalog!$A$2:$A$4102,"NOT IN CATALOG")</f>
        <v>POSTAGE</v>
      </c>
      <c r="H786" s="7" t="n">
        <f aca="false">_xlfn.IFNA(VLOOKUP(D786,Catalog!$B$2:$C$4102,2,FALSE()),"")</f>
        <v>18</v>
      </c>
      <c r="I786" s="7" t="str">
        <f aca="false">HLOOKUP(C786,Regions!$B$1:$S$2,2,FALSE())</f>
        <v>EU</v>
      </c>
      <c r="J786" s="7" t="n">
        <f aca="false">E786*F786</f>
        <v>54</v>
      </c>
      <c r="K786" s="8" t="n">
        <f aca="false">IF(H786="","",1-F786/H786)</f>
        <v>0</v>
      </c>
    </row>
    <row r="787" customFormat="false" ht="15" hidden="false" customHeight="false" outlineLevel="0" collapsed="false">
      <c r="A787" s="0" t="s">
        <v>572</v>
      </c>
      <c r="B787" s="6" t="n">
        <v>40884.3381944444</v>
      </c>
      <c r="C787" s="0" t="s">
        <v>81</v>
      </c>
      <c r="D787" s="0" t="s">
        <v>257</v>
      </c>
      <c r="E787" s="0" t="n">
        <v>8</v>
      </c>
      <c r="F787" s="0" t="n">
        <v>1.95</v>
      </c>
      <c r="G787" s="7" t="str">
        <f aca="false">_xlfn.XLOOKUP(D787,Catalog!$B$2:$B$4102,Catalog!$A$2:$A$4102,"NOT IN CATALOG")</f>
        <v>RETROSPOT CHILDRENS APRON</v>
      </c>
      <c r="H787" s="7" t="n">
        <f aca="false">_xlfn.IFNA(VLOOKUP(D787,Catalog!$B$2:$C$4102,2,FALSE()),"")</f>
        <v>1.95</v>
      </c>
      <c r="I787" s="7" t="str">
        <f aca="false">HLOOKUP(C787,Regions!$B$1:$S$2,2,FALSE())</f>
        <v>EU</v>
      </c>
      <c r="J787" s="7" t="n">
        <f aca="false">E787*F787</f>
        <v>15.6</v>
      </c>
      <c r="K787" s="8" t="n">
        <f aca="false">IF(H787="","",1-F787/H787)</f>
        <v>0</v>
      </c>
    </row>
    <row r="788" customFormat="false" ht="15" hidden="false" customHeight="false" outlineLevel="0" collapsed="false">
      <c r="A788" s="0" t="s">
        <v>572</v>
      </c>
      <c r="B788" s="6" t="n">
        <v>40884.3381944444</v>
      </c>
      <c r="C788" s="0" t="s">
        <v>81</v>
      </c>
      <c r="D788" s="0" t="s">
        <v>262</v>
      </c>
      <c r="E788" s="0" t="n">
        <v>12</v>
      </c>
      <c r="F788" s="0" t="n">
        <v>2.55</v>
      </c>
      <c r="G788" s="7" t="str">
        <f aca="false">_xlfn.XLOOKUP(D788,Catalog!$B$2:$B$4102,Catalog!$A$2:$A$4102,"NOT IN CATALOG")</f>
        <v>LUNCH BOX WITH CUTLERY RETROSPOT</v>
      </c>
      <c r="H788" s="7" t="n">
        <f aca="false">_xlfn.IFNA(VLOOKUP(D788,Catalog!$B$2:$C$4102,2,FALSE()),"")</f>
        <v>2.55</v>
      </c>
      <c r="I788" s="7" t="str">
        <f aca="false">HLOOKUP(C788,Regions!$B$1:$S$2,2,FALSE())</f>
        <v>EU</v>
      </c>
      <c r="J788" s="7" t="n">
        <f aca="false">E788*F788</f>
        <v>30.6</v>
      </c>
      <c r="K788" s="8" t="n">
        <f aca="false">IF(H788="","",1-F788/H788)</f>
        <v>0</v>
      </c>
    </row>
    <row r="789" customFormat="false" ht="15" hidden="false" customHeight="false" outlineLevel="0" collapsed="false">
      <c r="A789" s="0" t="s">
        <v>572</v>
      </c>
      <c r="B789" s="6" t="n">
        <v>40884.3381944444</v>
      </c>
      <c r="C789" s="0" t="s">
        <v>81</v>
      </c>
      <c r="D789" s="0" t="s">
        <v>264</v>
      </c>
      <c r="E789" s="0" t="n">
        <v>12</v>
      </c>
      <c r="F789" s="0" t="n">
        <v>2.55</v>
      </c>
      <c r="G789" s="7" t="str">
        <f aca="false">_xlfn.XLOOKUP(D789,Catalog!$B$2:$B$4102,Catalog!$A$2:$A$4102,"NOT IN CATALOG")</f>
        <v>STRAWBERRY LUNCH BOX WITH CUTLERY</v>
      </c>
      <c r="H789" s="7" t="n">
        <f aca="false">_xlfn.IFNA(VLOOKUP(D789,Catalog!$B$2:$C$4102,2,FALSE()),"")</f>
        <v>2.55</v>
      </c>
      <c r="I789" s="7" t="str">
        <f aca="false">HLOOKUP(C789,Regions!$B$1:$S$2,2,FALSE())</f>
        <v>EU</v>
      </c>
      <c r="J789" s="7" t="n">
        <f aca="false">E789*F789</f>
        <v>30.6</v>
      </c>
      <c r="K789" s="8" t="n">
        <f aca="false">IF(H789="","",1-F789/H789)</f>
        <v>0</v>
      </c>
    </row>
    <row r="790" customFormat="false" ht="15" hidden="false" customHeight="false" outlineLevel="0" collapsed="false">
      <c r="A790" s="0" t="s">
        <v>572</v>
      </c>
      <c r="B790" s="6" t="n">
        <v>40884.3381944444</v>
      </c>
      <c r="C790" s="0" t="s">
        <v>81</v>
      </c>
      <c r="D790" s="0" t="s">
        <v>482</v>
      </c>
      <c r="E790" s="0" t="n">
        <v>12</v>
      </c>
      <c r="F790" s="0" t="n">
        <v>2.95</v>
      </c>
      <c r="G790" s="7" t="str">
        <f aca="false">_xlfn.XLOOKUP(D790,Catalog!$B$2:$B$4102,Catalog!$A$2:$A$4102,"NOT IN CATALOG")</f>
        <v>ROUND SNACK BOXES SET OF4 WOODLAND</v>
      </c>
      <c r="H790" s="7" t="n">
        <f aca="false">_xlfn.IFNA(VLOOKUP(D790,Catalog!$B$2:$C$4102,2,FALSE()),"")</f>
        <v>2.95</v>
      </c>
      <c r="I790" s="7" t="str">
        <f aca="false">HLOOKUP(C790,Regions!$B$1:$S$2,2,FALSE())</f>
        <v>EU</v>
      </c>
      <c r="J790" s="7" t="n">
        <f aca="false">E790*F790</f>
        <v>35.4</v>
      </c>
      <c r="K790" s="8" t="n">
        <f aca="false">IF(H790="","",1-F790/H790)</f>
        <v>0</v>
      </c>
    </row>
    <row r="791" customFormat="false" ht="15" hidden="false" customHeight="false" outlineLevel="0" collapsed="false">
      <c r="A791" s="0" t="s">
        <v>572</v>
      </c>
      <c r="B791" s="6" t="n">
        <v>40884.3381944444</v>
      </c>
      <c r="C791" s="0" t="s">
        <v>81</v>
      </c>
      <c r="D791" s="0" t="s">
        <v>576</v>
      </c>
      <c r="E791" s="0" t="n">
        <v>12</v>
      </c>
      <c r="F791" s="0" t="n">
        <v>4.15</v>
      </c>
      <c r="G791" s="7" t="str">
        <f aca="false">_xlfn.XLOOKUP(D791,Catalog!$B$2:$B$4102,Catalog!$A$2:$A$4102,"NOT IN CATALOG")</f>
        <v>NOT IN CATALOG</v>
      </c>
      <c r="H791" s="7" t="str">
        <f aca="false">_xlfn.IFNA(VLOOKUP(D791,Catalog!$B$2:$C$4102,2,FALSE()),"")</f>
        <v/>
      </c>
      <c r="I791" s="7" t="str">
        <f aca="false">HLOOKUP(C791,Regions!$B$1:$S$2,2,FALSE())</f>
        <v>EU</v>
      </c>
      <c r="J791" s="7" t="n">
        <f aca="false">E791*F791</f>
        <v>49.8</v>
      </c>
      <c r="K791" s="8" t="str">
        <f aca="false">IF(H791="","",1-F791/H791)</f>
        <v/>
      </c>
    </row>
    <row r="792" customFormat="false" ht="15" hidden="false" customHeight="false" outlineLevel="0" collapsed="false">
      <c r="A792" s="0" t="s">
        <v>572</v>
      </c>
      <c r="B792" s="6" t="n">
        <v>40884.3381944444</v>
      </c>
      <c r="C792" s="0" t="s">
        <v>81</v>
      </c>
      <c r="D792" s="0" t="s">
        <v>65</v>
      </c>
      <c r="E792" s="0" t="n">
        <v>18</v>
      </c>
      <c r="F792" s="0" t="n">
        <v>3.75</v>
      </c>
      <c r="G792" s="7" t="str">
        <f aca="false">_xlfn.XLOOKUP(D792,Catalog!$B$2:$B$4102,Catalog!$A$2:$A$4102,"NOT IN CATALOG")</f>
        <v>ALARM CLOCK BAKELIKE PINK</v>
      </c>
      <c r="H792" s="7" t="n">
        <f aca="false">_xlfn.IFNA(VLOOKUP(D792,Catalog!$B$2:$C$4102,2,FALSE()),"")</f>
        <v>3.75</v>
      </c>
      <c r="I792" s="7" t="str">
        <f aca="false">HLOOKUP(C792,Regions!$B$1:$S$2,2,FALSE())</f>
        <v>EU</v>
      </c>
      <c r="J792" s="7" t="n">
        <f aca="false">E792*F792</f>
        <v>67.5</v>
      </c>
      <c r="K792" s="8" t="n">
        <f aca="false">IF(H792="","",1-F792/H792)</f>
        <v>0</v>
      </c>
    </row>
    <row r="793" customFormat="false" ht="15" hidden="false" customHeight="false" outlineLevel="0" collapsed="false">
      <c r="A793" s="0" t="s">
        <v>572</v>
      </c>
      <c r="B793" s="6" t="n">
        <v>40884.3381944444</v>
      </c>
      <c r="C793" s="0" t="s">
        <v>81</v>
      </c>
      <c r="D793" s="0" t="s">
        <v>64</v>
      </c>
      <c r="E793" s="0" t="n">
        <v>24</v>
      </c>
      <c r="F793" s="0" t="n">
        <v>3.75</v>
      </c>
      <c r="G793" s="7" t="str">
        <f aca="false">_xlfn.XLOOKUP(D793,Catalog!$B$2:$B$4102,Catalog!$A$2:$A$4102,"NOT IN CATALOG")</f>
        <v>ALARM CLOCK BAKELIKE GREEN</v>
      </c>
      <c r="H793" s="7" t="n">
        <f aca="false">_xlfn.IFNA(VLOOKUP(D793,Catalog!$B$2:$C$4102,2,FALSE()),"")</f>
        <v>3.75</v>
      </c>
      <c r="I793" s="7" t="str">
        <f aca="false">HLOOKUP(C793,Regions!$B$1:$S$2,2,FALSE())</f>
        <v>EU</v>
      </c>
      <c r="J793" s="7" t="n">
        <f aca="false">E793*F793</f>
        <v>90</v>
      </c>
      <c r="K793" s="8" t="n">
        <f aca="false">IF(H793="","",1-F793/H793)</f>
        <v>0</v>
      </c>
    </row>
    <row r="794" customFormat="false" ht="15" hidden="false" customHeight="false" outlineLevel="0" collapsed="false">
      <c r="A794" s="0" t="s">
        <v>577</v>
      </c>
      <c r="B794" s="6" t="n">
        <v>40884.3597222222</v>
      </c>
      <c r="C794" s="0" t="s">
        <v>41</v>
      </c>
      <c r="D794" s="0" t="s">
        <v>578</v>
      </c>
      <c r="E794" s="0" t="n">
        <v>12</v>
      </c>
      <c r="F794" s="0" t="n">
        <v>3.75</v>
      </c>
      <c r="G794" s="7" t="str">
        <f aca="false">_xlfn.XLOOKUP(D794,Catalog!$B$2:$B$4102,Catalog!$A$2:$A$4102,"NOT IN CATALOG")</f>
        <v>VINTAGE SNAKES &amp; LADDERS</v>
      </c>
      <c r="H794" s="7" t="n">
        <f aca="false">_xlfn.IFNA(VLOOKUP(D794,Catalog!$B$2:$C$4102,2,FALSE()),"")</f>
        <v>3.75</v>
      </c>
      <c r="I794" s="7" t="str">
        <f aca="false">HLOOKUP(C794,Regions!$B$1:$S$2,2,FALSE())</f>
        <v>EU</v>
      </c>
      <c r="J794" s="7" t="n">
        <f aca="false">E794*F794</f>
        <v>45</v>
      </c>
      <c r="K794" s="8" t="n">
        <f aca="false">IF(H794="","",1-F794/H794)</f>
        <v>0</v>
      </c>
    </row>
    <row r="795" customFormat="false" ht="15" hidden="false" customHeight="false" outlineLevel="0" collapsed="false">
      <c r="A795" s="0" t="s">
        <v>577</v>
      </c>
      <c r="B795" s="6" t="n">
        <v>40884.3597222222</v>
      </c>
      <c r="C795" s="0" t="s">
        <v>41</v>
      </c>
      <c r="D795" s="0" t="s">
        <v>98</v>
      </c>
      <c r="E795" s="0" t="n">
        <v>12</v>
      </c>
      <c r="F795" s="0" t="n">
        <v>4.95</v>
      </c>
      <c r="G795" s="7" t="str">
        <f aca="false">_xlfn.XLOOKUP(D795,Catalog!$B$2:$B$4102,Catalog!$A$2:$A$4102,"NOT IN CATALOG")</f>
        <v>BAKING SET 9 PIECE RETROSPOT</v>
      </c>
      <c r="H795" s="7" t="n">
        <f aca="false">_xlfn.IFNA(VLOOKUP(D795,Catalog!$B$2:$C$4102,2,FALSE()),"")</f>
        <v>4.95</v>
      </c>
      <c r="I795" s="7" t="str">
        <f aca="false">HLOOKUP(C795,Regions!$B$1:$S$2,2,FALSE())</f>
        <v>EU</v>
      </c>
      <c r="J795" s="7" t="n">
        <f aca="false">E795*F795</f>
        <v>59.4</v>
      </c>
      <c r="K795" s="8" t="n">
        <f aca="false">IF(H795="","",1-F795/H795)</f>
        <v>0</v>
      </c>
    </row>
    <row r="796" customFormat="false" ht="15" hidden="false" customHeight="false" outlineLevel="0" collapsed="false">
      <c r="A796" s="0" t="s">
        <v>577</v>
      </c>
      <c r="B796" s="6" t="n">
        <v>40884.3597222222</v>
      </c>
      <c r="C796" s="0" t="s">
        <v>41</v>
      </c>
      <c r="D796" s="0" t="s">
        <v>99</v>
      </c>
      <c r="E796" s="0" t="n">
        <v>9</v>
      </c>
      <c r="F796" s="0" t="n">
        <v>4.95</v>
      </c>
      <c r="G796" s="7" t="str">
        <f aca="false">_xlfn.XLOOKUP(D796,Catalog!$B$2:$B$4102,Catalog!$A$2:$A$4102,"NOT IN CATALOG")</f>
        <v>RETRO SPOT TEA SET CERAMIC 11 PC</v>
      </c>
      <c r="H796" s="7" t="n">
        <f aca="false">_xlfn.IFNA(VLOOKUP(D796,Catalog!$B$2:$C$4102,2,FALSE()),"")</f>
        <v>4.95</v>
      </c>
      <c r="I796" s="7" t="str">
        <f aca="false">HLOOKUP(C796,Regions!$B$1:$S$2,2,FALSE())</f>
        <v>EU</v>
      </c>
      <c r="J796" s="7" t="n">
        <f aca="false">E796*F796</f>
        <v>44.55</v>
      </c>
      <c r="K796" s="8" t="n">
        <f aca="false">IF(H796="","",1-F796/H796)</f>
        <v>0</v>
      </c>
    </row>
    <row r="797" customFormat="false" ht="15" hidden="false" customHeight="false" outlineLevel="0" collapsed="false">
      <c r="A797" s="0" t="s">
        <v>577</v>
      </c>
      <c r="B797" s="6" t="n">
        <v>40884.3597222222</v>
      </c>
      <c r="C797" s="0" t="s">
        <v>41</v>
      </c>
      <c r="D797" s="0" t="s">
        <v>100</v>
      </c>
      <c r="E797" s="0" t="n">
        <v>9</v>
      </c>
      <c r="F797" s="0" t="n">
        <v>4.95</v>
      </c>
      <c r="G797" s="7" t="str">
        <f aca="false">_xlfn.XLOOKUP(D797,Catalog!$B$2:$B$4102,Catalog!$A$2:$A$4102,"NOT IN CATALOG")</f>
        <v>BAKING SET SPACEBOY DESIGN</v>
      </c>
      <c r="H797" s="7" t="n">
        <f aca="false">_xlfn.IFNA(VLOOKUP(D797,Catalog!$B$2:$C$4102,2,FALSE()),"")</f>
        <v>4.95</v>
      </c>
      <c r="I797" s="7" t="str">
        <f aca="false">HLOOKUP(C797,Regions!$B$1:$S$2,2,FALSE())</f>
        <v>EU</v>
      </c>
      <c r="J797" s="7" t="n">
        <f aca="false">E797*F797</f>
        <v>44.55</v>
      </c>
      <c r="K797" s="8" t="n">
        <f aca="false">IF(H797="","",1-F797/H797)</f>
        <v>0</v>
      </c>
    </row>
    <row r="798" customFormat="false" ht="15" hidden="false" customHeight="false" outlineLevel="0" collapsed="false">
      <c r="A798" s="0" t="s">
        <v>577</v>
      </c>
      <c r="B798" s="6" t="n">
        <v>40884.3597222222</v>
      </c>
      <c r="C798" s="0" t="s">
        <v>41</v>
      </c>
      <c r="D798" s="0" t="s">
        <v>579</v>
      </c>
      <c r="E798" s="0" t="n">
        <v>48</v>
      </c>
      <c r="F798" s="0" t="n">
        <v>0.85</v>
      </c>
      <c r="G798" s="7" t="str">
        <f aca="false">_xlfn.XLOOKUP(D798,Catalog!$B$2:$B$4102,Catalog!$A$2:$A$4102,"NOT IN CATALOG")</f>
        <v>SMALL POPCORN HOLDER</v>
      </c>
      <c r="H798" s="7" t="n">
        <f aca="false">_xlfn.IFNA(VLOOKUP(D798,Catalog!$B$2:$C$4102,2,FALSE()),"")</f>
        <v>0.85</v>
      </c>
      <c r="I798" s="7" t="str">
        <f aca="false">HLOOKUP(C798,Regions!$B$1:$S$2,2,FALSE())</f>
        <v>EU</v>
      </c>
      <c r="J798" s="7" t="n">
        <f aca="false">E798*F798</f>
        <v>40.8</v>
      </c>
      <c r="K798" s="8" t="n">
        <f aca="false">IF(H798="","",1-F798/H798)</f>
        <v>0</v>
      </c>
    </row>
    <row r="799" customFormat="false" ht="15" hidden="false" customHeight="false" outlineLevel="0" collapsed="false">
      <c r="A799" s="0" t="s">
        <v>577</v>
      </c>
      <c r="B799" s="6" t="n">
        <v>40884.3597222222</v>
      </c>
      <c r="C799" s="0" t="s">
        <v>41</v>
      </c>
      <c r="D799" s="0" t="s">
        <v>139</v>
      </c>
      <c r="E799" s="0" t="n">
        <v>24</v>
      </c>
      <c r="F799" s="0" t="n">
        <v>0.85</v>
      </c>
      <c r="G799" s="7" t="str">
        <f aca="false">_xlfn.XLOOKUP(D799,Catalog!$B$2:$B$4102,Catalog!$A$2:$A$4102,"NOT IN CATALOG")</f>
        <v>VINTAGE SNAP CARDS</v>
      </c>
      <c r="H799" s="7" t="n">
        <f aca="false">_xlfn.IFNA(VLOOKUP(D799,Catalog!$B$2:$C$4102,2,FALSE()),"")</f>
        <v>0.85</v>
      </c>
      <c r="I799" s="7" t="str">
        <f aca="false">HLOOKUP(C799,Regions!$B$1:$S$2,2,FALSE())</f>
        <v>EU</v>
      </c>
      <c r="J799" s="7" t="n">
        <f aca="false">E799*F799</f>
        <v>20.4</v>
      </c>
      <c r="K799" s="8" t="n">
        <f aca="false">IF(H799="","",1-F799/H799)</f>
        <v>0</v>
      </c>
    </row>
    <row r="800" customFormat="false" ht="15" hidden="false" customHeight="false" outlineLevel="0" collapsed="false">
      <c r="A800" s="0" t="s">
        <v>577</v>
      </c>
      <c r="B800" s="6" t="n">
        <v>40884.3597222222</v>
      </c>
      <c r="C800" s="0" t="s">
        <v>41</v>
      </c>
      <c r="D800" s="0" t="s">
        <v>580</v>
      </c>
      <c r="E800" s="0" t="n">
        <v>24</v>
      </c>
      <c r="F800" s="0" t="n">
        <v>1.25</v>
      </c>
      <c r="G800" s="7" t="str">
        <f aca="false">_xlfn.XLOOKUP(D800,Catalog!$B$2:$B$4102,Catalog!$A$2:$A$4102,"NOT IN CATALOG")</f>
        <v>WOODEN BOX OF DOMINOES</v>
      </c>
      <c r="H800" s="7" t="n">
        <f aca="false">_xlfn.IFNA(VLOOKUP(D800,Catalog!$B$2:$C$4102,2,FALSE()),"")</f>
        <v>1.25</v>
      </c>
      <c r="I800" s="7" t="str">
        <f aca="false">HLOOKUP(C800,Regions!$B$1:$S$2,2,FALSE())</f>
        <v>EU</v>
      </c>
      <c r="J800" s="7" t="n">
        <f aca="false">E800*F800</f>
        <v>30</v>
      </c>
      <c r="K800" s="8" t="n">
        <f aca="false">IF(H800="","",1-F800/H800)</f>
        <v>0</v>
      </c>
    </row>
    <row r="801" customFormat="false" ht="15" hidden="false" customHeight="false" outlineLevel="0" collapsed="false">
      <c r="A801" s="0" t="s">
        <v>577</v>
      </c>
      <c r="B801" s="6" t="n">
        <v>40884.3597222222</v>
      </c>
      <c r="C801" s="0" t="s">
        <v>41</v>
      </c>
      <c r="D801" s="0" t="s">
        <v>581</v>
      </c>
      <c r="E801" s="0" t="n">
        <v>8</v>
      </c>
      <c r="F801" s="0" t="n">
        <v>3.75</v>
      </c>
      <c r="G801" s="7" t="str">
        <f aca="false">_xlfn.XLOOKUP(D801,Catalog!$B$2:$B$4102,Catalog!$A$2:$A$4102,"NOT IN CATALOG")</f>
        <v>HOLIDAY FUN LUDO</v>
      </c>
      <c r="H801" s="7" t="n">
        <f aca="false">_xlfn.IFNA(VLOOKUP(D801,Catalog!$B$2:$C$4102,2,FALSE()),"")</f>
        <v>3.75</v>
      </c>
      <c r="I801" s="7" t="str">
        <f aca="false">HLOOKUP(C801,Regions!$B$1:$S$2,2,FALSE())</f>
        <v>EU</v>
      </c>
      <c r="J801" s="7" t="n">
        <f aca="false">E801*F801</f>
        <v>30</v>
      </c>
      <c r="K801" s="8" t="n">
        <f aca="false">IF(H801="","",1-F801/H801)</f>
        <v>0</v>
      </c>
    </row>
    <row r="802" customFormat="false" ht="15" hidden="false" customHeight="false" outlineLevel="0" collapsed="false">
      <c r="A802" s="0" t="s">
        <v>577</v>
      </c>
      <c r="B802" s="6" t="n">
        <v>40884.3597222222</v>
      </c>
      <c r="C802" s="0" t="s">
        <v>41</v>
      </c>
      <c r="D802" s="0" t="s">
        <v>181</v>
      </c>
      <c r="E802" s="0" t="n">
        <v>48</v>
      </c>
      <c r="F802" s="0" t="n">
        <v>1.45</v>
      </c>
      <c r="G802" s="7" t="str">
        <f aca="false">_xlfn.XLOOKUP(D802,Catalog!$B$2:$B$4102,Catalog!$A$2:$A$4102,"NOT IN CATALOG")</f>
        <v>CLOTHES PEGS RETROSPOT PACK 24</v>
      </c>
      <c r="H802" s="7" t="n">
        <f aca="false">_xlfn.IFNA(VLOOKUP(D802,Catalog!$B$2:$C$4102,2,FALSE()),"")</f>
        <v>1.25</v>
      </c>
      <c r="I802" s="7" t="str">
        <f aca="false">HLOOKUP(C802,Regions!$B$1:$S$2,2,FALSE())</f>
        <v>EU</v>
      </c>
      <c r="J802" s="7" t="n">
        <f aca="false">E802*F802</f>
        <v>69.6</v>
      </c>
      <c r="K802" s="8" t="n">
        <f aca="false">IF(H802="","",1-F802/H802)</f>
        <v>-0.16</v>
      </c>
    </row>
    <row r="803" customFormat="false" ht="15" hidden="false" customHeight="false" outlineLevel="0" collapsed="false">
      <c r="A803" s="0" t="s">
        <v>577</v>
      </c>
      <c r="B803" s="6" t="n">
        <v>40884.3597222222</v>
      </c>
      <c r="C803" s="0" t="s">
        <v>41</v>
      </c>
      <c r="D803" s="0" t="s">
        <v>582</v>
      </c>
      <c r="E803" s="0" t="n">
        <v>12</v>
      </c>
      <c r="F803" s="0" t="n">
        <v>1.95</v>
      </c>
      <c r="G803" s="7" t="str">
        <f aca="false">_xlfn.XLOOKUP(D803,Catalog!$B$2:$B$4102,Catalog!$A$2:$A$4102,"NOT IN CATALOG")</f>
        <v>LARGE CAKE TOWEL, CHOCOLATE SPOTS</v>
      </c>
      <c r="H803" s="7" t="n">
        <f aca="false">_xlfn.IFNA(VLOOKUP(D803,Catalog!$B$2:$C$4102,2,FALSE()),"")</f>
        <v>6.75</v>
      </c>
      <c r="I803" s="7" t="str">
        <f aca="false">HLOOKUP(C803,Regions!$B$1:$S$2,2,FALSE())</f>
        <v>EU</v>
      </c>
      <c r="J803" s="7" t="n">
        <f aca="false">E803*F803</f>
        <v>23.4</v>
      </c>
      <c r="K803" s="8" t="n">
        <f aca="false">IF(H803="","",1-F803/H803)</f>
        <v>0.711111111111111</v>
      </c>
    </row>
    <row r="804" customFormat="false" ht="15" hidden="false" customHeight="false" outlineLevel="0" collapsed="false">
      <c r="A804" s="0" t="s">
        <v>577</v>
      </c>
      <c r="B804" s="6" t="n">
        <v>40884.3597222222</v>
      </c>
      <c r="C804" s="0" t="s">
        <v>41</v>
      </c>
      <c r="D804" s="0" t="s">
        <v>327</v>
      </c>
      <c r="E804" s="0" t="n">
        <v>8</v>
      </c>
      <c r="F804" s="0" t="n">
        <v>1.95</v>
      </c>
      <c r="G804" s="7" t="str">
        <f aca="false">_xlfn.XLOOKUP(D804,Catalog!$B$2:$B$4102,Catalog!$A$2:$A$4102,"NOT IN CATALOG")</f>
        <v>GINGHAM HEART DOORSTOP RED</v>
      </c>
      <c r="H804" s="7" t="n">
        <f aca="false">_xlfn.IFNA(VLOOKUP(D804,Catalog!$B$2:$C$4102,2,FALSE()),"")</f>
        <v>4.25</v>
      </c>
      <c r="I804" s="7" t="str">
        <f aca="false">HLOOKUP(C804,Regions!$B$1:$S$2,2,FALSE())</f>
        <v>EU</v>
      </c>
      <c r="J804" s="7" t="n">
        <f aca="false">E804*F804</f>
        <v>15.6</v>
      </c>
      <c r="K804" s="8" t="n">
        <f aca="false">IF(H804="","",1-F804/H804)</f>
        <v>0.541176470588235</v>
      </c>
    </row>
    <row r="805" customFormat="false" ht="15" hidden="false" customHeight="false" outlineLevel="0" collapsed="false">
      <c r="A805" s="0" t="s">
        <v>577</v>
      </c>
      <c r="B805" s="6" t="n">
        <v>40884.3597222222</v>
      </c>
      <c r="C805" s="0" t="s">
        <v>41</v>
      </c>
      <c r="D805" s="0" t="s">
        <v>140</v>
      </c>
      <c r="E805" s="0" t="n">
        <v>24</v>
      </c>
      <c r="F805" s="0" t="n">
        <v>0.39</v>
      </c>
      <c r="G805" s="7" t="str">
        <f aca="false">_xlfn.XLOOKUP(D805,Catalog!$B$2:$B$4102,Catalog!$A$2:$A$4102,"NOT IN CATALOG")</f>
        <v>BAG 500g SWIRLY MARBLES</v>
      </c>
      <c r="H805" s="7" t="n">
        <f aca="false">_xlfn.IFNA(VLOOKUP(D805,Catalog!$B$2:$C$4102,2,FALSE()),"")</f>
        <v>1.65</v>
      </c>
      <c r="I805" s="7" t="str">
        <f aca="false">HLOOKUP(C805,Regions!$B$1:$S$2,2,FALSE())</f>
        <v>EU</v>
      </c>
      <c r="J805" s="7" t="n">
        <f aca="false">E805*F805</f>
        <v>9.36</v>
      </c>
      <c r="K805" s="8" t="n">
        <f aca="false">IF(H805="","",1-F805/H805)</f>
        <v>0.763636363636364</v>
      </c>
    </row>
    <row r="806" customFormat="false" ht="15" hidden="false" customHeight="false" outlineLevel="0" collapsed="false">
      <c r="A806" s="0" t="s">
        <v>577</v>
      </c>
      <c r="B806" s="6" t="n">
        <v>40884.3597222222</v>
      </c>
      <c r="C806" s="0" t="s">
        <v>41</v>
      </c>
      <c r="D806" s="0" t="s">
        <v>583</v>
      </c>
      <c r="E806" s="0" t="n">
        <v>8</v>
      </c>
      <c r="F806" s="0" t="n">
        <v>1.25</v>
      </c>
      <c r="G806" s="7" t="str">
        <f aca="false">_xlfn.XLOOKUP(D806,Catalog!$B$2:$B$4102,Catalog!$A$2:$A$4102,"NOT IN CATALOG")</f>
        <v>PIZZA PLATE IN BOX</v>
      </c>
      <c r="H806" s="7" t="n">
        <f aca="false">_xlfn.IFNA(VLOOKUP(D806,Catalog!$B$2:$C$4102,2,FALSE()),"")</f>
        <v>3.75</v>
      </c>
      <c r="I806" s="7" t="str">
        <f aca="false">HLOOKUP(C806,Regions!$B$1:$S$2,2,FALSE())</f>
        <v>EU</v>
      </c>
      <c r="J806" s="7" t="n">
        <f aca="false">E806*F806</f>
        <v>10</v>
      </c>
      <c r="K806" s="8" t="n">
        <f aca="false">IF(H806="","",1-F806/H806)</f>
        <v>0.666666666666667</v>
      </c>
    </row>
    <row r="807" customFormat="false" ht="15" hidden="false" customHeight="false" outlineLevel="0" collapsed="false">
      <c r="A807" s="0" t="s">
        <v>577</v>
      </c>
      <c r="B807" s="6" t="n">
        <v>40884.3597222222</v>
      </c>
      <c r="C807" s="0" t="s">
        <v>41</v>
      </c>
      <c r="D807" s="0" t="s">
        <v>584</v>
      </c>
      <c r="E807" s="0" t="n">
        <v>24</v>
      </c>
      <c r="F807" s="0" t="n">
        <v>0.19</v>
      </c>
      <c r="G807" s="7" t="str">
        <f aca="false">_xlfn.XLOOKUP(D807,Catalog!$B$2:$B$4102,Catalog!$A$2:$A$4102,"NOT IN CATALOG")</f>
        <v>PARTY PIZZA DISH RED RETROSPOT</v>
      </c>
      <c r="H807" s="7" t="n">
        <f aca="false">_xlfn.IFNA(VLOOKUP(D807,Catalog!$B$2:$C$4102,2,FALSE()),"")</f>
        <v>0.85</v>
      </c>
      <c r="I807" s="7" t="str">
        <f aca="false">HLOOKUP(C807,Regions!$B$1:$S$2,2,FALSE())</f>
        <v>EU</v>
      </c>
      <c r="J807" s="7" t="n">
        <f aca="false">E807*F807</f>
        <v>4.56</v>
      </c>
      <c r="K807" s="8" t="n">
        <f aca="false">IF(H807="","",1-F807/H807)</f>
        <v>0.776470588235294</v>
      </c>
    </row>
    <row r="808" customFormat="false" ht="15" hidden="false" customHeight="false" outlineLevel="0" collapsed="false">
      <c r="A808" s="0" t="s">
        <v>577</v>
      </c>
      <c r="B808" s="6" t="n">
        <v>40884.3597222222</v>
      </c>
      <c r="C808" s="0" t="s">
        <v>41</v>
      </c>
      <c r="D808" s="0" t="s">
        <v>557</v>
      </c>
      <c r="E808" s="0" t="n">
        <v>12</v>
      </c>
      <c r="F808" s="0" t="n">
        <v>0.39</v>
      </c>
      <c r="G808" s="7" t="str">
        <f aca="false">_xlfn.XLOOKUP(D808,Catalog!$B$2:$B$4102,Catalog!$A$2:$A$4102,"NOT IN CATALOG")</f>
        <v>PAPERWEIGHT CHILDHOOD MEMORIES</v>
      </c>
      <c r="H808" s="7" t="n">
        <f aca="false">_xlfn.IFNA(VLOOKUP(D808,Catalog!$B$2:$C$4102,2,FALSE()),"")</f>
        <v>2.55</v>
      </c>
      <c r="I808" s="7" t="str">
        <f aca="false">HLOOKUP(C808,Regions!$B$1:$S$2,2,FALSE())</f>
        <v>EU</v>
      </c>
      <c r="J808" s="7" t="n">
        <f aca="false">E808*F808</f>
        <v>4.68</v>
      </c>
      <c r="K808" s="8" t="n">
        <f aca="false">IF(H808="","",1-F808/H808)</f>
        <v>0.847058823529412</v>
      </c>
    </row>
    <row r="809" customFormat="false" ht="15" hidden="false" customHeight="false" outlineLevel="0" collapsed="false">
      <c r="A809" s="0" t="s">
        <v>577</v>
      </c>
      <c r="B809" s="6" t="n">
        <v>40884.3597222222</v>
      </c>
      <c r="C809" s="0" t="s">
        <v>41</v>
      </c>
      <c r="D809" s="0" t="s">
        <v>333</v>
      </c>
      <c r="E809" s="0" t="n">
        <v>12</v>
      </c>
      <c r="F809" s="0" t="n">
        <v>0.39</v>
      </c>
      <c r="G809" s="7" t="str">
        <f aca="false">_xlfn.XLOOKUP(D809,Catalog!$B$2:$B$4102,Catalog!$A$2:$A$4102,"NOT IN CATALOG")</f>
        <v>PAPERWEIGHT VINTAGE COLLAGE</v>
      </c>
      <c r="H809" s="7" t="n">
        <f aca="false">_xlfn.IFNA(VLOOKUP(D809,Catalog!$B$2:$C$4102,2,FALSE()),"")</f>
        <v>2.55</v>
      </c>
      <c r="I809" s="7" t="str">
        <f aca="false">HLOOKUP(C809,Regions!$B$1:$S$2,2,FALSE())</f>
        <v>EU</v>
      </c>
      <c r="J809" s="7" t="n">
        <f aca="false">E809*F809</f>
        <v>4.68</v>
      </c>
      <c r="K809" s="8" t="n">
        <f aca="false">IF(H809="","",1-F809/H809)</f>
        <v>0.847058823529412</v>
      </c>
    </row>
    <row r="810" customFormat="false" ht="15" hidden="false" customHeight="false" outlineLevel="0" collapsed="false">
      <c r="A810" s="0" t="s">
        <v>577</v>
      </c>
      <c r="B810" s="6" t="n">
        <v>40884.3597222222</v>
      </c>
      <c r="C810" s="0" t="s">
        <v>41</v>
      </c>
      <c r="D810" s="0" t="s">
        <v>585</v>
      </c>
      <c r="E810" s="0" t="n">
        <v>12</v>
      </c>
      <c r="F810" s="0" t="n">
        <v>0.39</v>
      </c>
      <c r="G810" s="7" t="str">
        <f aca="false">_xlfn.XLOOKUP(D810,Catalog!$B$2:$B$4102,Catalog!$A$2:$A$4102,"NOT IN CATALOG")</f>
        <v>MONEY BOX POCKET MONEY DESIGN</v>
      </c>
      <c r="H810" s="7" t="n">
        <f aca="false">_xlfn.IFNA(VLOOKUP(D810,Catalog!$B$2:$C$4102,2,FALSE()),"")</f>
        <v>1.25</v>
      </c>
      <c r="I810" s="7" t="str">
        <f aca="false">HLOOKUP(C810,Regions!$B$1:$S$2,2,FALSE())</f>
        <v>EU</v>
      </c>
      <c r="J810" s="7" t="n">
        <f aca="false">E810*F810</f>
        <v>4.68</v>
      </c>
      <c r="K810" s="8" t="n">
        <f aca="false">IF(H810="","",1-F810/H810)</f>
        <v>0.688</v>
      </c>
    </row>
    <row r="811" customFormat="false" ht="15" hidden="false" customHeight="false" outlineLevel="0" collapsed="false">
      <c r="A811" s="0" t="s">
        <v>577</v>
      </c>
      <c r="B811" s="6" t="n">
        <v>40884.3597222222</v>
      </c>
      <c r="C811" s="0" t="s">
        <v>41</v>
      </c>
      <c r="D811" s="0" t="s">
        <v>586</v>
      </c>
      <c r="E811" s="0" t="n">
        <v>8</v>
      </c>
      <c r="F811" s="0" t="n">
        <v>1.25</v>
      </c>
      <c r="G811" s="7" t="str">
        <f aca="false">_xlfn.XLOOKUP(D811,Catalog!$B$2:$B$4102,Catalog!$A$2:$A$4102,"NOT IN CATALOG")</f>
        <v>NOT IN CATALOG</v>
      </c>
      <c r="H811" s="7" t="str">
        <f aca="false">_xlfn.IFNA(VLOOKUP(D811,Catalog!$B$2:$C$4102,2,FALSE()),"")</f>
        <v/>
      </c>
      <c r="I811" s="7" t="str">
        <f aca="false">HLOOKUP(C811,Regions!$B$1:$S$2,2,FALSE())</f>
        <v>EU</v>
      </c>
      <c r="J811" s="7" t="n">
        <f aca="false">E811*F811</f>
        <v>10</v>
      </c>
      <c r="K811" s="8" t="str">
        <f aca="false">IF(H811="","",1-F811/H811)</f>
        <v/>
      </c>
    </row>
    <row r="812" customFormat="false" ht="15" hidden="false" customHeight="false" outlineLevel="0" collapsed="false">
      <c r="A812" s="0" t="s">
        <v>577</v>
      </c>
      <c r="B812" s="6" t="n">
        <v>40884.3597222222</v>
      </c>
      <c r="C812" s="0" t="s">
        <v>41</v>
      </c>
      <c r="D812" s="0" t="s">
        <v>587</v>
      </c>
      <c r="E812" s="0" t="n">
        <v>24</v>
      </c>
      <c r="F812" s="0" t="n">
        <v>0.79</v>
      </c>
      <c r="G812" s="7" t="str">
        <f aca="false">_xlfn.XLOOKUP(D812,Catalog!$B$2:$B$4102,Catalog!$A$2:$A$4102,"NOT IN CATALOG")</f>
        <v>NOT IN CATALOG</v>
      </c>
      <c r="H812" s="7" t="str">
        <f aca="false">_xlfn.IFNA(VLOOKUP(D812,Catalog!$B$2:$C$4102,2,FALSE()),"")</f>
        <v/>
      </c>
      <c r="I812" s="7" t="str">
        <f aca="false">HLOOKUP(C812,Regions!$B$1:$S$2,2,FALSE())</f>
        <v>EU</v>
      </c>
      <c r="J812" s="7" t="n">
        <f aca="false">E812*F812</f>
        <v>18.96</v>
      </c>
      <c r="K812" s="8" t="str">
        <f aca="false">IF(H812="","",1-F812/H812)</f>
        <v/>
      </c>
    </row>
    <row r="813" customFormat="false" ht="15" hidden="false" customHeight="false" outlineLevel="0" collapsed="false">
      <c r="A813" s="0" t="s">
        <v>577</v>
      </c>
      <c r="B813" s="6" t="n">
        <v>40884.3597222222</v>
      </c>
      <c r="C813" s="0" t="s">
        <v>41</v>
      </c>
      <c r="D813" s="0" t="s">
        <v>146</v>
      </c>
      <c r="E813" s="0" t="n">
        <v>24</v>
      </c>
      <c r="F813" s="0" t="n">
        <v>1.25</v>
      </c>
      <c r="G813" s="7" t="str">
        <f aca="false">_xlfn.XLOOKUP(D813,Catalog!$B$2:$B$4102,Catalog!$A$2:$A$4102,"NOT IN CATALOG")</f>
        <v>NOT IN CATALOG</v>
      </c>
      <c r="H813" s="7" t="str">
        <f aca="false">_xlfn.IFNA(VLOOKUP(D813,Catalog!$B$2:$C$4102,2,FALSE()),"")</f>
        <v/>
      </c>
      <c r="I813" s="7" t="str">
        <f aca="false">HLOOKUP(C813,Regions!$B$1:$S$2,2,FALSE())</f>
        <v>EU</v>
      </c>
      <c r="J813" s="7" t="n">
        <f aca="false">E813*F813</f>
        <v>30</v>
      </c>
      <c r="K813" s="8" t="str">
        <f aca="false">IF(H813="","",1-F813/H813)</f>
        <v/>
      </c>
    </row>
    <row r="814" customFormat="false" ht="15" hidden="false" customHeight="false" outlineLevel="0" collapsed="false">
      <c r="A814" s="0" t="s">
        <v>577</v>
      </c>
      <c r="B814" s="6" t="n">
        <v>40884.3597222222</v>
      </c>
      <c r="C814" s="0" t="s">
        <v>41</v>
      </c>
      <c r="D814" s="0" t="s">
        <v>588</v>
      </c>
      <c r="E814" s="0" t="n">
        <v>24</v>
      </c>
      <c r="F814" s="0" t="n">
        <v>0.39</v>
      </c>
      <c r="G814" s="7" t="str">
        <f aca="false">_xlfn.XLOOKUP(D814,Catalog!$B$2:$B$4102,Catalog!$A$2:$A$4102,"NOT IN CATALOG")</f>
        <v>NOT IN CATALOG</v>
      </c>
      <c r="H814" s="7" t="str">
        <f aca="false">_xlfn.IFNA(VLOOKUP(D814,Catalog!$B$2:$C$4102,2,FALSE()),"")</f>
        <v/>
      </c>
      <c r="I814" s="7" t="str">
        <f aca="false">HLOOKUP(C814,Regions!$B$1:$S$2,2,FALSE())</f>
        <v>EU</v>
      </c>
      <c r="J814" s="7" t="n">
        <f aca="false">E814*F814</f>
        <v>9.36</v>
      </c>
      <c r="K814" s="8" t="str">
        <f aca="false">IF(H814="","",1-F814/H814)</f>
        <v/>
      </c>
    </row>
    <row r="815" customFormat="false" ht="15" hidden="false" customHeight="false" outlineLevel="0" collapsed="false">
      <c r="A815" s="0" t="s">
        <v>577</v>
      </c>
      <c r="B815" s="6" t="n">
        <v>40884.3597222222</v>
      </c>
      <c r="C815" s="0" t="s">
        <v>41</v>
      </c>
      <c r="D815" s="0" t="s">
        <v>589</v>
      </c>
      <c r="E815" s="0" t="n">
        <v>12</v>
      </c>
      <c r="F815" s="0" t="n">
        <v>0.39</v>
      </c>
      <c r="G815" s="7" t="str">
        <f aca="false">_xlfn.XLOOKUP(D815,Catalog!$B$2:$B$4102,Catalog!$A$2:$A$4102,"NOT IN CATALOG")</f>
        <v>NOT IN CATALOG</v>
      </c>
      <c r="H815" s="7" t="str">
        <f aca="false">_xlfn.IFNA(VLOOKUP(D815,Catalog!$B$2:$C$4102,2,FALSE()),"")</f>
        <v/>
      </c>
      <c r="I815" s="7" t="str">
        <f aca="false">HLOOKUP(C815,Regions!$B$1:$S$2,2,FALSE())</f>
        <v>EU</v>
      </c>
      <c r="J815" s="7" t="n">
        <f aca="false">E815*F815</f>
        <v>4.68</v>
      </c>
      <c r="K815" s="8" t="str">
        <f aca="false">IF(H815="","",1-F815/H815)</f>
        <v/>
      </c>
    </row>
    <row r="816" customFormat="false" ht="15" hidden="false" customHeight="false" outlineLevel="0" collapsed="false">
      <c r="A816" s="0" t="s">
        <v>577</v>
      </c>
      <c r="B816" s="6" t="n">
        <v>40884.3597222222</v>
      </c>
      <c r="C816" s="0" t="s">
        <v>41</v>
      </c>
      <c r="D816" s="0" t="s">
        <v>590</v>
      </c>
      <c r="E816" s="0" t="n">
        <v>18</v>
      </c>
      <c r="F816" s="0" t="n">
        <v>1.25</v>
      </c>
      <c r="G816" s="7" t="str">
        <f aca="false">_xlfn.XLOOKUP(D816,Catalog!$B$2:$B$4102,Catalog!$A$2:$A$4102,"NOT IN CATALOG")</f>
        <v>NOT IN CATALOG</v>
      </c>
      <c r="H816" s="7" t="str">
        <f aca="false">_xlfn.IFNA(VLOOKUP(D816,Catalog!$B$2:$C$4102,2,FALSE()),"")</f>
        <v/>
      </c>
      <c r="I816" s="7" t="str">
        <f aca="false">HLOOKUP(C816,Regions!$B$1:$S$2,2,FALSE())</f>
        <v>EU</v>
      </c>
      <c r="J816" s="7" t="n">
        <f aca="false">E816*F816</f>
        <v>22.5</v>
      </c>
      <c r="K816" s="8" t="str">
        <f aca="false">IF(H816="","",1-F816/H816)</f>
        <v/>
      </c>
    </row>
    <row r="817" customFormat="false" ht="15" hidden="false" customHeight="false" outlineLevel="0" collapsed="false">
      <c r="A817" s="0" t="s">
        <v>577</v>
      </c>
      <c r="B817" s="6" t="n">
        <v>40884.3597222222</v>
      </c>
      <c r="C817" s="0" t="s">
        <v>41</v>
      </c>
      <c r="D817" s="0" t="s">
        <v>591</v>
      </c>
      <c r="E817" s="0" t="n">
        <v>12</v>
      </c>
      <c r="F817" s="0" t="n">
        <v>0.79</v>
      </c>
      <c r="G817" s="7" t="str">
        <f aca="false">_xlfn.XLOOKUP(D817,Catalog!$B$2:$B$4102,Catalog!$A$2:$A$4102,"NOT IN CATALOG")</f>
        <v>WHITE SQUARE TABLE CLOCK</v>
      </c>
      <c r="H817" s="7" t="n">
        <f aca="false">_xlfn.IFNA(VLOOKUP(D817,Catalog!$B$2:$C$4102,2,FALSE()),"")</f>
        <v>5.06</v>
      </c>
      <c r="I817" s="7" t="str">
        <f aca="false">HLOOKUP(C817,Regions!$B$1:$S$2,2,FALSE())</f>
        <v>EU</v>
      </c>
      <c r="J817" s="7" t="n">
        <f aca="false">E817*F817</f>
        <v>9.48</v>
      </c>
      <c r="K817" s="8" t="n">
        <f aca="false">IF(H817="","",1-F817/H817)</f>
        <v>0.843873517786561</v>
      </c>
    </row>
    <row r="818" customFormat="false" ht="15" hidden="false" customHeight="false" outlineLevel="0" collapsed="false">
      <c r="A818" s="0" t="s">
        <v>577</v>
      </c>
      <c r="B818" s="6" t="n">
        <v>40884.3597222222</v>
      </c>
      <c r="C818" s="0" t="s">
        <v>41</v>
      </c>
      <c r="D818" s="0" t="s">
        <v>592</v>
      </c>
      <c r="E818" s="0" t="n">
        <v>12</v>
      </c>
      <c r="F818" s="0" t="n">
        <v>0.79</v>
      </c>
      <c r="G818" s="7" t="str">
        <f aca="false">_xlfn.XLOOKUP(D818,Catalog!$B$2:$B$4102,Catalog!$A$2:$A$4102,"NOT IN CATALOG")</f>
        <v>BLACK SQUARE TABLE CLOCK</v>
      </c>
      <c r="H818" s="7" t="n">
        <f aca="false">_xlfn.IFNA(VLOOKUP(D818,Catalog!$B$2:$C$4102,2,FALSE()),"")</f>
        <v>2.55</v>
      </c>
      <c r="I818" s="7" t="str">
        <f aca="false">HLOOKUP(C818,Regions!$B$1:$S$2,2,FALSE())</f>
        <v>EU</v>
      </c>
      <c r="J818" s="7" t="n">
        <f aca="false">E818*F818</f>
        <v>9.48</v>
      </c>
      <c r="K818" s="8" t="n">
        <f aca="false">IF(H818="","",1-F818/H818)</f>
        <v>0.690196078431373</v>
      </c>
    </row>
    <row r="819" customFormat="false" ht="15" hidden="false" customHeight="false" outlineLevel="0" collapsed="false">
      <c r="A819" s="0" t="s">
        <v>577</v>
      </c>
      <c r="B819" s="6" t="n">
        <v>40884.3597222222</v>
      </c>
      <c r="C819" s="0" t="s">
        <v>41</v>
      </c>
      <c r="D819" s="0" t="s">
        <v>593</v>
      </c>
      <c r="E819" s="0" t="n">
        <v>24</v>
      </c>
      <c r="F819" s="0" t="n">
        <v>0.39</v>
      </c>
      <c r="G819" s="7" t="str">
        <f aca="false">_xlfn.XLOOKUP(D819,Catalog!$B$2:$B$4102,Catalog!$A$2:$A$4102,"NOT IN CATALOG")</f>
        <v>DANISH ROSE DECORATIVE PLATE</v>
      </c>
      <c r="H819" s="7" t="n">
        <f aca="false">_xlfn.IFNA(VLOOKUP(D819,Catalog!$B$2:$C$4102,2,FALSE()),"")</f>
        <v>2.1</v>
      </c>
      <c r="I819" s="7" t="str">
        <f aca="false">HLOOKUP(C819,Regions!$B$1:$S$2,2,FALSE())</f>
        <v>EU</v>
      </c>
      <c r="J819" s="7" t="n">
        <f aca="false">E819*F819</f>
        <v>9.36</v>
      </c>
      <c r="K819" s="8" t="n">
        <f aca="false">IF(H819="","",1-F819/H819)</f>
        <v>0.814285714285714</v>
      </c>
    </row>
    <row r="820" customFormat="false" ht="15" hidden="false" customHeight="false" outlineLevel="0" collapsed="false">
      <c r="A820" s="0" t="s">
        <v>577</v>
      </c>
      <c r="B820" s="6" t="n">
        <v>40884.3597222222</v>
      </c>
      <c r="C820" s="0" t="s">
        <v>41</v>
      </c>
      <c r="D820" s="0" t="s">
        <v>209</v>
      </c>
      <c r="E820" s="0" t="n">
        <v>6</v>
      </c>
      <c r="F820" s="0" t="n">
        <v>2.08</v>
      </c>
      <c r="G820" s="7" t="str">
        <f aca="false">_xlfn.XLOOKUP(D820,Catalog!$B$2:$B$4102,Catalog!$A$2:$A$4102,"NOT IN CATALOG")</f>
        <v>NOT IN CATALOG</v>
      </c>
      <c r="H820" s="7" t="str">
        <f aca="false">_xlfn.IFNA(VLOOKUP(D820,Catalog!$B$2:$C$4102,2,FALSE()),"")</f>
        <v/>
      </c>
      <c r="I820" s="7" t="str">
        <f aca="false">HLOOKUP(C820,Regions!$B$1:$S$2,2,FALSE())</f>
        <v>EU</v>
      </c>
      <c r="J820" s="7" t="n">
        <f aca="false">E820*F820</f>
        <v>12.48</v>
      </c>
      <c r="K820" s="8" t="str">
        <f aca="false">IF(H820="","",1-F820/H820)</f>
        <v/>
      </c>
    </row>
    <row r="821" customFormat="false" ht="15" hidden="false" customHeight="false" outlineLevel="0" collapsed="false">
      <c r="A821" s="0" t="s">
        <v>577</v>
      </c>
      <c r="B821" s="6" t="n">
        <v>40884.3597222222</v>
      </c>
      <c r="C821" s="0" t="s">
        <v>41</v>
      </c>
      <c r="D821" s="0" t="s">
        <v>594</v>
      </c>
      <c r="E821" s="0" t="n">
        <v>24</v>
      </c>
      <c r="F821" s="0" t="n">
        <v>1.45</v>
      </c>
      <c r="G821" s="7" t="str">
        <f aca="false">_xlfn.XLOOKUP(D821,Catalog!$B$2:$B$4102,Catalog!$A$2:$A$4102,"NOT IN CATALOG")</f>
        <v>NOT IN CATALOG</v>
      </c>
      <c r="H821" s="7" t="str">
        <f aca="false">_xlfn.IFNA(VLOOKUP(D821,Catalog!$B$2:$C$4102,2,FALSE()),"")</f>
        <v/>
      </c>
      <c r="I821" s="7" t="str">
        <f aca="false">HLOOKUP(C821,Regions!$B$1:$S$2,2,FALSE())</f>
        <v>EU</v>
      </c>
      <c r="J821" s="7" t="n">
        <f aca="false">E821*F821</f>
        <v>34.8</v>
      </c>
      <c r="K821" s="8" t="str">
        <f aca="false">IF(H821="","",1-F821/H821)</f>
        <v/>
      </c>
    </row>
    <row r="822" customFormat="false" ht="15" hidden="false" customHeight="false" outlineLevel="0" collapsed="false">
      <c r="A822" s="0" t="s">
        <v>577</v>
      </c>
      <c r="B822" s="6" t="n">
        <v>40884.3597222222</v>
      </c>
      <c r="C822" s="0" t="s">
        <v>41</v>
      </c>
      <c r="D822" s="0" t="s">
        <v>595</v>
      </c>
      <c r="E822" s="0" t="n">
        <v>6</v>
      </c>
      <c r="F822" s="0" t="n">
        <v>4.95</v>
      </c>
      <c r="G822" s="7" t="str">
        <f aca="false">_xlfn.XLOOKUP(D822,Catalog!$B$2:$B$4102,Catalog!$A$2:$A$4102,"NOT IN CATALOG")</f>
        <v>CHOCOLATE HOT WATER BOTTLE</v>
      </c>
      <c r="H822" s="7" t="n">
        <f aca="false">_xlfn.IFNA(VLOOKUP(D822,Catalog!$B$2:$C$4102,2,FALSE()),"")</f>
        <v>4.95</v>
      </c>
      <c r="I822" s="7" t="str">
        <f aca="false">HLOOKUP(C822,Regions!$B$1:$S$2,2,FALSE())</f>
        <v>EU</v>
      </c>
      <c r="J822" s="7" t="n">
        <f aca="false">E822*F822</f>
        <v>29.7</v>
      </c>
      <c r="K822" s="8" t="n">
        <f aca="false">IF(H822="","",1-F822/H822)</f>
        <v>0</v>
      </c>
    </row>
    <row r="823" customFormat="false" ht="15" hidden="false" customHeight="false" outlineLevel="0" collapsed="false">
      <c r="A823" s="0" t="s">
        <v>577</v>
      </c>
      <c r="B823" s="6" t="n">
        <v>40884.3597222222</v>
      </c>
      <c r="C823" s="0" t="s">
        <v>41</v>
      </c>
      <c r="D823" s="0" t="s">
        <v>596</v>
      </c>
      <c r="E823" s="0" t="n">
        <v>1</v>
      </c>
      <c r="F823" s="0" t="n">
        <v>16.95</v>
      </c>
      <c r="G823" s="7" t="str">
        <f aca="false">_xlfn.XLOOKUP(D823,Catalog!$B$2:$B$4102,Catalog!$A$2:$A$4102,"NOT IN CATALOG")</f>
        <v>CHEST OF DRAWERS GINGHAM HEART</v>
      </c>
      <c r="H823" s="7" t="n">
        <f aca="false">_xlfn.IFNA(VLOOKUP(D823,Catalog!$B$2:$C$4102,2,FALSE()),"")</f>
        <v>16.95</v>
      </c>
      <c r="I823" s="7" t="str">
        <f aca="false">HLOOKUP(C823,Regions!$B$1:$S$2,2,FALSE())</f>
        <v>EU</v>
      </c>
      <c r="J823" s="7" t="n">
        <f aca="false">E823*F823</f>
        <v>16.95</v>
      </c>
      <c r="K823" s="8" t="n">
        <f aca="false">IF(H823="","",1-F823/H823)</f>
        <v>0</v>
      </c>
    </row>
    <row r="824" customFormat="false" ht="15" hidden="false" customHeight="false" outlineLevel="0" collapsed="false">
      <c r="A824" s="0" t="s">
        <v>577</v>
      </c>
      <c r="B824" s="6" t="n">
        <v>40884.3597222222</v>
      </c>
      <c r="C824" s="0" t="s">
        <v>41</v>
      </c>
      <c r="D824" s="0" t="s">
        <v>597</v>
      </c>
      <c r="E824" s="0" t="n">
        <v>2</v>
      </c>
      <c r="F824" s="0" t="n">
        <v>8.25</v>
      </c>
      <c r="G824" s="7" t="str">
        <f aca="false">_xlfn.XLOOKUP(D824,Catalog!$B$2:$B$4102,Catalog!$A$2:$A$4102,"NOT IN CATALOG")</f>
        <v>DOOR MAT FANCY FONT HOME SWEET HOME</v>
      </c>
      <c r="H824" s="7" t="n">
        <f aca="false">_xlfn.IFNA(VLOOKUP(D824,Catalog!$B$2:$C$4102,2,FALSE()),"")</f>
        <v>7.49</v>
      </c>
      <c r="I824" s="7" t="str">
        <f aca="false">HLOOKUP(C824,Regions!$B$1:$S$2,2,FALSE())</f>
        <v>EU</v>
      </c>
      <c r="J824" s="7" t="n">
        <f aca="false">E824*F824</f>
        <v>16.5</v>
      </c>
      <c r="K824" s="8" t="n">
        <f aca="false">IF(H824="","",1-F824/H824)</f>
        <v>-0.101468624833111</v>
      </c>
    </row>
    <row r="825" customFormat="false" ht="15" hidden="false" customHeight="false" outlineLevel="0" collapsed="false">
      <c r="A825" s="0" t="s">
        <v>577</v>
      </c>
      <c r="B825" s="6" t="n">
        <v>40884.3597222222</v>
      </c>
      <c r="C825" s="0" t="s">
        <v>41</v>
      </c>
      <c r="D825" s="0" t="s">
        <v>598</v>
      </c>
      <c r="E825" s="0" t="n">
        <v>2</v>
      </c>
      <c r="F825" s="0" t="n">
        <v>8.25</v>
      </c>
      <c r="G825" s="7" t="str">
        <f aca="false">_xlfn.XLOOKUP(D825,Catalog!$B$2:$B$4102,Catalog!$A$2:$A$4102,"NOT IN CATALOG")</f>
        <v>DOORMAT HEARTS</v>
      </c>
      <c r="H825" s="7" t="n">
        <f aca="false">_xlfn.IFNA(VLOOKUP(D825,Catalog!$B$2:$C$4102,2,FALSE()),"")</f>
        <v>7.49</v>
      </c>
      <c r="I825" s="7" t="str">
        <f aca="false">HLOOKUP(C825,Regions!$B$1:$S$2,2,FALSE())</f>
        <v>EU</v>
      </c>
      <c r="J825" s="7" t="n">
        <f aca="false">E825*F825</f>
        <v>16.5</v>
      </c>
      <c r="K825" s="8" t="n">
        <f aca="false">IF(H825="","",1-F825/H825)</f>
        <v>-0.101468624833111</v>
      </c>
    </row>
    <row r="826" customFormat="false" ht="15" hidden="false" customHeight="false" outlineLevel="0" collapsed="false">
      <c r="A826" s="0" t="s">
        <v>577</v>
      </c>
      <c r="B826" s="6" t="n">
        <v>40884.3597222222</v>
      </c>
      <c r="C826" s="0" t="s">
        <v>41</v>
      </c>
      <c r="D826" s="0" t="s">
        <v>599</v>
      </c>
      <c r="E826" s="0" t="n">
        <v>6</v>
      </c>
      <c r="F826" s="0" t="n">
        <v>2.95</v>
      </c>
      <c r="G826" s="7" t="str">
        <f aca="false">_xlfn.XLOOKUP(D826,Catalog!$B$2:$B$4102,Catalog!$A$2:$A$4102,"NOT IN CATALOG")</f>
        <v>RED GINGHAM TEDDY BEAR</v>
      </c>
      <c r="H826" s="7" t="n">
        <f aca="false">_xlfn.IFNA(VLOOKUP(D826,Catalog!$B$2:$C$4102,2,FALSE()),"")</f>
        <v>2.95</v>
      </c>
      <c r="I826" s="7" t="str">
        <f aca="false">HLOOKUP(C826,Regions!$B$1:$S$2,2,FALSE())</f>
        <v>EU</v>
      </c>
      <c r="J826" s="7" t="n">
        <f aca="false">E826*F826</f>
        <v>17.7</v>
      </c>
      <c r="K826" s="8" t="n">
        <f aca="false">IF(H826="","",1-F826/H826)</f>
        <v>0</v>
      </c>
    </row>
    <row r="827" customFormat="false" ht="15" hidden="false" customHeight="false" outlineLevel="0" collapsed="false">
      <c r="A827" s="0" t="s">
        <v>577</v>
      </c>
      <c r="B827" s="6" t="n">
        <v>40884.3597222222</v>
      </c>
      <c r="C827" s="0" t="s">
        <v>41</v>
      </c>
      <c r="D827" s="0" t="s">
        <v>293</v>
      </c>
      <c r="E827" s="0" t="n">
        <v>24</v>
      </c>
      <c r="F827" s="0" t="n">
        <v>1.25</v>
      </c>
      <c r="G827" s="7" t="str">
        <f aca="false">_xlfn.XLOOKUP(D827,Catalog!$B$2:$B$4102,Catalog!$A$2:$A$4102,"NOT IN CATALOG")</f>
        <v>VINTAGE HEADS AND TAILS CARD GAME</v>
      </c>
      <c r="H827" s="7" t="n">
        <f aca="false">_xlfn.IFNA(VLOOKUP(D827,Catalog!$B$2:$C$4102,2,FALSE()),"")</f>
        <v>1.25</v>
      </c>
      <c r="I827" s="7" t="str">
        <f aca="false">HLOOKUP(C827,Regions!$B$1:$S$2,2,FALSE())</f>
        <v>EU</v>
      </c>
      <c r="J827" s="7" t="n">
        <f aca="false">E827*F827</f>
        <v>30</v>
      </c>
      <c r="K827" s="8" t="n">
        <f aca="false">IF(H827="","",1-F827/H827)</f>
        <v>0</v>
      </c>
    </row>
    <row r="828" customFormat="false" ht="15" hidden="false" customHeight="false" outlineLevel="0" collapsed="false">
      <c r="A828" s="0" t="s">
        <v>577</v>
      </c>
      <c r="B828" s="6" t="n">
        <v>40884.3597222222</v>
      </c>
      <c r="C828" s="0" t="s">
        <v>41</v>
      </c>
      <c r="D828" s="0" t="s">
        <v>292</v>
      </c>
      <c r="E828" s="0" t="n">
        <v>12</v>
      </c>
      <c r="F828" s="0" t="n">
        <v>1.45</v>
      </c>
      <c r="G828" s="7" t="str">
        <f aca="false">_xlfn.XLOOKUP(D828,Catalog!$B$2:$B$4102,Catalog!$A$2:$A$4102,"NOT IN CATALOG")</f>
        <v>PICTURE DOMINOES</v>
      </c>
      <c r="H828" s="7" t="n">
        <f aca="false">_xlfn.IFNA(VLOOKUP(D828,Catalog!$B$2:$C$4102,2,FALSE()),"")</f>
        <v>1.45</v>
      </c>
      <c r="I828" s="7" t="str">
        <f aca="false">HLOOKUP(C828,Regions!$B$1:$S$2,2,FALSE())</f>
        <v>EU</v>
      </c>
      <c r="J828" s="7" t="n">
        <f aca="false">E828*F828</f>
        <v>17.4</v>
      </c>
      <c r="K828" s="8" t="n">
        <f aca="false">IF(H828="","",1-F828/H828)</f>
        <v>0</v>
      </c>
    </row>
    <row r="829" customFormat="false" ht="15" hidden="false" customHeight="false" outlineLevel="0" collapsed="false">
      <c r="A829" s="0" t="s">
        <v>577</v>
      </c>
      <c r="B829" s="6" t="n">
        <v>40884.3597222222</v>
      </c>
      <c r="C829" s="0" t="s">
        <v>41</v>
      </c>
      <c r="D829" s="0" t="s">
        <v>101</v>
      </c>
      <c r="E829" s="0" t="n">
        <v>2</v>
      </c>
      <c r="F829" s="0" t="n">
        <v>8.25</v>
      </c>
      <c r="G829" s="7" t="str">
        <f aca="false">_xlfn.XLOOKUP(D829,Catalog!$B$2:$B$4102,Catalog!$A$2:$A$4102,"NOT IN CATALOG")</f>
        <v>NOT IN CATALOG</v>
      </c>
      <c r="H829" s="7" t="str">
        <f aca="false">_xlfn.IFNA(VLOOKUP(D829,Catalog!$B$2:$C$4102,2,FALSE()),"")</f>
        <v/>
      </c>
      <c r="I829" s="7" t="str">
        <f aca="false">HLOOKUP(C829,Regions!$B$1:$S$2,2,FALSE())</f>
        <v>EU</v>
      </c>
      <c r="J829" s="7" t="n">
        <f aca="false">E829*F829</f>
        <v>16.5</v>
      </c>
      <c r="K829" s="8" t="str">
        <f aca="false">IF(H829="","",1-F829/H829)</f>
        <v/>
      </c>
    </row>
    <row r="830" customFormat="false" ht="15" hidden="false" customHeight="false" outlineLevel="0" collapsed="false">
      <c r="A830" s="0" t="s">
        <v>577</v>
      </c>
      <c r="B830" s="6" t="n">
        <v>40884.3597222222</v>
      </c>
      <c r="C830" s="0" t="s">
        <v>41</v>
      </c>
      <c r="D830" s="0" t="s">
        <v>600</v>
      </c>
      <c r="E830" s="0" t="n">
        <v>24</v>
      </c>
      <c r="F830" s="0" t="n">
        <v>2.55</v>
      </c>
      <c r="G830" s="7" t="str">
        <f aca="false">_xlfn.XLOOKUP(D830,Catalog!$B$2:$B$4102,Catalog!$A$2:$A$4102,"NOT IN CATALOG")</f>
        <v>ROTATING SILVER ANGELS T-LIGHT HLDR</v>
      </c>
      <c r="H830" s="7" t="n">
        <f aca="false">_xlfn.IFNA(VLOOKUP(D830,Catalog!$B$2:$C$4102,2,FALSE()),"")</f>
        <v>2.55</v>
      </c>
      <c r="I830" s="7" t="str">
        <f aca="false">HLOOKUP(C830,Regions!$B$1:$S$2,2,FALSE())</f>
        <v>EU</v>
      </c>
      <c r="J830" s="7" t="n">
        <f aca="false">E830*F830</f>
        <v>61.2</v>
      </c>
      <c r="K830" s="8" t="n">
        <f aca="false">IF(H830="","",1-F830/H830)</f>
        <v>0</v>
      </c>
    </row>
    <row r="831" customFormat="false" ht="15" hidden="false" customHeight="false" outlineLevel="0" collapsed="false">
      <c r="A831" s="0" t="s">
        <v>577</v>
      </c>
      <c r="B831" s="6" t="n">
        <v>40884.3597222222</v>
      </c>
      <c r="C831" s="0" t="s">
        <v>41</v>
      </c>
      <c r="D831" s="0" t="s">
        <v>601</v>
      </c>
      <c r="E831" s="0" t="n">
        <v>6</v>
      </c>
      <c r="F831" s="0" t="n">
        <v>2.1</v>
      </c>
      <c r="G831" s="7" t="str">
        <f aca="false">_xlfn.XLOOKUP(D831,Catalog!$B$2:$B$4102,Catalog!$A$2:$A$4102,"NOT IN CATALOG")</f>
        <v>FRENCH ENAMEL CANDLEHOLDER</v>
      </c>
      <c r="H831" s="7" t="n">
        <f aca="false">_xlfn.IFNA(VLOOKUP(D831,Catalog!$B$2:$C$4102,2,FALSE()),"")</f>
        <v>2.1</v>
      </c>
      <c r="I831" s="7" t="str">
        <f aca="false">HLOOKUP(C831,Regions!$B$1:$S$2,2,FALSE())</f>
        <v>EU</v>
      </c>
      <c r="J831" s="7" t="n">
        <f aca="false">E831*F831</f>
        <v>12.6</v>
      </c>
      <c r="K831" s="8" t="n">
        <f aca="false">IF(H831="","",1-F831/H831)</f>
        <v>0</v>
      </c>
    </row>
    <row r="832" customFormat="false" ht="15" hidden="false" customHeight="false" outlineLevel="0" collapsed="false">
      <c r="A832" s="0" t="s">
        <v>577</v>
      </c>
      <c r="B832" s="6" t="n">
        <v>40884.3597222222</v>
      </c>
      <c r="C832" s="0" t="s">
        <v>41</v>
      </c>
      <c r="D832" s="0" t="s">
        <v>65</v>
      </c>
      <c r="E832" s="0" t="n">
        <v>4</v>
      </c>
      <c r="F832" s="0" t="n">
        <v>3.75</v>
      </c>
      <c r="G832" s="7" t="str">
        <f aca="false">_xlfn.XLOOKUP(D832,Catalog!$B$2:$B$4102,Catalog!$A$2:$A$4102,"NOT IN CATALOG")</f>
        <v>ALARM CLOCK BAKELIKE PINK</v>
      </c>
      <c r="H832" s="7" t="n">
        <f aca="false">_xlfn.IFNA(VLOOKUP(D832,Catalog!$B$2:$C$4102,2,FALSE()),"")</f>
        <v>3.75</v>
      </c>
      <c r="I832" s="7" t="str">
        <f aca="false">HLOOKUP(C832,Regions!$B$1:$S$2,2,FALSE())</f>
        <v>EU</v>
      </c>
      <c r="J832" s="7" t="n">
        <f aca="false">E832*F832</f>
        <v>15</v>
      </c>
      <c r="K832" s="8" t="n">
        <f aca="false">IF(H832="","",1-F832/H832)</f>
        <v>0</v>
      </c>
    </row>
    <row r="833" customFormat="false" ht="15" hidden="false" customHeight="false" outlineLevel="0" collapsed="false">
      <c r="A833" s="0" t="s">
        <v>577</v>
      </c>
      <c r="B833" s="6" t="n">
        <v>40884.3597222222</v>
      </c>
      <c r="C833" s="0" t="s">
        <v>41</v>
      </c>
      <c r="D833" s="0" t="s">
        <v>63</v>
      </c>
      <c r="E833" s="0" t="n">
        <v>4</v>
      </c>
      <c r="F833" s="0" t="n">
        <v>3.75</v>
      </c>
      <c r="G833" s="7" t="str">
        <f aca="false">_xlfn.XLOOKUP(D833,Catalog!$B$2:$B$4102,Catalog!$A$2:$A$4102,"NOT IN CATALOG")</f>
        <v>ALARM CLOCK BAKELIKE RED</v>
      </c>
      <c r="H833" s="7" t="n">
        <f aca="false">_xlfn.IFNA(VLOOKUP(D833,Catalog!$B$2:$C$4102,2,FALSE()),"")</f>
        <v>3.75</v>
      </c>
      <c r="I833" s="7" t="str">
        <f aca="false">HLOOKUP(C833,Regions!$B$1:$S$2,2,FALSE())</f>
        <v>EU</v>
      </c>
      <c r="J833" s="7" t="n">
        <f aca="false">E833*F833</f>
        <v>15</v>
      </c>
      <c r="K833" s="8" t="n">
        <f aca="false">IF(H833="","",1-F833/H833)</f>
        <v>0</v>
      </c>
    </row>
    <row r="834" customFormat="false" ht="15" hidden="false" customHeight="false" outlineLevel="0" collapsed="false">
      <c r="A834" s="0" t="s">
        <v>577</v>
      </c>
      <c r="B834" s="6" t="n">
        <v>40884.3597222222</v>
      </c>
      <c r="C834" s="0" t="s">
        <v>41</v>
      </c>
      <c r="D834" s="0" t="s">
        <v>62</v>
      </c>
      <c r="E834" s="0" t="n">
        <v>4</v>
      </c>
      <c r="F834" s="0" t="n">
        <v>3.75</v>
      </c>
      <c r="G834" s="7" t="str">
        <f aca="false">_xlfn.XLOOKUP(D834,Catalog!$B$2:$B$4102,Catalog!$A$2:$A$4102,"NOT IN CATALOG")</f>
        <v>ALARM CLOCK BAKELIKE CHOCOLATE</v>
      </c>
      <c r="H834" s="7" t="n">
        <f aca="false">_xlfn.IFNA(VLOOKUP(D834,Catalog!$B$2:$C$4102,2,FALSE()),"")</f>
        <v>3.75</v>
      </c>
      <c r="I834" s="7" t="str">
        <f aca="false">HLOOKUP(C834,Regions!$B$1:$S$2,2,FALSE())</f>
        <v>EU</v>
      </c>
      <c r="J834" s="7" t="n">
        <f aca="false">E834*F834</f>
        <v>15</v>
      </c>
      <c r="K834" s="8" t="n">
        <f aca="false">IF(H834="","",1-F834/H834)</f>
        <v>0</v>
      </c>
    </row>
    <row r="835" customFormat="false" ht="15" hidden="false" customHeight="false" outlineLevel="0" collapsed="false">
      <c r="A835" s="0" t="s">
        <v>577</v>
      </c>
      <c r="B835" s="6" t="n">
        <v>40884.3597222222</v>
      </c>
      <c r="C835" s="0" t="s">
        <v>41</v>
      </c>
      <c r="D835" s="0" t="s">
        <v>202</v>
      </c>
      <c r="E835" s="0" t="n">
        <v>12</v>
      </c>
      <c r="F835" s="0" t="n">
        <v>2.08</v>
      </c>
      <c r="G835" s="7" t="str">
        <f aca="false">_xlfn.XLOOKUP(D835,Catalog!$B$2:$B$4102,Catalog!$A$2:$A$4102,"NOT IN CATALOG")</f>
        <v>COOK WITH WINE METAL SIGN</v>
      </c>
      <c r="H835" s="7" t="n">
        <f aca="false">_xlfn.IFNA(VLOOKUP(D835,Catalog!$B$2:$C$4102,2,FALSE()),"")</f>
        <v>1.95</v>
      </c>
      <c r="I835" s="7" t="str">
        <f aca="false">HLOOKUP(C835,Regions!$B$1:$S$2,2,FALSE())</f>
        <v>EU</v>
      </c>
      <c r="J835" s="7" t="n">
        <f aca="false">E835*F835</f>
        <v>24.96</v>
      </c>
      <c r="K835" s="8" t="n">
        <f aca="false">IF(H835="","",1-F835/H835)</f>
        <v>-0.0666666666666667</v>
      </c>
    </row>
    <row r="836" customFormat="false" ht="15" hidden="false" customHeight="false" outlineLevel="0" collapsed="false">
      <c r="A836" s="0" t="s">
        <v>577</v>
      </c>
      <c r="B836" s="6" t="n">
        <v>40884.3597222222</v>
      </c>
      <c r="C836" s="0" t="s">
        <v>41</v>
      </c>
      <c r="D836" s="0" t="s">
        <v>204</v>
      </c>
      <c r="E836" s="0" t="n">
        <v>12</v>
      </c>
      <c r="F836" s="0" t="n">
        <v>2.1</v>
      </c>
      <c r="G836" s="7" t="str">
        <f aca="false">_xlfn.XLOOKUP(D836,Catalog!$B$2:$B$4102,Catalog!$A$2:$A$4102,"NOT IN CATALOG")</f>
        <v>PLEASE ONE PERSON METAL SIGN</v>
      </c>
      <c r="H836" s="7" t="n">
        <f aca="false">_xlfn.IFNA(VLOOKUP(D836,Catalog!$B$2:$C$4102,2,FALSE()),"")</f>
        <v>2.1</v>
      </c>
      <c r="I836" s="7" t="str">
        <f aca="false">HLOOKUP(C836,Regions!$B$1:$S$2,2,FALSE())</f>
        <v>EU</v>
      </c>
      <c r="J836" s="7" t="n">
        <f aca="false">E836*F836</f>
        <v>25.2</v>
      </c>
      <c r="K836" s="8" t="n">
        <f aca="false">IF(H836="","",1-F836/H836)</f>
        <v>0</v>
      </c>
    </row>
    <row r="837" customFormat="false" ht="15" hidden="false" customHeight="false" outlineLevel="0" collapsed="false">
      <c r="A837" s="0" t="s">
        <v>577</v>
      </c>
      <c r="B837" s="6" t="n">
        <v>40884.3597222222</v>
      </c>
      <c r="C837" s="0" t="s">
        <v>41</v>
      </c>
      <c r="D837" s="0" t="s">
        <v>602</v>
      </c>
      <c r="E837" s="0" t="n">
        <v>12</v>
      </c>
      <c r="F837" s="0" t="n">
        <v>1.25</v>
      </c>
      <c r="G837" s="7" t="str">
        <f aca="false">_xlfn.XLOOKUP(D837,Catalog!$B$2:$B$4102,Catalog!$A$2:$A$4102,"NOT IN CATALOG")</f>
        <v>ROTATING LEAVES T-LIGHT HOLDER</v>
      </c>
      <c r="H837" s="7" t="n">
        <f aca="false">_xlfn.IFNA(VLOOKUP(D837,Catalog!$B$2:$C$4102,2,FALSE()),"")</f>
        <v>1.25</v>
      </c>
      <c r="I837" s="7" t="str">
        <f aca="false">HLOOKUP(C837,Regions!$B$1:$S$2,2,FALSE())</f>
        <v>EU</v>
      </c>
      <c r="J837" s="7" t="n">
        <f aca="false">E837*F837</f>
        <v>15</v>
      </c>
      <c r="K837" s="8" t="n">
        <f aca="false">IF(H837="","",1-F837/H837)</f>
        <v>0</v>
      </c>
    </row>
    <row r="838" customFormat="false" ht="15" hidden="false" customHeight="false" outlineLevel="0" collapsed="false">
      <c r="A838" s="0" t="s">
        <v>577</v>
      </c>
      <c r="B838" s="6" t="n">
        <v>40884.3597222222</v>
      </c>
      <c r="C838" s="0" t="s">
        <v>41</v>
      </c>
      <c r="D838" s="0" t="s">
        <v>245</v>
      </c>
      <c r="E838" s="0" t="n">
        <v>2</v>
      </c>
      <c r="F838" s="0" t="n">
        <v>9.95</v>
      </c>
      <c r="G838" s="7" t="str">
        <f aca="false">_xlfn.XLOOKUP(D838,Catalog!$B$2:$B$4102,Catalog!$A$2:$A$4102,"NOT IN CATALOG")</f>
        <v>CHILDS BREAKFAST SET DOLLY GIRL</v>
      </c>
      <c r="H838" s="7" t="n">
        <f aca="false">_xlfn.IFNA(VLOOKUP(D838,Catalog!$B$2:$C$4102,2,FALSE()),"")</f>
        <v>9.95</v>
      </c>
      <c r="I838" s="7" t="str">
        <f aca="false">HLOOKUP(C838,Regions!$B$1:$S$2,2,FALSE())</f>
        <v>EU</v>
      </c>
      <c r="J838" s="7" t="n">
        <f aca="false">E838*F838</f>
        <v>19.9</v>
      </c>
      <c r="K838" s="8" t="n">
        <f aca="false">IF(H838="","",1-F838/H838)</f>
        <v>0</v>
      </c>
    </row>
    <row r="839" customFormat="false" ht="15" hidden="false" customHeight="false" outlineLevel="0" collapsed="false">
      <c r="A839" s="0" t="s">
        <v>577</v>
      </c>
      <c r="B839" s="6" t="n">
        <v>40884.3597222222</v>
      </c>
      <c r="C839" s="0" t="s">
        <v>41</v>
      </c>
      <c r="D839" s="0" t="s">
        <v>603</v>
      </c>
      <c r="E839" s="0" t="n">
        <v>2</v>
      </c>
      <c r="F839" s="0" t="n">
        <v>9.95</v>
      </c>
      <c r="G839" s="7" t="str">
        <f aca="false">_xlfn.XLOOKUP(D839,Catalog!$B$2:$B$4102,Catalog!$A$2:$A$4102,"NOT IN CATALOG")</f>
        <v>CHILDS BREAKFAST SET SPACEBOY</v>
      </c>
      <c r="H839" s="7" t="n">
        <f aca="false">_xlfn.IFNA(VLOOKUP(D839,Catalog!$B$2:$C$4102,2,FALSE()),"")</f>
        <v>9.95</v>
      </c>
      <c r="I839" s="7" t="str">
        <f aca="false">HLOOKUP(C839,Regions!$B$1:$S$2,2,FALSE())</f>
        <v>EU</v>
      </c>
      <c r="J839" s="7" t="n">
        <f aca="false">E839*F839</f>
        <v>19.9</v>
      </c>
      <c r="K839" s="8" t="n">
        <f aca="false">IF(H839="","",1-F839/H839)</f>
        <v>0</v>
      </c>
    </row>
    <row r="840" customFormat="false" ht="15" hidden="false" customHeight="false" outlineLevel="0" collapsed="false">
      <c r="A840" s="0" t="s">
        <v>577</v>
      </c>
      <c r="B840" s="6" t="n">
        <v>40884.3597222222</v>
      </c>
      <c r="C840" s="0" t="s">
        <v>41</v>
      </c>
      <c r="D840" s="0" t="s">
        <v>604</v>
      </c>
      <c r="E840" s="0" t="n">
        <v>24</v>
      </c>
      <c r="F840" s="0" t="n">
        <v>0.39</v>
      </c>
      <c r="G840" s="7" t="str">
        <f aca="false">_xlfn.XLOOKUP(D840,Catalog!$B$2:$B$4102,Catalog!$A$2:$A$4102,"NOT IN CATALOG")</f>
        <v>FEATHER PEN,HOT PINK</v>
      </c>
      <c r="H840" s="7" t="n">
        <f aca="false">_xlfn.IFNA(VLOOKUP(D840,Catalog!$B$2:$C$4102,2,FALSE()),"")</f>
        <v>0.85</v>
      </c>
      <c r="I840" s="7" t="str">
        <f aca="false">HLOOKUP(C840,Regions!$B$1:$S$2,2,FALSE())</f>
        <v>EU</v>
      </c>
      <c r="J840" s="7" t="n">
        <f aca="false">E840*F840</f>
        <v>9.36</v>
      </c>
      <c r="K840" s="8" t="n">
        <f aca="false">IF(H840="","",1-F840/H840)</f>
        <v>0.541176470588235</v>
      </c>
    </row>
    <row r="841" customFormat="false" ht="15" hidden="false" customHeight="false" outlineLevel="0" collapsed="false">
      <c r="A841" s="0" t="s">
        <v>577</v>
      </c>
      <c r="B841" s="6" t="n">
        <v>40884.3597222222</v>
      </c>
      <c r="C841" s="0" t="s">
        <v>41</v>
      </c>
      <c r="D841" s="0" t="s">
        <v>605</v>
      </c>
      <c r="E841" s="0" t="n">
        <v>16</v>
      </c>
      <c r="F841" s="0" t="n">
        <v>0.42</v>
      </c>
      <c r="G841" s="7" t="str">
        <f aca="false">_xlfn.XLOOKUP(D841,Catalog!$B$2:$B$4102,Catalog!$A$2:$A$4102,"NOT IN CATALOG")</f>
        <v>ENGLISH ROSE NOTEBOOK A7 SIZE</v>
      </c>
      <c r="H841" s="7" t="n">
        <f aca="false">_xlfn.IFNA(VLOOKUP(D841,Catalog!$B$2:$C$4102,2,FALSE()),"")</f>
        <v>0.42</v>
      </c>
      <c r="I841" s="7" t="str">
        <f aca="false">HLOOKUP(C841,Regions!$B$1:$S$2,2,FALSE())</f>
        <v>EU</v>
      </c>
      <c r="J841" s="7" t="n">
        <f aca="false">E841*F841</f>
        <v>6.72</v>
      </c>
      <c r="K841" s="8" t="n">
        <f aca="false">IF(H841="","",1-F841/H841)</f>
        <v>0</v>
      </c>
    </row>
    <row r="842" customFormat="false" ht="15" hidden="false" customHeight="false" outlineLevel="0" collapsed="false">
      <c r="A842" s="0" t="s">
        <v>577</v>
      </c>
      <c r="B842" s="6" t="n">
        <v>40884.3597222222</v>
      </c>
      <c r="C842" s="0" t="s">
        <v>41</v>
      </c>
      <c r="D842" s="0" t="s">
        <v>606</v>
      </c>
      <c r="E842" s="0" t="n">
        <v>12</v>
      </c>
      <c r="F842" s="0" t="n">
        <v>1.25</v>
      </c>
      <c r="G842" s="7" t="str">
        <f aca="false">_xlfn.XLOOKUP(D842,Catalog!$B$2:$B$4102,Catalog!$A$2:$A$4102,"NOT IN CATALOG")</f>
        <v>HEART CALCULATOR</v>
      </c>
      <c r="H842" s="7" t="n">
        <f aca="false">_xlfn.IFNA(VLOOKUP(D842,Catalog!$B$2:$C$4102,2,FALSE()),"")</f>
        <v>1.25</v>
      </c>
      <c r="I842" s="7" t="str">
        <f aca="false">HLOOKUP(C842,Regions!$B$1:$S$2,2,FALSE())</f>
        <v>EU</v>
      </c>
      <c r="J842" s="7" t="n">
        <f aca="false">E842*F842</f>
        <v>15</v>
      </c>
      <c r="K842" s="8" t="n">
        <f aca="false">IF(H842="","",1-F842/H842)</f>
        <v>0</v>
      </c>
    </row>
    <row r="843" customFormat="false" ht="15" hidden="false" customHeight="false" outlineLevel="0" collapsed="false">
      <c r="A843" s="0" t="s">
        <v>577</v>
      </c>
      <c r="B843" s="6" t="n">
        <v>40884.3597222222</v>
      </c>
      <c r="C843" s="0" t="s">
        <v>41</v>
      </c>
      <c r="D843" s="0" t="s">
        <v>219</v>
      </c>
      <c r="E843" s="0" t="n">
        <v>24</v>
      </c>
      <c r="F843" s="0" t="n">
        <v>0.55</v>
      </c>
      <c r="G843" s="7" t="str">
        <f aca="false">_xlfn.XLOOKUP(D843,Catalog!$B$2:$B$4102,Catalog!$A$2:$A$4102,"NOT IN CATALOG")</f>
        <v>72 SWEETHEART FAIRY CAKE CASES</v>
      </c>
      <c r="H843" s="7" t="n">
        <f aca="false">_xlfn.IFNA(VLOOKUP(D843,Catalog!$B$2:$C$4102,2,FALSE()),"")</f>
        <v>0.55</v>
      </c>
      <c r="I843" s="7" t="str">
        <f aca="false">HLOOKUP(C843,Regions!$B$1:$S$2,2,FALSE())</f>
        <v>EU</v>
      </c>
      <c r="J843" s="7" t="n">
        <f aca="false">E843*F843</f>
        <v>13.2</v>
      </c>
      <c r="K843" s="8" t="n">
        <f aca="false">IF(H843="","",1-F843/H843)</f>
        <v>0</v>
      </c>
    </row>
    <row r="844" customFormat="false" ht="15" hidden="false" customHeight="false" outlineLevel="0" collapsed="false">
      <c r="A844" s="0" t="s">
        <v>577</v>
      </c>
      <c r="B844" s="6" t="n">
        <v>40884.3597222222</v>
      </c>
      <c r="C844" s="0" t="s">
        <v>41</v>
      </c>
      <c r="D844" s="0" t="s">
        <v>257</v>
      </c>
      <c r="E844" s="0" t="n">
        <v>8</v>
      </c>
      <c r="F844" s="0" t="n">
        <v>1.95</v>
      </c>
      <c r="G844" s="7" t="str">
        <f aca="false">_xlfn.XLOOKUP(D844,Catalog!$B$2:$B$4102,Catalog!$A$2:$A$4102,"NOT IN CATALOG")</f>
        <v>RETROSPOT CHILDRENS APRON</v>
      </c>
      <c r="H844" s="7" t="n">
        <f aca="false">_xlfn.IFNA(VLOOKUP(D844,Catalog!$B$2:$C$4102,2,FALSE()),"")</f>
        <v>1.95</v>
      </c>
      <c r="I844" s="7" t="str">
        <f aca="false">HLOOKUP(C844,Regions!$B$1:$S$2,2,FALSE())</f>
        <v>EU</v>
      </c>
      <c r="J844" s="7" t="n">
        <f aca="false">E844*F844</f>
        <v>15.6</v>
      </c>
      <c r="K844" s="8" t="n">
        <f aca="false">IF(H844="","",1-F844/H844)</f>
        <v>0</v>
      </c>
    </row>
    <row r="845" customFormat="false" ht="15" hidden="false" customHeight="false" outlineLevel="0" collapsed="false">
      <c r="A845" s="0" t="s">
        <v>577</v>
      </c>
      <c r="B845" s="6" t="n">
        <v>40884.3597222222</v>
      </c>
      <c r="C845" s="0" t="s">
        <v>41</v>
      </c>
      <c r="D845" s="0" t="s">
        <v>607</v>
      </c>
      <c r="E845" s="0" t="n">
        <v>8</v>
      </c>
      <c r="F845" s="0" t="n">
        <v>1.95</v>
      </c>
      <c r="G845" s="7" t="str">
        <f aca="false">_xlfn.XLOOKUP(D845,Catalog!$B$2:$B$4102,Catalog!$A$2:$A$4102,"NOT IN CATALOG")</f>
        <v>SPACEBOY TV DINNER TRAY</v>
      </c>
      <c r="H845" s="7" t="n">
        <f aca="false">_xlfn.IFNA(VLOOKUP(D845,Catalog!$B$2:$C$4102,2,FALSE()),"")</f>
        <v>4.95</v>
      </c>
      <c r="I845" s="7" t="str">
        <f aca="false">HLOOKUP(C845,Regions!$B$1:$S$2,2,FALSE())</f>
        <v>EU</v>
      </c>
      <c r="J845" s="7" t="n">
        <f aca="false">E845*F845</f>
        <v>15.6</v>
      </c>
      <c r="K845" s="8" t="n">
        <f aca="false">IF(H845="","",1-F845/H845)</f>
        <v>0.606060606060606</v>
      </c>
    </row>
    <row r="846" customFormat="false" ht="15" hidden="false" customHeight="false" outlineLevel="0" collapsed="false">
      <c r="A846" s="0" t="s">
        <v>577</v>
      </c>
      <c r="B846" s="6" t="n">
        <v>40884.3597222222</v>
      </c>
      <c r="C846" s="0" t="s">
        <v>41</v>
      </c>
      <c r="D846" s="0" t="s">
        <v>336</v>
      </c>
      <c r="E846" s="0" t="n">
        <v>8</v>
      </c>
      <c r="F846" s="0" t="n">
        <v>1.95</v>
      </c>
      <c r="G846" s="7" t="str">
        <f aca="false">_xlfn.XLOOKUP(D846,Catalog!$B$2:$B$4102,Catalog!$A$2:$A$4102,"NOT IN CATALOG")</f>
        <v>TV DINNER TRAY VINTAGE PAISLEY</v>
      </c>
      <c r="H846" s="7" t="n">
        <f aca="false">_xlfn.IFNA(VLOOKUP(D846,Catalog!$B$2:$C$4102,2,FALSE()),"")</f>
        <v>4.95</v>
      </c>
      <c r="I846" s="7" t="str">
        <f aca="false">HLOOKUP(C846,Regions!$B$1:$S$2,2,FALSE())</f>
        <v>EU</v>
      </c>
      <c r="J846" s="7" t="n">
        <f aca="false">E846*F846</f>
        <v>15.6</v>
      </c>
      <c r="K846" s="8" t="n">
        <f aca="false">IF(H846="","",1-F846/H846)</f>
        <v>0.606060606060606</v>
      </c>
    </row>
    <row r="847" customFormat="false" ht="15" hidden="false" customHeight="false" outlineLevel="0" collapsed="false">
      <c r="A847" s="0" t="s">
        <v>577</v>
      </c>
      <c r="B847" s="6" t="n">
        <v>40884.3597222222</v>
      </c>
      <c r="C847" s="0" t="s">
        <v>41</v>
      </c>
      <c r="D847" s="0" t="s">
        <v>608</v>
      </c>
      <c r="E847" s="0" t="n">
        <v>8</v>
      </c>
      <c r="F847" s="0" t="n">
        <v>1.95</v>
      </c>
      <c r="G847" s="7" t="str">
        <f aca="false">_xlfn.XLOOKUP(D847,Catalog!$B$2:$B$4102,Catalog!$A$2:$A$4102,"NOT IN CATALOG")</f>
        <v>TV DINNER TRAY DOLLY GIRL</v>
      </c>
      <c r="H847" s="7" t="n">
        <f aca="false">_xlfn.IFNA(VLOOKUP(D847,Catalog!$B$2:$C$4102,2,FALSE()),"")</f>
        <v>4.95</v>
      </c>
      <c r="I847" s="7" t="str">
        <f aca="false">HLOOKUP(C847,Regions!$B$1:$S$2,2,FALSE())</f>
        <v>EU</v>
      </c>
      <c r="J847" s="7" t="n">
        <f aca="false">E847*F847</f>
        <v>15.6</v>
      </c>
      <c r="K847" s="8" t="n">
        <f aca="false">IF(H847="","",1-F847/H847)</f>
        <v>0.606060606060606</v>
      </c>
    </row>
    <row r="848" customFormat="false" ht="15" hidden="false" customHeight="false" outlineLevel="0" collapsed="false">
      <c r="A848" s="0" t="s">
        <v>577</v>
      </c>
      <c r="B848" s="6" t="n">
        <v>40884.3597222222</v>
      </c>
      <c r="C848" s="0" t="s">
        <v>41</v>
      </c>
      <c r="D848" s="0" t="s">
        <v>261</v>
      </c>
      <c r="E848" s="0" t="n">
        <v>12</v>
      </c>
      <c r="F848" s="0" t="n">
        <v>1.45</v>
      </c>
      <c r="G848" s="7" t="str">
        <f aca="false">_xlfn.XLOOKUP(D848,Catalog!$B$2:$B$4102,Catalog!$A$2:$A$4102,"NOT IN CATALOG")</f>
        <v>NOT IN CATALOG</v>
      </c>
      <c r="H848" s="7" t="str">
        <f aca="false">_xlfn.IFNA(VLOOKUP(D848,Catalog!$B$2:$C$4102,2,FALSE()),"")</f>
        <v/>
      </c>
      <c r="I848" s="7" t="str">
        <f aca="false">HLOOKUP(C848,Regions!$B$1:$S$2,2,FALSE())</f>
        <v>EU</v>
      </c>
      <c r="J848" s="7" t="n">
        <f aca="false">E848*F848</f>
        <v>17.4</v>
      </c>
      <c r="K848" s="8" t="str">
        <f aca="false">IF(H848="","",1-F848/H848)</f>
        <v/>
      </c>
    </row>
    <row r="849" customFormat="false" ht="15" hidden="false" customHeight="false" outlineLevel="0" collapsed="false">
      <c r="A849" s="0" t="s">
        <v>577</v>
      </c>
      <c r="B849" s="6" t="n">
        <v>40884.3597222222</v>
      </c>
      <c r="C849" s="0" t="s">
        <v>41</v>
      </c>
      <c r="D849" s="0" t="s">
        <v>609</v>
      </c>
      <c r="E849" s="0" t="n">
        <v>12</v>
      </c>
      <c r="F849" s="0" t="n">
        <v>0.79</v>
      </c>
      <c r="G849" s="7" t="str">
        <f aca="false">_xlfn.XLOOKUP(D849,Catalog!$B$2:$B$4102,Catalog!$A$2:$A$4102,"NOT IN CATALOG")</f>
        <v>ENGLISH ROSE SPIRIT LEVEL</v>
      </c>
      <c r="H849" s="7" t="n">
        <f aca="false">_xlfn.IFNA(VLOOKUP(D849,Catalog!$B$2:$C$4102,2,FALSE()),"")</f>
        <v>1.95</v>
      </c>
      <c r="I849" s="7" t="str">
        <f aca="false">HLOOKUP(C849,Regions!$B$1:$S$2,2,FALSE())</f>
        <v>EU</v>
      </c>
      <c r="J849" s="7" t="n">
        <f aca="false">E849*F849</f>
        <v>9.48</v>
      </c>
      <c r="K849" s="8" t="n">
        <f aca="false">IF(H849="","",1-F849/H849)</f>
        <v>0.594871794871795</v>
      </c>
    </row>
    <row r="850" customFormat="false" ht="15" hidden="false" customHeight="false" outlineLevel="0" collapsed="false">
      <c r="A850" s="0" t="s">
        <v>577</v>
      </c>
      <c r="B850" s="6" t="n">
        <v>40884.3597222222</v>
      </c>
      <c r="C850" s="0" t="s">
        <v>41</v>
      </c>
      <c r="D850" s="0" t="s">
        <v>610</v>
      </c>
      <c r="E850" s="0" t="n">
        <v>24</v>
      </c>
      <c r="F850" s="0" t="n">
        <v>0.55</v>
      </c>
      <c r="G850" s="7" t="str">
        <f aca="false">_xlfn.XLOOKUP(D850,Catalog!$B$2:$B$4102,Catalog!$A$2:$A$4102,"NOT IN CATALOG")</f>
        <v>PACK OF 60 DINOSAUR CAKE CASES</v>
      </c>
      <c r="H850" s="7" t="n">
        <f aca="false">_xlfn.IFNA(VLOOKUP(D850,Catalog!$B$2:$C$4102,2,FALSE()),"")</f>
        <v>0.55</v>
      </c>
      <c r="I850" s="7" t="str">
        <f aca="false">HLOOKUP(C850,Regions!$B$1:$S$2,2,FALSE())</f>
        <v>EU</v>
      </c>
      <c r="J850" s="7" t="n">
        <f aca="false">E850*F850</f>
        <v>13.2</v>
      </c>
      <c r="K850" s="8" t="n">
        <f aca="false">IF(H850="","",1-F850/H850)</f>
        <v>0</v>
      </c>
    </row>
    <row r="851" customFormat="false" ht="15" hidden="false" customHeight="false" outlineLevel="0" collapsed="false">
      <c r="A851" s="0" t="s">
        <v>577</v>
      </c>
      <c r="B851" s="6" t="n">
        <v>40884.3597222222</v>
      </c>
      <c r="C851" s="0" t="s">
        <v>41</v>
      </c>
      <c r="D851" s="0" t="s">
        <v>611</v>
      </c>
      <c r="E851" s="0" t="n">
        <v>4</v>
      </c>
      <c r="F851" s="0" t="n">
        <v>4.15</v>
      </c>
      <c r="G851" s="7" t="str">
        <f aca="false">_xlfn.XLOOKUP(D851,Catalog!$B$2:$B$4102,Catalog!$A$2:$A$4102,"NOT IN CATALOG")</f>
        <v>NOT IN CATALOG</v>
      </c>
      <c r="H851" s="7" t="str">
        <f aca="false">_xlfn.IFNA(VLOOKUP(D851,Catalog!$B$2:$C$4102,2,FALSE()),"")</f>
        <v/>
      </c>
      <c r="I851" s="7" t="str">
        <f aca="false">HLOOKUP(C851,Regions!$B$1:$S$2,2,FALSE())</f>
        <v>EU</v>
      </c>
      <c r="J851" s="7" t="n">
        <f aca="false">E851*F851</f>
        <v>16.6</v>
      </c>
      <c r="K851" s="8" t="str">
        <f aca="false">IF(H851="","",1-F851/H851)</f>
        <v/>
      </c>
    </row>
    <row r="852" customFormat="false" ht="15" hidden="false" customHeight="false" outlineLevel="0" collapsed="false">
      <c r="A852" s="0" t="s">
        <v>577</v>
      </c>
      <c r="B852" s="6" t="n">
        <v>40884.3597222222</v>
      </c>
      <c r="C852" s="0" t="s">
        <v>41</v>
      </c>
      <c r="D852" s="0" t="s">
        <v>612</v>
      </c>
      <c r="E852" s="0" t="n">
        <v>2</v>
      </c>
      <c r="F852" s="0" t="n">
        <v>9.95</v>
      </c>
      <c r="G852" s="7" t="str">
        <f aca="false">_xlfn.XLOOKUP(D852,Catalog!$B$2:$B$4102,Catalog!$A$2:$A$4102,"NOT IN CATALOG")</f>
        <v>WOODEN ROUNDERS GARDEN SET</v>
      </c>
      <c r="H852" s="7" t="n">
        <f aca="false">_xlfn.IFNA(VLOOKUP(D852,Catalog!$B$2:$C$4102,2,FALSE()),"")</f>
        <v>8.5</v>
      </c>
      <c r="I852" s="7" t="str">
        <f aca="false">HLOOKUP(C852,Regions!$B$1:$S$2,2,FALSE())</f>
        <v>EU</v>
      </c>
      <c r="J852" s="7" t="n">
        <f aca="false">E852*F852</f>
        <v>19.9</v>
      </c>
      <c r="K852" s="8" t="n">
        <f aca="false">IF(H852="","",1-F852/H852)</f>
        <v>-0.170588235294117</v>
      </c>
    </row>
    <row r="853" customFormat="false" ht="15" hidden="false" customHeight="false" outlineLevel="0" collapsed="false">
      <c r="A853" s="0" t="s">
        <v>577</v>
      </c>
      <c r="B853" s="6" t="n">
        <v>40884.3597222222</v>
      </c>
      <c r="C853" s="0" t="s">
        <v>41</v>
      </c>
      <c r="D853" s="0" t="s">
        <v>613</v>
      </c>
      <c r="E853" s="0" t="n">
        <v>2</v>
      </c>
      <c r="F853" s="0" t="n">
        <v>14.95</v>
      </c>
      <c r="G853" s="7" t="str">
        <f aca="false">_xlfn.XLOOKUP(D853,Catalog!$B$2:$B$4102,Catalog!$A$2:$A$4102,"NOT IN CATALOG")</f>
        <v>WOODEN CROQUET GARDEN SET</v>
      </c>
      <c r="H853" s="7" t="n">
        <f aca="false">_xlfn.IFNA(VLOOKUP(D853,Catalog!$B$2:$C$4102,2,FALSE()),"")</f>
        <v>12.75</v>
      </c>
      <c r="I853" s="7" t="str">
        <f aca="false">HLOOKUP(C853,Regions!$B$1:$S$2,2,FALSE())</f>
        <v>EU</v>
      </c>
      <c r="J853" s="7" t="n">
        <f aca="false">E853*F853</f>
        <v>29.9</v>
      </c>
      <c r="K853" s="8" t="n">
        <f aca="false">IF(H853="","",1-F853/H853)</f>
        <v>-0.172549019607843</v>
      </c>
    </row>
    <row r="854" customFormat="false" ht="15" hidden="false" customHeight="false" outlineLevel="0" collapsed="false">
      <c r="A854" s="0" t="s">
        <v>577</v>
      </c>
      <c r="B854" s="6" t="n">
        <v>40884.3597222222</v>
      </c>
      <c r="C854" s="0" t="s">
        <v>41</v>
      </c>
      <c r="D854" s="0" t="s">
        <v>614</v>
      </c>
      <c r="E854" s="0" t="n">
        <v>8</v>
      </c>
      <c r="F854" s="0" t="n">
        <v>0.79</v>
      </c>
      <c r="G854" s="7" t="str">
        <f aca="false">_xlfn.XLOOKUP(D854,Catalog!$B$2:$B$4102,Catalog!$A$2:$A$4102,"NOT IN CATALOG")</f>
        <v>NOT IN CATALOG</v>
      </c>
      <c r="H854" s="7" t="str">
        <f aca="false">_xlfn.IFNA(VLOOKUP(D854,Catalog!$B$2:$C$4102,2,FALSE()),"")</f>
        <v/>
      </c>
      <c r="I854" s="7" t="str">
        <f aca="false">HLOOKUP(C854,Regions!$B$1:$S$2,2,FALSE())</f>
        <v>EU</v>
      </c>
      <c r="J854" s="7" t="n">
        <f aca="false">E854*F854</f>
        <v>6.32</v>
      </c>
      <c r="K854" s="8" t="str">
        <f aca="false">IF(H854="","",1-F854/H854)</f>
        <v/>
      </c>
    </row>
    <row r="855" customFormat="false" ht="15" hidden="false" customHeight="false" outlineLevel="0" collapsed="false">
      <c r="A855" s="0" t="s">
        <v>577</v>
      </c>
      <c r="B855" s="6" t="n">
        <v>40884.3597222222</v>
      </c>
      <c r="C855" s="0" t="s">
        <v>41</v>
      </c>
      <c r="D855" s="0" t="s">
        <v>423</v>
      </c>
      <c r="E855" s="0" t="n">
        <v>4</v>
      </c>
      <c r="F855" s="0" t="n">
        <v>4.95</v>
      </c>
      <c r="G855" s="7" t="str">
        <f aca="false">_xlfn.XLOOKUP(D855,Catalog!$B$2:$B$4102,Catalog!$A$2:$A$4102,"NOT IN CATALOG")</f>
        <v>NOT IN CATALOG</v>
      </c>
      <c r="H855" s="7" t="str">
        <f aca="false">_xlfn.IFNA(VLOOKUP(D855,Catalog!$B$2:$C$4102,2,FALSE()),"")</f>
        <v/>
      </c>
      <c r="I855" s="7" t="str">
        <f aca="false">HLOOKUP(C855,Regions!$B$1:$S$2,2,FALSE())</f>
        <v>EU</v>
      </c>
      <c r="J855" s="7" t="n">
        <f aca="false">E855*F855</f>
        <v>19.8</v>
      </c>
      <c r="K855" s="8" t="str">
        <f aca="false">IF(H855="","",1-F855/H855)</f>
        <v/>
      </c>
    </row>
    <row r="856" customFormat="false" ht="15" hidden="false" customHeight="false" outlineLevel="0" collapsed="false">
      <c r="A856" s="0" t="s">
        <v>577</v>
      </c>
      <c r="B856" s="6" t="n">
        <v>40884.3597222222</v>
      </c>
      <c r="C856" s="0" t="s">
        <v>41</v>
      </c>
      <c r="D856" s="0" t="s">
        <v>615</v>
      </c>
      <c r="E856" s="0" t="n">
        <v>10</v>
      </c>
      <c r="F856" s="0" t="n">
        <v>1.65</v>
      </c>
      <c r="G856" s="7" t="str">
        <f aca="false">_xlfn.XLOOKUP(D856,Catalog!$B$2:$B$4102,Catalog!$A$2:$A$4102,"NOT IN CATALOG")</f>
        <v>LUNCH BAG PINK RETROSPOT</v>
      </c>
      <c r="H856" s="7" t="n">
        <f aca="false">_xlfn.IFNA(VLOOKUP(D856,Catalog!$B$2:$C$4102,2,FALSE()),"")</f>
        <v>1.65</v>
      </c>
      <c r="I856" s="7" t="str">
        <f aca="false">HLOOKUP(C856,Regions!$B$1:$S$2,2,FALSE())</f>
        <v>EU</v>
      </c>
      <c r="J856" s="7" t="n">
        <f aca="false">E856*F856</f>
        <v>16.5</v>
      </c>
      <c r="K856" s="8" t="n">
        <f aca="false">IF(H856="","",1-F856/H856)</f>
        <v>0</v>
      </c>
    </row>
    <row r="857" customFormat="false" ht="15" hidden="false" customHeight="false" outlineLevel="0" collapsed="false">
      <c r="A857" s="0" t="s">
        <v>616</v>
      </c>
      <c r="B857" s="6" t="n">
        <v>40884.3645833333</v>
      </c>
      <c r="C857" s="0" t="s">
        <v>41</v>
      </c>
      <c r="D857" s="0" t="s">
        <v>617</v>
      </c>
      <c r="E857" s="0" t="n">
        <v>16</v>
      </c>
      <c r="F857" s="0" t="n">
        <v>0.39</v>
      </c>
      <c r="G857" s="7" t="str">
        <f aca="false">_xlfn.XLOOKUP(D857,Catalog!$B$2:$B$4102,Catalog!$A$2:$A$4102,"NOT IN CATALOG")</f>
        <v>EGG CUP NATURAL CHICKEN</v>
      </c>
      <c r="H857" s="7" t="n">
        <f aca="false">_xlfn.IFNA(VLOOKUP(D857,Catalog!$B$2:$C$4102,2,FALSE()),"")</f>
        <v>1.25</v>
      </c>
      <c r="I857" s="7" t="str">
        <f aca="false">HLOOKUP(C857,Regions!$B$1:$S$2,2,FALSE())</f>
        <v>EU</v>
      </c>
      <c r="J857" s="7" t="n">
        <f aca="false">E857*F857</f>
        <v>6.24</v>
      </c>
      <c r="K857" s="8" t="n">
        <f aca="false">IF(H857="","",1-F857/H857)</f>
        <v>0.688</v>
      </c>
    </row>
    <row r="858" customFormat="false" ht="15" hidden="false" customHeight="false" outlineLevel="0" collapsed="false">
      <c r="A858" s="0" t="s">
        <v>616</v>
      </c>
      <c r="B858" s="6" t="n">
        <v>40884.3645833333</v>
      </c>
      <c r="C858" s="0" t="s">
        <v>41</v>
      </c>
      <c r="D858" s="0" t="s">
        <v>618</v>
      </c>
      <c r="E858" s="0" t="n">
        <v>48</v>
      </c>
      <c r="F858" s="0" t="n">
        <v>0.29</v>
      </c>
      <c r="G858" s="7" t="str">
        <f aca="false">_xlfn.XLOOKUP(D858,Catalog!$B$2:$B$4102,Catalog!$A$2:$A$4102,"NOT IN CATALOG")</f>
        <v>NOT IN CATALOG</v>
      </c>
      <c r="H858" s="7" t="str">
        <f aca="false">_xlfn.IFNA(VLOOKUP(D858,Catalog!$B$2:$C$4102,2,FALSE()),"")</f>
        <v/>
      </c>
      <c r="I858" s="7" t="str">
        <f aca="false">HLOOKUP(C858,Regions!$B$1:$S$2,2,FALSE())</f>
        <v>EU</v>
      </c>
      <c r="J858" s="7" t="n">
        <f aca="false">E858*F858</f>
        <v>13.92</v>
      </c>
      <c r="K858" s="8" t="str">
        <f aca="false">IF(H858="","",1-F858/H858)</f>
        <v/>
      </c>
    </row>
    <row r="859" customFormat="false" ht="15" hidden="false" customHeight="false" outlineLevel="0" collapsed="false">
      <c r="A859" s="0" t="s">
        <v>616</v>
      </c>
      <c r="B859" s="6" t="n">
        <v>40884.3645833333</v>
      </c>
      <c r="C859" s="0" t="s">
        <v>41</v>
      </c>
      <c r="D859" s="0" t="s">
        <v>324</v>
      </c>
      <c r="E859" s="0" t="n">
        <v>10</v>
      </c>
      <c r="F859" s="0" t="n">
        <v>1.65</v>
      </c>
      <c r="G859" s="7" t="str">
        <f aca="false">_xlfn.XLOOKUP(D859,Catalog!$B$2:$B$4102,Catalog!$A$2:$A$4102,"NOT IN CATALOG")</f>
        <v>NOT IN CATALOG</v>
      </c>
      <c r="H859" s="7" t="str">
        <f aca="false">_xlfn.IFNA(VLOOKUP(D859,Catalog!$B$2:$C$4102,2,FALSE()),"")</f>
        <v/>
      </c>
      <c r="I859" s="7" t="str">
        <f aca="false">HLOOKUP(C859,Regions!$B$1:$S$2,2,FALSE())</f>
        <v>EU</v>
      </c>
      <c r="J859" s="7" t="n">
        <f aca="false">E859*F859</f>
        <v>16.5</v>
      </c>
      <c r="K859" s="8" t="str">
        <f aca="false">IF(H859="","",1-F859/H859)</f>
        <v/>
      </c>
    </row>
    <row r="860" customFormat="false" ht="15" hidden="false" customHeight="false" outlineLevel="0" collapsed="false">
      <c r="A860" s="0" t="s">
        <v>616</v>
      </c>
      <c r="B860" s="6" t="n">
        <v>40884.3645833333</v>
      </c>
      <c r="C860" s="0" t="s">
        <v>41</v>
      </c>
      <c r="D860" s="0" t="s">
        <v>468</v>
      </c>
      <c r="E860" s="0" t="n">
        <v>10</v>
      </c>
      <c r="F860" s="0" t="n">
        <v>2.08</v>
      </c>
      <c r="G860" s="7" t="str">
        <f aca="false">_xlfn.XLOOKUP(D860,Catalog!$B$2:$B$4102,Catalog!$A$2:$A$4102,"NOT IN CATALOG")</f>
        <v>NOT IN CATALOG</v>
      </c>
      <c r="H860" s="7" t="str">
        <f aca="false">_xlfn.IFNA(VLOOKUP(D860,Catalog!$B$2:$C$4102,2,FALSE()),"")</f>
        <v/>
      </c>
      <c r="I860" s="7" t="str">
        <f aca="false">HLOOKUP(C860,Regions!$B$1:$S$2,2,FALSE())</f>
        <v>EU</v>
      </c>
      <c r="J860" s="7" t="n">
        <f aca="false">E860*F860</f>
        <v>20.8</v>
      </c>
      <c r="K860" s="8" t="str">
        <f aca="false">IF(H860="","",1-F860/H860)</f>
        <v/>
      </c>
    </row>
    <row r="861" customFormat="false" ht="15" hidden="false" customHeight="false" outlineLevel="0" collapsed="false">
      <c r="A861" s="0" t="s">
        <v>616</v>
      </c>
      <c r="B861" s="6" t="n">
        <v>40884.3645833333</v>
      </c>
      <c r="C861" s="0" t="s">
        <v>41</v>
      </c>
      <c r="D861" s="0" t="s">
        <v>238</v>
      </c>
      <c r="E861" s="0" t="n">
        <v>10</v>
      </c>
      <c r="F861" s="0" t="n">
        <v>2.08</v>
      </c>
      <c r="G861" s="7" t="str">
        <f aca="false">_xlfn.XLOOKUP(D861,Catalog!$B$2:$B$4102,Catalog!$A$2:$A$4102,"NOT IN CATALOG")</f>
        <v>NOT IN CATALOG</v>
      </c>
      <c r="H861" s="7" t="str">
        <f aca="false">_xlfn.IFNA(VLOOKUP(D861,Catalog!$B$2:$C$4102,2,FALSE()),"")</f>
        <v/>
      </c>
      <c r="I861" s="7" t="str">
        <f aca="false">HLOOKUP(C861,Regions!$B$1:$S$2,2,FALSE())</f>
        <v>EU</v>
      </c>
      <c r="J861" s="7" t="n">
        <f aca="false">E861*F861</f>
        <v>20.8</v>
      </c>
      <c r="K861" s="8" t="str">
        <f aca="false">IF(H861="","",1-F861/H861)</f>
        <v/>
      </c>
    </row>
    <row r="862" customFormat="false" ht="15" hidden="false" customHeight="false" outlineLevel="0" collapsed="false">
      <c r="A862" s="0" t="s">
        <v>616</v>
      </c>
      <c r="B862" s="6" t="n">
        <v>40884.3645833333</v>
      </c>
      <c r="C862" s="0" t="s">
        <v>41</v>
      </c>
      <c r="D862" s="0" t="s">
        <v>241</v>
      </c>
      <c r="E862" s="0" t="n">
        <v>10</v>
      </c>
      <c r="F862" s="0" t="n">
        <v>2.08</v>
      </c>
      <c r="G862" s="7" t="str">
        <f aca="false">_xlfn.XLOOKUP(D862,Catalog!$B$2:$B$4102,Catalog!$A$2:$A$4102,"NOT IN CATALOG")</f>
        <v>NOT IN CATALOG</v>
      </c>
      <c r="H862" s="7" t="str">
        <f aca="false">_xlfn.IFNA(VLOOKUP(D862,Catalog!$B$2:$C$4102,2,FALSE()),"")</f>
        <v/>
      </c>
      <c r="I862" s="7" t="str">
        <f aca="false">HLOOKUP(C862,Regions!$B$1:$S$2,2,FALSE())</f>
        <v>EU</v>
      </c>
      <c r="J862" s="7" t="n">
        <f aca="false">E862*F862</f>
        <v>20.8</v>
      </c>
      <c r="K862" s="8" t="str">
        <f aca="false">IF(H862="","",1-F862/H862)</f>
        <v/>
      </c>
    </row>
    <row r="863" customFormat="false" ht="15" hidden="false" customHeight="false" outlineLevel="0" collapsed="false">
      <c r="A863" s="0" t="s">
        <v>616</v>
      </c>
      <c r="B863" s="6" t="n">
        <v>40884.3645833333</v>
      </c>
      <c r="C863" s="0" t="s">
        <v>41</v>
      </c>
      <c r="D863" s="0" t="s">
        <v>619</v>
      </c>
      <c r="E863" s="0" t="n">
        <v>3</v>
      </c>
      <c r="F863" s="0" t="n">
        <v>4.95</v>
      </c>
      <c r="G863" s="7" t="str">
        <f aca="false">_xlfn.XLOOKUP(D863,Catalog!$B$2:$B$4102,Catalog!$A$2:$A$4102,"NOT IN CATALOG")</f>
        <v>OVERNIGHT BAG VINTAGE ROSE PAISLEY</v>
      </c>
      <c r="H863" s="7" t="n">
        <f aca="false">_xlfn.IFNA(VLOOKUP(D863,Catalog!$B$2:$C$4102,2,FALSE()),"")</f>
        <v>4.95</v>
      </c>
      <c r="I863" s="7" t="str">
        <f aca="false">HLOOKUP(C863,Regions!$B$1:$S$2,2,FALSE())</f>
        <v>EU</v>
      </c>
      <c r="J863" s="7" t="n">
        <f aca="false">E863*F863</f>
        <v>14.85</v>
      </c>
      <c r="K863" s="8" t="n">
        <f aca="false">IF(H863="","",1-F863/H863)</f>
        <v>0</v>
      </c>
    </row>
    <row r="864" customFormat="false" ht="15" hidden="false" customHeight="false" outlineLevel="0" collapsed="false">
      <c r="A864" s="0" t="s">
        <v>616</v>
      </c>
      <c r="B864" s="6" t="n">
        <v>40884.3645833333</v>
      </c>
      <c r="C864" s="0" t="s">
        <v>41</v>
      </c>
      <c r="D864" s="0" t="s">
        <v>620</v>
      </c>
      <c r="E864" s="0" t="n">
        <v>12</v>
      </c>
      <c r="F864" s="0" t="n">
        <v>1.65</v>
      </c>
      <c r="G864" s="7" t="str">
        <f aca="false">_xlfn.XLOOKUP(D864,Catalog!$B$2:$B$4102,Catalog!$A$2:$A$4102,"NOT IN CATALOG")</f>
        <v>HANGING METAL HEART LANTERN</v>
      </c>
      <c r="H864" s="7" t="n">
        <f aca="false">_xlfn.IFNA(VLOOKUP(D864,Catalog!$B$2:$C$4102,2,FALSE()),"")</f>
        <v>1.65</v>
      </c>
      <c r="I864" s="7" t="str">
        <f aca="false">HLOOKUP(C864,Regions!$B$1:$S$2,2,FALSE())</f>
        <v>EU</v>
      </c>
      <c r="J864" s="7" t="n">
        <f aca="false">E864*F864</f>
        <v>19.8</v>
      </c>
      <c r="K864" s="8" t="n">
        <f aca="false">IF(H864="","",1-F864/H864)</f>
        <v>0</v>
      </c>
    </row>
    <row r="865" customFormat="false" ht="15" hidden="false" customHeight="false" outlineLevel="0" collapsed="false">
      <c r="A865" s="0" t="s">
        <v>616</v>
      </c>
      <c r="B865" s="6" t="n">
        <v>40884.3645833333</v>
      </c>
      <c r="C865" s="0" t="s">
        <v>41</v>
      </c>
      <c r="D865" s="0" t="s">
        <v>407</v>
      </c>
      <c r="E865" s="0" t="n">
        <v>24</v>
      </c>
      <c r="F865" s="0" t="n">
        <v>2.95</v>
      </c>
      <c r="G865" s="7" t="str">
        <f aca="false">_xlfn.XLOOKUP(D865,Catalog!$B$2:$B$4102,Catalog!$A$2:$A$4102,"NOT IN CATALOG")</f>
        <v>RED HANGING HEART T-LIGHT HOLDER</v>
      </c>
      <c r="H865" s="7" t="n">
        <f aca="false">_xlfn.IFNA(VLOOKUP(D865,Catalog!$B$2:$C$4102,2,FALSE()),"")</f>
        <v>2.95</v>
      </c>
      <c r="I865" s="7" t="str">
        <f aca="false">HLOOKUP(C865,Regions!$B$1:$S$2,2,FALSE())</f>
        <v>EU</v>
      </c>
      <c r="J865" s="7" t="n">
        <f aca="false">E865*F865</f>
        <v>70.8</v>
      </c>
      <c r="K865" s="8" t="n">
        <f aca="false">IF(H865="","",1-F865/H865)</f>
        <v>0</v>
      </c>
    </row>
    <row r="866" customFormat="false" ht="15" hidden="false" customHeight="false" outlineLevel="0" collapsed="false">
      <c r="A866" s="0" t="s">
        <v>616</v>
      </c>
      <c r="B866" s="6" t="n">
        <v>40884.3645833333</v>
      </c>
      <c r="C866" s="0" t="s">
        <v>41</v>
      </c>
      <c r="D866" s="0" t="s">
        <v>412</v>
      </c>
      <c r="E866" s="0" t="n">
        <v>24</v>
      </c>
      <c r="F866" s="0" t="n">
        <v>2.95</v>
      </c>
      <c r="G866" s="7" t="str">
        <f aca="false">_xlfn.XLOOKUP(D866,Catalog!$B$2:$B$4102,Catalog!$A$2:$A$4102,"NOT IN CATALOG")</f>
        <v>WHITE HANGING HEART T-LIGHT HOLDER</v>
      </c>
      <c r="H866" s="7" t="n">
        <f aca="false">_xlfn.IFNA(VLOOKUP(D866,Catalog!$B$2:$C$4102,2,FALSE()),"")</f>
        <v>2.95</v>
      </c>
      <c r="I866" s="7" t="str">
        <f aca="false">HLOOKUP(C866,Regions!$B$1:$S$2,2,FALSE())</f>
        <v>EU</v>
      </c>
      <c r="J866" s="7" t="n">
        <f aca="false">E866*F866</f>
        <v>70.8</v>
      </c>
      <c r="K866" s="8" t="n">
        <f aca="false">IF(H866="","",1-F866/H866)</f>
        <v>0</v>
      </c>
    </row>
    <row r="867" customFormat="false" ht="15" hidden="false" customHeight="false" outlineLevel="0" collapsed="false">
      <c r="A867" s="0" t="s">
        <v>616</v>
      </c>
      <c r="B867" s="6" t="n">
        <v>40884.3645833333</v>
      </c>
      <c r="C867" s="0" t="s">
        <v>41</v>
      </c>
      <c r="D867" s="0" t="s">
        <v>146</v>
      </c>
      <c r="E867" s="0" t="n">
        <v>12</v>
      </c>
      <c r="F867" s="0" t="n">
        <v>2.89</v>
      </c>
      <c r="G867" s="7" t="str">
        <f aca="false">_xlfn.XLOOKUP(D867,Catalog!$B$2:$B$4102,Catalog!$A$2:$A$4102,"NOT IN CATALOG")</f>
        <v>NOT IN CATALOG</v>
      </c>
      <c r="H867" s="7" t="str">
        <f aca="false">_xlfn.IFNA(VLOOKUP(D867,Catalog!$B$2:$C$4102,2,FALSE()),"")</f>
        <v/>
      </c>
      <c r="I867" s="7" t="str">
        <f aca="false">HLOOKUP(C867,Regions!$B$1:$S$2,2,FALSE())</f>
        <v>EU</v>
      </c>
      <c r="J867" s="7" t="n">
        <f aca="false">E867*F867</f>
        <v>34.68</v>
      </c>
      <c r="K867" s="8" t="str">
        <f aca="false">IF(H867="","",1-F867/H867)</f>
        <v/>
      </c>
    </row>
    <row r="868" customFormat="false" ht="15" hidden="false" customHeight="false" outlineLevel="0" collapsed="false">
      <c r="A868" s="0" t="s">
        <v>616</v>
      </c>
      <c r="B868" s="6" t="n">
        <v>40884.3645833333</v>
      </c>
      <c r="C868" s="0" t="s">
        <v>41</v>
      </c>
      <c r="D868" s="0" t="s">
        <v>112</v>
      </c>
      <c r="E868" s="0" t="n">
        <v>6</v>
      </c>
      <c r="F868" s="0" t="n">
        <v>2.49</v>
      </c>
      <c r="G868" s="7" t="str">
        <f aca="false">_xlfn.XLOOKUP(D868,Catalog!$B$2:$B$4102,Catalog!$A$2:$A$4102,"NOT IN CATALOG")</f>
        <v>NOT IN CATALOG</v>
      </c>
      <c r="H868" s="7" t="str">
        <f aca="false">_xlfn.IFNA(VLOOKUP(D868,Catalog!$B$2:$C$4102,2,FALSE()),"")</f>
        <v/>
      </c>
      <c r="I868" s="7" t="str">
        <f aca="false">HLOOKUP(C868,Regions!$B$1:$S$2,2,FALSE())</f>
        <v>EU</v>
      </c>
      <c r="J868" s="7" t="n">
        <f aca="false">E868*F868</f>
        <v>14.94</v>
      </c>
      <c r="K868" s="8" t="str">
        <f aca="false">IF(H868="","",1-F868/H868)</f>
        <v/>
      </c>
    </row>
    <row r="869" customFormat="false" ht="15" hidden="false" customHeight="false" outlineLevel="0" collapsed="false">
      <c r="A869" s="0" t="s">
        <v>616</v>
      </c>
      <c r="B869" s="6" t="n">
        <v>40884.3645833333</v>
      </c>
      <c r="C869" s="0" t="s">
        <v>41</v>
      </c>
      <c r="D869" s="0" t="s">
        <v>204</v>
      </c>
      <c r="E869" s="0" t="n">
        <v>12</v>
      </c>
      <c r="F869" s="0" t="n">
        <v>2.1</v>
      </c>
      <c r="G869" s="7" t="str">
        <f aca="false">_xlfn.XLOOKUP(D869,Catalog!$B$2:$B$4102,Catalog!$A$2:$A$4102,"NOT IN CATALOG")</f>
        <v>PLEASE ONE PERSON METAL SIGN</v>
      </c>
      <c r="H869" s="7" t="n">
        <f aca="false">_xlfn.IFNA(VLOOKUP(D869,Catalog!$B$2:$C$4102,2,FALSE()),"")</f>
        <v>2.1</v>
      </c>
      <c r="I869" s="7" t="str">
        <f aca="false">HLOOKUP(C869,Regions!$B$1:$S$2,2,FALSE())</f>
        <v>EU</v>
      </c>
      <c r="J869" s="7" t="n">
        <f aca="false">E869*F869</f>
        <v>25.2</v>
      </c>
      <c r="K869" s="8" t="n">
        <f aca="false">IF(H869="","",1-F869/H869)</f>
        <v>0</v>
      </c>
    </row>
    <row r="870" customFormat="false" ht="15" hidden="false" customHeight="false" outlineLevel="0" collapsed="false">
      <c r="A870" s="0" t="s">
        <v>616</v>
      </c>
      <c r="B870" s="6" t="n">
        <v>40884.3645833333</v>
      </c>
      <c r="C870" s="0" t="s">
        <v>41</v>
      </c>
      <c r="D870" s="0" t="s">
        <v>621</v>
      </c>
      <c r="E870" s="0" t="n">
        <v>24</v>
      </c>
      <c r="F870" s="0" t="n">
        <v>0.39</v>
      </c>
      <c r="G870" s="7" t="str">
        <f aca="false">_xlfn.XLOOKUP(D870,Catalog!$B$2:$B$4102,Catalog!$A$2:$A$4102,"NOT IN CATALOG")</f>
        <v>TOXIC AREA DOOR HANGER</v>
      </c>
      <c r="H870" s="7" t="n">
        <f aca="false">_xlfn.IFNA(VLOOKUP(D870,Catalog!$B$2:$C$4102,2,FALSE()),"")</f>
        <v>1.45</v>
      </c>
      <c r="I870" s="7" t="str">
        <f aca="false">HLOOKUP(C870,Regions!$B$1:$S$2,2,FALSE())</f>
        <v>EU</v>
      </c>
      <c r="J870" s="7" t="n">
        <f aca="false">E870*F870</f>
        <v>9.36</v>
      </c>
      <c r="K870" s="8" t="n">
        <f aca="false">IF(H870="","",1-F870/H870)</f>
        <v>0.731034482758621</v>
      </c>
    </row>
    <row r="871" customFormat="false" ht="15" hidden="false" customHeight="false" outlineLevel="0" collapsed="false">
      <c r="A871" s="0" t="s">
        <v>616</v>
      </c>
      <c r="B871" s="6" t="n">
        <v>40884.3645833333</v>
      </c>
      <c r="C871" s="0" t="s">
        <v>41</v>
      </c>
      <c r="D871" s="0" t="s">
        <v>622</v>
      </c>
      <c r="E871" s="0" t="n">
        <v>24</v>
      </c>
      <c r="F871" s="0" t="n">
        <v>0.55</v>
      </c>
      <c r="G871" s="7" t="str">
        <f aca="false">_xlfn.XLOOKUP(D871,Catalog!$B$2:$B$4102,Catalog!$A$2:$A$4102,"NOT IN CATALOG")</f>
        <v>NOT IN CATALOG</v>
      </c>
      <c r="H871" s="7" t="str">
        <f aca="false">_xlfn.IFNA(VLOOKUP(D871,Catalog!$B$2:$C$4102,2,FALSE()),"")</f>
        <v/>
      </c>
      <c r="I871" s="7" t="str">
        <f aca="false">HLOOKUP(C871,Regions!$B$1:$S$2,2,FALSE())</f>
        <v>EU</v>
      </c>
      <c r="J871" s="7" t="n">
        <f aca="false">E871*F871</f>
        <v>13.2</v>
      </c>
      <c r="K871" s="8" t="str">
        <f aca="false">IF(H871="","",1-F871/H871)</f>
        <v/>
      </c>
    </row>
    <row r="872" customFormat="false" ht="15" hidden="false" customHeight="false" outlineLevel="0" collapsed="false">
      <c r="A872" s="0" t="s">
        <v>616</v>
      </c>
      <c r="B872" s="6" t="n">
        <v>40884.3645833333</v>
      </c>
      <c r="C872" s="0" t="s">
        <v>41</v>
      </c>
      <c r="D872" s="0" t="s">
        <v>623</v>
      </c>
      <c r="E872" s="0" t="n">
        <v>24</v>
      </c>
      <c r="F872" s="0" t="n">
        <v>0.42</v>
      </c>
      <c r="G872" s="7" t="str">
        <f aca="false">_xlfn.XLOOKUP(D872,Catalog!$B$2:$B$4102,Catalog!$A$2:$A$4102,"NOT IN CATALOG")</f>
        <v>75 GREEN PETIT FOUR CASES</v>
      </c>
      <c r="H872" s="7" t="n">
        <f aca="false">_xlfn.IFNA(VLOOKUP(D872,Catalog!$B$2:$C$4102,2,FALSE()),"")</f>
        <v>0.42</v>
      </c>
      <c r="I872" s="7" t="str">
        <f aca="false">HLOOKUP(C872,Regions!$B$1:$S$2,2,FALSE())</f>
        <v>EU</v>
      </c>
      <c r="J872" s="7" t="n">
        <f aca="false">E872*F872</f>
        <v>10.08</v>
      </c>
      <c r="K872" s="8" t="n">
        <f aca="false">IF(H872="","",1-F872/H872)</f>
        <v>0</v>
      </c>
    </row>
    <row r="873" customFormat="false" ht="15" hidden="false" customHeight="false" outlineLevel="0" collapsed="false">
      <c r="A873" s="0" t="s">
        <v>616</v>
      </c>
      <c r="B873" s="6" t="n">
        <v>40884.3645833333</v>
      </c>
      <c r="C873" s="0" t="s">
        <v>41</v>
      </c>
      <c r="D873" s="0" t="s">
        <v>624</v>
      </c>
      <c r="E873" s="0" t="n">
        <v>24</v>
      </c>
      <c r="F873" s="0" t="n">
        <v>0.55</v>
      </c>
      <c r="G873" s="7" t="str">
        <f aca="false">_xlfn.XLOOKUP(D873,Catalog!$B$2:$B$4102,Catalog!$A$2:$A$4102,"NOT IN CATALOG")</f>
        <v>60 TEATIME FAIRY CAKE CASES</v>
      </c>
      <c r="H873" s="7" t="n">
        <f aca="false">_xlfn.IFNA(VLOOKUP(D873,Catalog!$B$2:$C$4102,2,FALSE()),"")</f>
        <v>0.55</v>
      </c>
      <c r="I873" s="7" t="str">
        <f aca="false">HLOOKUP(C873,Regions!$B$1:$S$2,2,FALSE())</f>
        <v>EU</v>
      </c>
      <c r="J873" s="7" t="n">
        <f aca="false">E873*F873</f>
        <v>13.2</v>
      </c>
      <c r="K873" s="8" t="n">
        <f aca="false">IF(H873="","",1-F873/H873)</f>
        <v>0</v>
      </c>
    </row>
    <row r="874" customFormat="false" ht="15" hidden="false" customHeight="false" outlineLevel="0" collapsed="false">
      <c r="A874" s="0" t="s">
        <v>616</v>
      </c>
      <c r="B874" s="6" t="n">
        <v>40884.3645833333</v>
      </c>
      <c r="C874" s="0" t="s">
        <v>41</v>
      </c>
      <c r="D874" s="0" t="s">
        <v>426</v>
      </c>
      <c r="E874" s="0" t="n">
        <v>3</v>
      </c>
      <c r="F874" s="0" t="n">
        <v>4.95</v>
      </c>
      <c r="G874" s="7" t="str">
        <f aca="false">_xlfn.XLOOKUP(D874,Catalog!$B$2:$B$4102,Catalog!$A$2:$A$4102,"NOT IN CATALOG")</f>
        <v>NOT IN CATALOG</v>
      </c>
      <c r="H874" s="7" t="str">
        <f aca="false">_xlfn.IFNA(VLOOKUP(D874,Catalog!$B$2:$C$4102,2,FALSE()),"")</f>
        <v/>
      </c>
      <c r="I874" s="7" t="str">
        <f aca="false">HLOOKUP(C874,Regions!$B$1:$S$2,2,FALSE())</f>
        <v>EU</v>
      </c>
      <c r="J874" s="7" t="n">
        <f aca="false">E874*F874</f>
        <v>14.85</v>
      </c>
      <c r="K874" s="8" t="str">
        <f aca="false">IF(H874="","",1-F874/H874)</f>
        <v/>
      </c>
    </row>
    <row r="875" customFormat="false" ht="15" hidden="false" customHeight="false" outlineLevel="0" collapsed="false">
      <c r="A875" s="0" t="s">
        <v>616</v>
      </c>
      <c r="B875" s="6" t="n">
        <v>40884.3645833333</v>
      </c>
      <c r="C875" s="0" t="s">
        <v>41</v>
      </c>
      <c r="D875" s="0" t="s">
        <v>625</v>
      </c>
      <c r="E875" s="0" t="n">
        <v>9</v>
      </c>
      <c r="F875" s="0" t="n">
        <v>4.95</v>
      </c>
      <c r="G875" s="7" t="str">
        <f aca="false">_xlfn.XLOOKUP(D875,Catalog!$B$2:$B$4102,Catalog!$A$2:$A$4102,"NOT IN CATALOG")</f>
        <v>NOT IN CATALOG</v>
      </c>
      <c r="H875" s="7" t="str">
        <f aca="false">_xlfn.IFNA(VLOOKUP(D875,Catalog!$B$2:$C$4102,2,FALSE()),"")</f>
        <v/>
      </c>
      <c r="I875" s="7" t="str">
        <f aca="false">HLOOKUP(C875,Regions!$B$1:$S$2,2,FALSE())</f>
        <v>EU</v>
      </c>
      <c r="J875" s="7" t="n">
        <f aca="false">E875*F875</f>
        <v>44.55</v>
      </c>
      <c r="K875" s="8" t="str">
        <f aca="false">IF(H875="","",1-F875/H875)</f>
        <v/>
      </c>
    </row>
    <row r="876" customFormat="false" ht="15" hidden="false" customHeight="false" outlineLevel="0" collapsed="false">
      <c r="A876" s="0" t="s">
        <v>616</v>
      </c>
      <c r="B876" s="6" t="n">
        <v>40884.3645833333</v>
      </c>
      <c r="C876" s="0" t="s">
        <v>41</v>
      </c>
      <c r="D876" s="0" t="s">
        <v>626</v>
      </c>
      <c r="E876" s="0" t="n">
        <v>12</v>
      </c>
      <c r="F876" s="0" t="n">
        <v>1.25</v>
      </c>
      <c r="G876" s="7" t="str">
        <f aca="false">_xlfn.XLOOKUP(D876,Catalog!$B$2:$B$4102,Catalog!$A$2:$A$4102,"NOT IN CATALOG")</f>
        <v>NOT IN CATALOG</v>
      </c>
      <c r="H876" s="7" t="str">
        <f aca="false">_xlfn.IFNA(VLOOKUP(D876,Catalog!$B$2:$C$4102,2,FALSE()),"")</f>
        <v/>
      </c>
      <c r="I876" s="7" t="str">
        <f aca="false">HLOOKUP(C876,Regions!$B$1:$S$2,2,FALSE())</f>
        <v>EU</v>
      </c>
      <c r="J876" s="7" t="n">
        <f aca="false">E876*F876</f>
        <v>15</v>
      </c>
      <c r="K876" s="8" t="str">
        <f aca="false">IF(H876="","",1-F876/H876)</f>
        <v/>
      </c>
    </row>
    <row r="877" customFormat="false" ht="15" hidden="false" customHeight="false" outlineLevel="0" collapsed="false">
      <c r="A877" s="0" t="s">
        <v>616</v>
      </c>
      <c r="B877" s="6" t="n">
        <v>40884.3645833333</v>
      </c>
      <c r="C877" s="0" t="s">
        <v>41</v>
      </c>
      <c r="D877" s="0" t="s">
        <v>269</v>
      </c>
      <c r="E877" s="0" t="n">
        <v>6</v>
      </c>
      <c r="F877" s="0" t="n">
        <v>1.95</v>
      </c>
      <c r="G877" s="7" t="str">
        <f aca="false">_xlfn.XLOOKUP(D877,Catalog!$B$2:$B$4102,Catalog!$A$2:$A$4102,"NOT IN CATALOG")</f>
        <v>NOT IN CATALOG</v>
      </c>
      <c r="H877" s="7" t="str">
        <f aca="false">_xlfn.IFNA(VLOOKUP(D877,Catalog!$B$2:$C$4102,2,FALSE()),"")</f>
        <v/>
      </c>
      <c r="I877" s="7" t="str">
        <f aca="false">HLOOKUP(C877,Regions!$B$1:$S$2,2,FALSE())</f>
        <v>EU</v>
      </c>
      <c r="J877" s="7" t="n">
        <f aca="false">E877*F877</f>
        <v>11.7</v>
      </c>
      <c r="K877" s="8" t="str">
        <f aca="false">IF(H877="","",1-F877/H877)</f>
        <v/>
      </c>
    </row>
    <row r="878" customFormat="false" ht="15" hidden="false" customHeight="false" outlineLevel="0" collapsed="false">
      <c r="A878" s="0" t="s">
        <v>616</v>
      </c>
      <c r="B878" s="6" t="n">
        <v>40884.3645833333</v>
      </c>
      <c r="C878" s="0" t="s">
        <v>41</v>
      </c>
      <c r="D878" s="0" t="s">
        <v>489</v>
      </c>
      <c r="E878" s="0" t="n">
        <v>2</v>
      </c>
      <c r="F878" s="0" t="n">
        <v>16.95</v>
      </c>
      <c r="G878" s="7" t="str">
        <f aca="false">_xlfn.XLOOKUP(D878,Catalog!$B$2:$B$4102,Catalog!$A$2:$A$4102,"NOT IN CATALOG")</f>
        <v>BREAD BIN DINER STYLE RED</v>
      </c>
      <c r="H878" s="7" t="n">
        <f aca="false">_xlfn.IFNA(VLOOKUP(D878,Catalog!$B$2:$C$4102,2,FALSE()),"")</f>
        <v>16.95</v>
      </c>
      <c r="I878" s="7" t="str">
        <f aca="false">HLOOKUP(C878,Regions!$B$1:$S$2,2,FALSE())</f>
        <v>EU</v>
      </c>
      <c r="J878" s="7" t="n">
        <f aca="false">E878*F878</f>
        <v>33.9</v>
      </c>
      <c r="K878" s="8" t="n">
        <f aca="false">IF(H878="","",1-F878/H878)</f>
        <v>0</v>
      </c>
    </row>
    <row r="879" customFormat="false" ht="15" hidden="false" customHeight="false" outlineLevel="0" collapsed="false">
      <c r="A879" s="0" t="s">
        <v>616</v>
      </c>
      <c r="B879" s="6" t="n">
        <v>40884.3645833333</v>
      </c>
      <c r="C879" s="0" t="s">
        <v>41</v>
      </c>
      <c r="D879" s="0" t="s">
        <v>627</v>
      </c>
      <c r="E879" s="0" t="n">
        <v>1</v>
      </c>
      <c r="F879" s="0" t="n">
        <v>12.75</v>
      </c>
      <c r="G879" s="7" t="str">
        <f aca="false">_xlfn.XLOOKUP(D879,Catalog!$B$2:$B$4102,Catalog!$A$2:$A$4102,"NOT IN CATALOG")</f>
        <v>ENAMEL BREAD BIN CREAM</v>
      </c>
      <c r="H879" s="7" t="n">
        <f aca="false">_xlfn.IFNA(VLOOKUP(D879,Catalog!$B$2:$C$4102,2,FALSE()),"")</f>
        <v>12.75</v>
      </c>
      <c r="I879" s="7" t="str">
        <f aca="false">HLOOKUP(C879,Regions!$B$1:$S$2,2,FALSE())</f>
        <v>EU</v>
      </c>
      <c r="J879" s="7" t="n">
        <f aca="false">E879*F879</f>
        <v>12.75</v>
      </c>
      <c r="K879" s="8" t="n">
        <f aca="false">IF(H879="","",1-F879/H879)</f>
        <v>0</v>
      </c>
    </row>
    <row r="880" customFormat="false" ht="15" hidden="false" customHeight="false" outlineLevel="0" collapsed="false">
      <c r="A880" s="0" t="s">
        <v>616</v>
      </c>
      <c r="B880" s="6" t="n">
        <v>40884.3645833333</v>
      </c>
      <c r="C880" s="0" t="s">
        <v>41</v>
      </c>
      <c r="D880" s="0" t="s">
        <v>216</v>
      </c>
      <c r="E880" s="0" t="n">
        <v>12</v>
      </c>
      <c r="F880" s="0" t="n">
        <v>1.25</v>
      </c>
      <c r="G880" s="7" t="str">
        <f aca="false">_xlfn.XLOOKUP(D880,Catalog!$B$2:$B$4102,Catalog!$A$2:$A$4102,"NOT IN CATALOG")</f>
        <v>GINGERBREAD MAN COOKIE CUTTER</v>
      </c>
      <c r="H880" s="7" t="n">
        <f aca="false">_xlfn.IFNA(VLOOKUP(D880,Catalog!$B$2:$C$4102,2,FALSE()),"")</f>
        <v>1.25</v>
      </c>
      <c r="I880" s="7" t="str">
        <f aca="false">HLOOKUP(C880,Regions!$B$1:$S$2,2,FALSE())</f>
        <v>EU</v>
      </c>
      <c r="J880" s="7" t="n">
        <f aca="false">E880*F880</f>
        <v>15</v>
      </c>
      <c r="K880" s="8" t="n">
        <f aca="false">IF(H880="","",1-F880/H880)</f>
        <v>0</v>
      </c>
    </row>
    <row r="881" customFormat="false" ht="15" hidden="false" customHeight="false" outlineLevel="0" collapsed="false">
      <c r="A881" s="0" t="s">
        <v>616</v>
      </c>
      <c r="B881" s="6" t="n">
        <v>40884.3645833333</v>
      </c>
      <c r="C881" s="0" t="s">
        <v>41</v>
      </c>
      <c r="D881" s="0" t="s">
        <v>628</v>
      </c>
      <c r="E881" s="0" t="n">
        <v>10</v>
      </c>
      <c r="F881" s="0" t="n">
        <v>1.65</v>
      </c>
      <c r="G881" s="7" t="str">
        <f aca="false">_xlfn.XLOOKUP(D881,Catalog!$B$2:$B$4102,Catalog!$A$2:$A$4102,"NOT IN CATALOG")</f>
        <v>NOT IN CATALOG</v>
      </c>
      <c r="H881" s="7" t="str">
        <f aca="false">_xlfn.IFNA(VLOOKUP(D881,Catalog!$B$2:$C$4102,2,FALSE()),"")</f>
        <v/>
      </c>
      <c r="I881" s="7" t="str">
        <f aca="false">HLOOKUP(C881,Regions!$B$1:$S$2,2,FALSE())</f>
        <v>EU</v>
      </c>
      <c r="J881" s="7" t="n">
        <f aca="false">E881*F881</f>
        <v>16.5</v>
      </c>
      <c r="K881" s="8" t="str">
        <f aca="false">IF(H881="","",1-F881/H881)</f>
        <v/>
      </c>
    </row>
    <row r="882" customFormat="false" ht="15" hidden="false" customHeight="false" outlineLevel="0" collapsed="false">
      <c r="A882" s="0" t="s">
        <v>616</v>
      </c>
      <c r="B882" s="6" t="n">
        <v>40884.3645833333</v>
      </c>
      <c r="C882" s="0" t="s">
        <v>41</v>
      </c>
      <c r="D882" s="0" t="s">
        <v>629</v>
      </c>
      <c r="E882" s="0" t="n">
        <v>6</v>
      </c>
      <c r="F882" s="0" t="n">
        <v>3.75</v>
      </c>
      <c r="G882" s="7" t="str">
        <f aca="false">_xlfn.XLOOKUP(D882,Catalog!$B$2:$B$4102,Catalog!$A$2:$A$4102,"NOT IN CATALOG")</f>
        <v>POLKA DOT RAFFIA FOOD COVER</v>
      </c>
      <c r="H882" s="7" t="n">
        <f aca="false">_xlfn.IFNA(VLOOKUP(D882,Catalog!$B$2:$C$4102,2,FALSE()),"")</f>
        <v>3.75</v>
      </c>
      <c r="I882" s="7" t="str">
        <f aca="false">HLOOKUP(C882,Regions!$B$1:$S$2,2,FALSE())</f>
        <v>EU</v>
      </c>
      <c r="J882" s="7" t="n">
        <f aca="false">E882*F882</f>
        <v>22.5</v>
      </c>
      <c r="K882" s="8" t="n">
        <f aca="false">IF(H882="","",1-F882/H882)</f>
        <v>0</v>
      </c>
    </row>
    <row r="883" customFormat="false" ht="15" hidden="false" customHeight="false" outlineLevel="0" collapsed="false">
      <c r="A883" s="0" t="s">
        <v>616</v>
      </c>
      <c r="B883" s="6" t="n">
        <v>40884.3645833333</v>
      </c>
      <c r="C883" s="0" t="s">
        <v>41</v>
      </c>
      <c r="D883" s="0" t="s">
        <v>389</v>
      </c>
      <c r="E883" s="0" t="n">
        <v>4</v>
      </c>
      <c r="F883" s="0" t="n">
        <v>3.75</v>
      </c>
      <c r="G883" s="7" t="str">
        <f aca="false">_xlfn.XLOOKUP(D883,Catalog!$B$2:$B$4102,Catalog!$A$2:$A$4102,"NOT IN CATALOG")</f>
        <v>NOT IN CATALOG</v>
      </c>
      <c r="H883" s="7" t="str">
        <f aca="false">_xlfn.IFNA(VLOOKUP(D883,Catalog!$B$2:$C$4102,2,FALSE()),"")</f>
        <v/>
      </c>
      <c r="I883" s="7" t="str">
        <f aca="false">HLOOKUP(C883,Regions!$B$1:$S$2,2,FALSE())</f>
        <v>EU</v>
      </c>
      <c r="J883" s="7" t="n">
        <f aca="false">E883*F883</f>
        <v>15</v>
      </c>
      <c r="K883" s="8" t="str">
        <f aca="false">IF(H883="","",1-F883/H883)</f>
        <v/>
      </c>
    </row>
    <row r="884" customFormat="false" ht="15" hidden="false" customHeight="false" outlineLevel="0" collapsed="false">
      <c r="A884" s="0" t="s">
        <v>616</v>
      </c>
      <c r="B884" s="6" t="n">
        <v>40884.3645833333</v>
      </c>
      <c r="C884" s="0" t="s">
        <v>41</v>
      </c>
      <c r="D884" s="0" t="s">
        <v>630</v>
      </c>
      <c r="E884" s="0" t="n">
        <v>6</v>
      </c>
      <c r="F884" s="0" t="n">
        <v>10.95</v>
      </c>
      <c r="G884" s="7" t="str">
        <f aca="false">_xlfn.XLOOKUP(D884,Catalog!$B$2:$B$4102,Catalog!$A$2:$A$4102,"NOT IN CATALOG")</f>
        <v>RED RETROSPOT CAKE STAND</v>
      </c>
      <c r="H884" s="7" t="n">
        <f aca="false">_xlfn.IFNA(VLOOKUP(D884,Catalog!$B$2:$C$4102,2,FALSE()),"")</f>
        <v>10.95</v>
      </c>
      <c r="I884" s="7" t="str">
        <f aca="false">HLOOKUP(C884,Regions!$B$1:$S$2,2,FALSE())</f>
        <v>EU</v>
      </c>
      <c r="J884" s="7" t="n">
        <f aca="false">E884*F884</f>
        <v>65.7</v>
      </c>
      <c r="K884" s="8" t="n">
        <f aca="false">IF(H884="","",1-F884/H884)</f>
        <v>0</v>
      </c>
    </row>
    <row r="885" customFormat="false" ht="15" hidden="false" customHeight="false" outlineLevel="0" collapsed="false">
      <c r="A885" s="0" t="s">
        <v>616</v>
      </c>
      <c r="B885" s="6" t="n">
        <v>40884.3645833333</v>
      </c>
      <c r="C885" s="0" t="s">
        <v>41</v>
      </c>
      <c r="D885" s="0" t="s">
        <v>579</v>
      </c>
      <c r="E885" s="0" t="n">
        <v>48</v>
      </c>
      <c r="F885" s="0" t="n">
        <v>0.85</v>
      </c>
      <c r="G885" s="7" t="str">
        <f aca="false">_xlfn.XLOOKUP(D885,Catalog!$B$2:$B$4102,Catalog!$A$2:$A$4102,"NOT IN CATALOG")</f>
        <v>SMALL POPCORN HOLDER</v>
      </c>
      <c r="H885" s="7" t="n">
        <f aca="false">_xlfn.IFNA(VLOOKUP(D885,Catalog!$B$2:$C$4102,2,FALSE()),"")</f>
        <v>0.85</v>
      </c>
      <c r="I885" s="7" t="str">
        <f aca="false">HLOOKUP(C885,Regions!$B$1:$S$2,2,FALSE())</f>
        <v>EU</v>
      </c>
      <c r="J885" s="7" t="n">
        <f aca="false">E885*F885</f>
        <v>40.8</v>
      </c>
      <c r="K885" s="8" t="n">
        <f aca="false">IF(H885="","",1-F885/H885)</f>
        <v>0</v>
      </c>
    </row>
    <row r="886" customFormat="false" ht="15" hidden="false" customHeight="false" outlineLevel="0" collapsed="false">
      <c r="A886" s="0" t="s">
        <v>616</v>
      </c>
      <c r="B886" s="6" t="n">
        <v>40884.3645833333</v>
      </c>
      <c r="C886" s="0" t="s">
        <v>41</v>
      </c>
      <c r="D886" s="0" t="s">
        <v>71</v>
      </c>
      <c r="E886" s="0" t="n">
        <v>8</v>
      </c>
      <c r="F886" s="0" t="n">
        <v>4.25</v>
      </c>
      <c r="G886" s="7" t="str">
        <f aca="false">_xlfn.XLOOKUP(D886,Catalog!$B$2:$B$4102,Catalog!$A$2:$A$4102,"NOT IN CATALOG")</f>
        <v>RED RETROSPOT PUDDING BOWL</v>
      </c>
      <c r="H886" s="7" t="n">
        <f aca="false">_xlfn.IFNA(VLOOKUP(D886,Catalog!$B$2:$C$4102,2,FALSE()),"")</f>
        <v>4.25</v>
      </c>
      <c r="I886" s="7" t="str">
        <f aca="false">HLOOKUP(C886,Regions!$B$1:$S$2,2,FALSE())</f>
        <v>EU</v>
      </c>
      <c r="J886" s="7" t="n">
        <f aca="false">E886*F886</f>
        <v>34</v>
      </c>
      <c r="K886" s="8" t="n">
        <f aca="false">IF(H886="","",1-F886/H886)</f>
        <v>0</v>
      </c>
    </row>
    <row r="887" customFormat="false" ht="15" hidden="false" customHeight="false" outlineLevel="0" collapsed="false">
      <c r="A887" s="0" t="s">
        <v>616</v>
      </c>
      <c r="B887" s="6" t="n">
        <v>40884.3645833333</v>
      </c>
      <c r="C887" s="0" t="s">
        <v>41</v>
      </c>
      <c r="D887" s="0" t="s">
        <v>525</v>
      </c>
      <c r="E887" s="0" t="n">
        <v>12</v>
      </c>
      <c r="F887" s="0" t="n">
        <v>1.45</v>
      </c>
      <c r="G887" s="7" t="str">
        <f aca="false">_xlfn.XLOOKUP(D887,Catalog!$B$2:$B$4102,Catalog!$A$2:$A$4102,"NOT IN CATALOG")</f>
        <v>SET OF 36 PAISLEY FLOWER DOILIES</v>
      </c>
      <c r="H887" s="7" t="n">
        <f aca="false">_xlfn.IFNA(VLOOKUP(D887,Catalog!$B$2:$C$4102,2,FALSE()),"")</f>
        <v>1.45</v>
      </c>
      <c r="I887" s="7" t="str">
        <f aca="false">HLOOKUP(C887,Regions!$B$1:$S$2,2,FALSE())</f>
        <v>EU</v>
      </c>
      <c r="J887" s="7" t="n">
        <f aca="false">E887*F887</f>
        <v>17.4</v>
      </c>
      <c r="K887" s="8" t="n">
        <f aca="false">IF(H887="","",1-F887/H887)</f>
        <v>0</v>
      </c>
    </row>
    <row r="888" customFormat="false" ht="15" hidden="false" customHeight="false" outlineLevel="0" collapsed="false">
      <c r="A888" s="0" t="s">
        <v>616</v>
      </c>
      <c r="B888" s="6" t="n">
        <v>40884.3645833333</v>
      </c>
      <c r="C888" s="0" t="s">
        <v>41</v>
      </c>
      <c r="D888" s="0" t="s">
        <v>631</v>
      </c>
      <c r="E888" s="0" t="n">
        <v>4</v>
      </c>
      <c r="F888" s="0" t="n">
        <v>7.95</v>
      </c>
      <c r="G888" s="7" t="str">
        <f aca="false">_xlfn.XLOOKUP(D888,Catalog!$B$2:$B$4102,Catalog!$A$2:$A$4102,"NOT IN CATALOG")</f>
        <v>6 EGG HOUSE PAINTED WOOD</v>
      </c>
      <c r="H888" s="7" t="n">
        <f aca="false">_xlfn.IFNA(VLOOKUP(D888,Catalog!$B$2:$C$4102,2,FALSE()),"")</f>
        <v>7.95</v>
      </c>
      <c r="I888" s="7" t="str">
        <f aca="false">HLOOKUP(C888,Regions!$B$1:$S$2,2,FALSE())</f>
        <v>EU</v>
      </c>
      <c r="J888" s="7" t="n">
        <f aca="false">E888*F888</f>
        <v>31.8</v>
      </c>
      <c r="K888" s="8" t="n">
        <f aca="false">IF(H888="","",1-F888/H888)</f>
        <v>0</v>
      </c>
    </row>
    <row r="889" customFormat="false" ht="15" hidden="false" customHeight="false" outlineLevel="0" collapsed="false">
      <c r="A889" s="0" t="s">
        <v>616</v>
      </c>
      <c r="B889" s="6" t="n">
        <v>40884.3645833333</v>
      </c>
      <c r="C889" s="0" t="s">
        <v>41</v>
      </c>
      <c r="D889" s="0" t="s">
        <v>60</v>
      </c>
      <c r="E889" s="0" t="n">
        <v>6</v>
      </c>
      <c r="F889" s="0" t="n">
        <v>2.95</v>
      </c>
      <c r="G889" s="7" t="str">
        <f aca="false">_xlfn.XLOOKUP(D889,Catalog!$B$2:$B$4102,Catalog!$A$2:$A$4102,"NOT IN CATALOG")</f>
        <v>GREEN REGENCY TEACUP AND SAUCER</v>
      </c>
      <c r="H889" s="7" t="n">
        <f aca="false">_xlfn.IFNA(VLOOKUP(D889,Catalog!$B$2:$C$4102,2,FALSE()),"")</f>
        <v>2.95</v>
      </c>
      <c r="I889" s="7" t="str">
        <f aca="false">HLOOKUP(C889,Regions!$B$1:$S$2,2,FALSE())</f>
        <v>EU</v>
      </c>
      <c r="J889" s="7" t="n">
        <f aca="false">E889*F889</f>
        <v>17.7</v>
      </c>
      <c r="K889" s="8" t="n">
        <f aca="false">IF(H889="","",1-F889/H889)</f>
        <v>0</v>
      </c>
    </row>
    <row r="890" customFormat="false" ht="15" hidden="false" customHeight="false" outlineLevel="0" collapsed="false">
      <c r="A890" s="0" t="s">
        <v>616</v>
      </c>
      <c r="B890" s="6" t="n">
        <v>40884.3645833333</v>
      </c>
      <c r="C890" s="0" t="s">
        <v>41</v>
      </c>
      <c r="D890" s="0" t="s">
        <v>59</v>
      </c>
      <c r="E890" s="0" t="n">
        <v>12</v>
      </c>
      <c r="F890" s="0" t="n">
        <v>2.95</v>
      </c>
      <c r="G890" s="7" t="str">
        <f aca="false">_xlfn.XLOOKUP(D890,Catalog!$B$2:$B$4102,Catalog!$A$2:$A$4102,"NOT IN CATALOG")</f>
        <v>ROSES REGENCY TEACUP AND SAUCER</v>
      </c>
      <c r="H890" s="7" t="n">
        <f aca="false">_xlfn.IFNA(VLOOKUP(D890,Catalog!$B$2:$C$4102,2,FALSE()),"")</f>
        <v>2.95</v>
      </c>
      <c r="I890" s="7" t="str">
        <f aca="false">HLOOKUP(C890,Regions!$B$1:$S$2,2,FALSE())</f>
        <v>EU</v>
      </c>
      <c r="J890" s="7" t="n">
        <f aca="false">E890*F890</f>
        <v>35.4</v>
      </c>
      <c r="K890" s="8" t="n">
        <f aca="false">IF(H890="","",1-F890/H890)</f>
        <v>0</v>
      </c>
    </row>
    <row r="891" customFormat="false" ht="15" hidden="false" customHeight="false" outlineLevel="0" collapsed="false">
      <c r="A891" s="0" t="s">
        <v>616</v>
      </c>
      <c r="B891" s="6" t="n">
        <v>40884.3645833333</v>
      </c>
      <c r="C891" s="0" t="s">
        <v>41</v>
      </c>
      <c r="D891" s="0" t="s">
        <v>517</v>
      </c>
      <c r="E891" s="0" t="n">
        <v>8</v>
      </c>
      <c r="F891" s="0" t="n">
        <v>2.49</v>
      </c>
      <c r="G891" s="7" t="str">
        <f aca="false">_xlfn.XLOOKUP(D891,Catalog!$B$2:$B$4102,Catalog!$A$2:$A$4102,"NOT IN CATALOG")</f>
        <v>NOT IN CATALOG</v>
      </c>
      <c r="H891" s="7" t="str">
        <f aca="false">_xlfn.IFNA(VLOOKUP(D891,Catalog!$B$2:$C$4102,2,FALSE()),"")</f>
        <v/>
      </c>
      <c r="I891" s="7" t="str">
        <f aca="false">HLOOKUP(C891,Regions!$B$1:$S$2,2,FALSE())</f>
        <v>EU</v>
      </c>
      <c r="J891" s="7" t="n">
        <f aca="false">E891*F891</f>
        <v>19.92</v>
      </c>
      <c r="K891" s="8" t="str">
        <f aca="false">IF(H891="","",1-F891/H891)</f>
        <v/>
      </c>
    </row>
    <row r="892" customFormat="false" ht="15" hidden="false" customHeight="false" outlineLevel="0" collapsed="false">
      <c r="A892" s="0" t="s">
        <v>616</v>
      </c>
      <c r="B892" s="6" t="n">
        <v>40884.3645833333</v>
      </c>
      <c r="C892" s="0" t="s">
        <v>41</v>
      </c>
      <c r="D892" s="0" t="s">
        <v>184</v>
      </c>
      <c r="E892" s="0" t="n">
        <v>12</v>
      </c>
      <c r="F892" s="0" t="n">
        <v>0.85</v>
      </c>
      <c r="G892" s="7" t="str">
        <f aca="false">_xlfn.XLOOKUP(D892,Catalog!$B$2:$B$4102,Catalog!$A$2:$A$4102,"NOT IN CATALOG")</f>
        <v>FRIDGE MAGNETS US DINER ASSORTED</v>
      </c>
      <c r="H892" s="7" t="n">
        <f aca="false">_xlfn.IFNA(VLOOKUP(D892,Catalog!$B$2:$C$4102,2,FALSE()),"")</f>
        <v>0.85</v>
      </c>
      <c r="I892" s="7" t="str">
        <f aca="false">HLOOKUP(C892,Regions!$B$1:$S$2,2,FALSE())</f>
        <v>EU</v>
      </c>
      <c r="J892" s="7" t="n">
        <f aca="false">E892*F892</f>
        <v>10.2</v>
      </c>
      <c r="K892" s="8" t="n">
        <f aca="false">IF(H892="","",1-F892/H892)</f>
        <v>0</v>
      </c>
    </row>
    <row r="893" customFormat="false" ht="15" hidden="false" customHeight="false" outlineLevel="0" collapsed="false">
      <c r="A893" s="0" t="s">
        <v>616</v>
      </c>
      <c r="B893" s="6" t="n">
        <v>40884.3645833333</v>
      </c>
      <c r="C893" s="0" t="s">
        <v>41</v>
      </c>
      <c r="D893" s="0" t="s">
        <v>471</v>
      </c>
      <c r="E893" s="0" t="n">
        <v>8</v>
      </c>
      <c r="F893" s="0" t="n">
        <v>4.25</v>
      </c>
      <c r="G893" s="7" t="str">
        <f aca="false">_xlfn.XLOOKUP(D893,Catalog!$B$2:$B$4102,Catalog!$A$2:$A$4102,"NOT IN CATALOG")</f>
        <v>HOT WATER BOTTLE TEA AND SYMPATHY</v>
      </c>
      <c r="H893" s="7" t="n">
        <f aca="false">_xlfn.IFNA(VLOOKUP(D893,Catalog!$B$2:$C$4102,2,FALSE()),"")</f>
        <v>3.95</v>
      </c>
      <c r="I893" s="7" t="str">
        <f aca="false">HLOOKUP(C893,Regions!$B$1:$S$2,2,FALSE())</f>
        <v>EU</v>
      </c>
      <c r="J893" s="7" t="n">
        <f aca="false">E893*F893</f>
        <v>34</v>
      </c>
      <c r="K893" s="8" t="n">
        <f aca="false">IF(H893="","",1-F893/H893)</f>
        <v>-0.0759493670886076</v>
      </c>
    </row>
    <row r="894" customFormat="false" ht="15" hidden="false" customHeight="false" outlineLevel="0" collapsed="false">
      <c r="A894" s="0" t="s">
        <v>616</v>
      </c>
      <c r="B894" s="6" t="n">
        <v>40884.3645833333</v>
      </c>
      <c r="C894" s="0" t="s">
        <v>41</v>
      </c>
      <c r="D894" s="0" t="s">
        <v>595</v>
      </c>
      <c r="E894" s="0" t="n">
        <v>6</v>
      </c>
      <c r="F894" s="0" t="n">
        <v>4.95</v>
      </c>
      <c r="G894" s="7" t="str">
        <f aca="false">_xlfn.XLOOKUP(D894,Catalog!$B$2:$B$4102,Catalog!$A$2:$A$4102,"NOT IN CATALOG")</f>
        <v>CHOCOLATE HOT WATER BOTTLE</v>
      </c>
      <c r="H894" s="7" t="n">
        <f aca="false">_xlfn.IFNA(VLOOKUP(D894,Catalog!$B$2:$C$4102,2,FALSE()),"")</f>
        <v>4.95</v>
      </c>
      <c r="I894" s="7" t="str">
        <f aca="false">HLOOKUP(C894,Regions!$B$1:$S$2,2,FALSE())</f>
        <v>EU</v>
      </c>
      <c r="J894" s="7" t="n">
        <f aca="false">E894*F894</f>
        <v>29.7</v>
      </c>
      <c r="K894" s="8" t="n">
        <f aca="false">IF(H894="","",1-F894/H894)</f>
        <v>0</v>
      </c>
    </row>
    <row r="895" customFormat="false" ht="15" hidden="false" customHeight="false" outlineLevel="0" collapsed="false">
      <c r="A895" s="0" t="s">
        <v>616</v>
      </c>
      <c r="B895" s="6" t="n">
        <v>40884.3645833333</v>
      </c>
      <c r="C895" s="0" t="s">
        <v>41</v>
      </c>
      <c r="D895" s="0" t="s">
        <v>434</v>
      </c>
      <c r="E895" s="0" t="n">
        <v>3</v>
      </c>
      <c r="F895" s="0" t="n">
        <v>5.95</v>
      </c>
      <c r="G895" s="7" t="str">
        <f aca="false">_xlfn.XLOOKUP(D895,Catalog!$B$2:$B$4102,Catalog!$A$2:$A$4102,"NOT IN CATALOG")</f>
        <v>DELUXE SEWING KIT</v>
      </c>
      <c r="H895" s="7" t="n">
        <f aca="false">_xlfn.IFNA(VLOOKUP(D895,Catalog!$B$2:$C$4102,2,FALSE()),"")</f>
        <v>5.95</v>
      </c>
      <c r="I895" s="7" t="str">
        <f aca="false">HLOOKUP(C895,Regions!$B$1:$S$2,2,FALSE())</f>
        <v>EU</v>
      </c>
      <c r="J895" s="7" t="n">
        <f aca="false">E895*F895</f>
        <v>17.85</v>
      </c>
      <c r="K895" s="8" t="n">
        <f aca="false">IF(H895="","",1-F895/H895)</f>
        <v>0</v>
      </c>
    </row>
    <row r="896" customFormat="false" ht="15" hidden="false" customHeight="false" outlineLevel="0" collapsed="false">
      <c r="A896" s="0" t="s">
        <v>616</v>
      </c>
      <c r="B896" s="6" t="n">
        <v>40884.3645833333</v>
      </c>
      <c r="C896" s="0" t="s">
        <v>41</v>
      </c>
      <c r="D896" s="0" t="s">
        <v>345</v>
      </c>
      <c r="E896" s="0" t="n">
        <v>3</v>
      </c>
      <c r="F896" s="0" t="n">
        <v>4.25</v>
      </c>
      <c r="G896" s="7" t="str">
        <f aca="false">_xlfn.XLOOKUP(D896,Catalog!$B$2:$B$4102,Catalog!$A$2:$A$4102,"NOT IN CATALOG")</f>
        <v>DANISH ROSE ROUND SEWING BOX</v>
      </c>
      <c r="H896" s="7" t="n">
        <f aca="false">_xlfn.IFNA(VLOOKUP(D896,Catalog!$B$2:$C$4102,2,FALSE()),"")</f>
        <v>4.25</v>
      </c>
      <c r="I896" s="7" t="str">
        <f aca="false">HLOOKUP(C896,Regions!$B$1:$S$2,2,FALSE())</f>
        <v>EU</v>
      </c>
      <c r="J896" s="7" t="n">
        <f aca="false">E896*F896</f>
        <v>12.75</v>
      </c>
      <c r="K896" s="8" t="n">
        <f aca="false">IF(H896="","",1-F896/H896)</f>
        <v>0</v>
      </c>
    </row>
    <row r="897" customFormat="false" ht="15" hidden="false" customHeight="false" outlineLevel="0" collapsed="false">
      <c r="A897" s="0" t="s">
        <v>616</v>
      </c>
      <c r="B897" s="6" t="n">
        <v>40884.3645833333</v>
      </c>
      <c r="C897" s="0" t="s">
        <v>41</v>
      </c>
      <c r="D897" s="0" t="s">
        <v>632</v>
      </c>
      <c r="E897" s="0" t="n">
        <v>1</v>
      </c>
      <c r="F897" s="0" t="n">
        <v>12.5</v>
      </c>
      <c r="G897" s="7" t="str">
        <f aca="false">_xlfn.XLOOKUP(D897,Catalog!$B$2:$B$4102,Catalog!$A$2:$A$4102,"NOT IN CATALOG")</f>
        <v>NOT IN CATALOG</v>
      </c>
      <c r="H897" s="7" t="str">
        <f aca="false">_xlfn.IFNA(VLOOKUP(D897,Catalog!$B$2:$C$4102,2,FALSE()),"")</f>
        <v/>
      </c>
      <c r="I897" s="7" t="str">
        <f aca="false">HLOOKUP(C897,Regions!$B$1:$S$2,2,FALSE())</f>
        <v>EU</v>
      </c>
      <c r="J897" s="7" t="n">
        <f aca="false">E897*F897</f>
        <v>12.5</v>
      </c>
      <c r="K897" s="8" t="str">
        <f aca="false">IF(H897="","",1-F897/H897)</f>
        <v/>
      </c>
    </row>
    <row r="898" customFormat="false" ht="15" hidden="false" customHeight="false" outlineLevel="0" collapsed="false">
      <c r="A898" s="0" t="s">
        <v>616</v>
      </c>
      <c r="B898" s="6" t="n">
        <v>40884.3645833333</v>
      </c>
      <c r="C898" s="0" t="s">
        <v>41</v>
      </c>
      <c r="D898" s="0" t="s">
        <v>402</v>
      </c>
      <c r="E898" s="0" t="n">
        <v>4</v>
      </c>
      <c r="F898" s="0" t="n">
        <v>3.75</v>
      </c>
      <c r="G898" s="7" t="str">
        <f aca="false">_xlfn.XLOOKUP(D898,Catalog!$B$2:$B$4102,Catalog!$A$2:$A$4102,"NOT IN CATALOG")</f>
        <v>NOT IN CATALOG</v>
      </c>
      <c r="H898" s="7" t="str">
        <f aca="false">_xlfn.IFNA(VLOOKUP(D898,Catalog!$B$2:$C$4102,2,FALSE()),"")</f>
        <v/>
      </c>
      <c r="I898" s="7" t="str">
        <f aca="false">HLOOKUP(C898,Regions!$B$1:$S$2,2,FALSE())</f>
        <v>EU</v>
      </c>
      <c r="J898" s="7" t="n">
        <f aca="false">E898*F898</f>
        <v>15</v>
      </c>
      <c r="K898" s="8" t="str">
        <f aca="false">IF(H898="","",1-F898/H898)</f>
        <v/>
      </c>
    </row>
    <row r="899" customFormat="false" ht="15" hidden="false" customHeight="false" outlineLevel="0" collapsed="false">
      <c r="A899" s="0" t="s">
        <v>616</v>
      </c>
      <c r="B899" s="6" t="n">
        <v>40884.3645833333</v>
      </c>
      <c r="C899" s="0" t="s">
        <v>41</v>
      </c>
      <c r="D899" s="0" t="s">
        <v>633</v>
      </c>
      <c r="E899" s="0" t="n">
        <v>12</v>
      </c>
      <c r="F899" s="0" t="n">
        <v>2.55</v>
      </c>
      <c r="G899" s="7" t="str">
        <f aca="false">_xlfn.XLOOKUP(D899,Catalog!$B$2:$B$4102,Catalog!$A$2:$A$4102,"NOT IN CATALOG")</f>
        <v>BAKING MOULD CHOCOLATE CUPCAKES</v>
      </c>
      <c r="H899" s="7" t="n">
        <f aca="false">_xlfn.IFNA(VLOOKUP(D899,Catalog!$B$2:$C$4102,2,FALSE()),"")</f>
        <v>2.55</v>
      </c>
      <c r="I899" s="7" t="str">
        <f aca="false">HLOOKUP(C899,Regions!$B$1:$S$2,2,FALSE())</f>
        <v>EU</v>
      </c>
      <c r="J899" s="7" t="n">
        <f aca="false">E899*F899</f>
        <v>30.6</v>
      </c>
      <c r="K899" s="8" t="n">
        <f aca="false">IF(H899="","",1-F899/H899)</f>
        <v>0</v>
      </c>
    </row>
    <row r="900" customFormat="false" ht="15" hidden="false" customHeight="false" outlineLevel="0" collapsed="false">
      <c r="A900" s="0" t="s">
        <v>616</v>
      </c>
      <c r="B900" s="6" t="n">
        <v>40884.3645833333</v>
      </c>
      <c r="C900" s="0" t="s">
        <v>41</v>
      </c>
      <c r="D900" s="0" t="s">
        <v>634</v>
      </c>
      <c r="E900" s="0" t="n">
        <v>6</v>
      </c>
      <c r="F900" s="0" t="n">
        <v>2.55</v>
      </c>
      <c r="G900" s="7" t="str">
        <f aca="false">_xlfn.XLOOKUP(D900,Catalog!$B$2:$B$4102,Catalog!$A$2:$A$4102,"NOT IN CATALOG")</f>
        <v>BAKING MOULD TOFFEE CUP CHOCOLATE</v>
      </c>
      <c r="H900" s="7" t="n">
        <f aca="false">_xlfn.IFNA(VLOOKUP(D900,Catalog!$B$2:$C$4102,2,FALSE()),"")</f>
        <v>2.55</v>
      </c>
      <c r="I900" s="7" t="str">
        <f aca="false">HLOOKUP(C900,Regions!$B$1:$S$2,2,FALSE())</f>
        <v>EU</v>
      </c>
      <c r="J900" s="7" t="n">
        <f aca="false">E900*F900</f>
        <v>15.3</v>
      </c>
      <c r="K900" s="8" t="n">
        <f aca="false">IF(H900="","",1-F900/H900)</f>
        <v>0</v>
      </c>
    </row>
    <row r="901" customFormat="false" ht="15" hidden="false" customHeight="false" outlineLevel="0" collapsed="false">
      <c r="A901" s="0" t="s">
        <v>616</v>
      </c>
      <c r="B901" s="6" t="n">
        <v>40884.3645833333</v>
      </c>
      <c r="C901" s="0" t="s">
        <v>41</v>
      </c>
      <c r="D901" s="0" t="s">
        <v>635</v>
      </c>
      <c r="E901" s="0" t="n">
        <v>6</v>
      </c>
      <c r="F901" s="0" t="n">
        <v>2.55</v>
      </c>
      <c r="G901" s="7" t="str">
        <f aca="false">_xlfn.XLOOKUP(D901,Catalog!$B$2:$B$4102,Catalog!$A$2:$A$4102,"NOT IN CATALOG")</f>
        <v>BAKING MOULD HEART WHITE CHOCOLATE</v>
      </c>
      <c r="H901" s="7" t="n">
        <f aca="false">_xlfn.IFNA(VLOOKUP(D901,Catalog!$B$2:$C$4102,2,FALSE()),"")</f>
        <v>2.55</v>
      </c>
      <c r="I901" s="7" t="str">
        <f aca="false">HLOOKUP(C901,Regions!$B$1:$S$2,2,FALSE())</f>
        <v>EU</v>
      </c>
      <c r="J901" s="7" t="n">
        <f aca="false">E901*F901</f>
        <v>15.3</v>
      </c>
      <c r="K901" s="8" t="n">
        <f aca="false">IF(H901="","",1-F901/H901)</f>
        <v>0</v>
      </c>
    </row>
    <row r="902" customFormat="false" ht="15" hidden="false" customHeight="false" outlineLevel="0" collapsed="false">
      <c r="A902" s="0" t="s">
        <v>616</v>
      </c>
      <c r="B902" s="6" t="n">
        <v>40884.3645833333</v>
      </c>
      <c r="C902" s="0" t="s">
        <v>41</v>
      </c>
      <c r="D902" s="0" t="s">
        <v>454</v>
      </c>
      <c r="E902" s="0" t="n">
        <v>8</v>
      </c>
      <c r="F902" s="0" t="n">
        <v>0.83</v>
      </c>
      <c r="G902" s="7" t="str">
        <f aca="false">_xlfn.XLOOKUP(D902,Catalog!$B$2:$B$4102,Catalog!$A$2:$A$4102,"NOT IN CATALOG")</f>
        <v>NOT IN CATALOG</v>
      </c>
      <c r="H902" s="7" t="str">
        <f aca="false">_xlfn.IFNA(VLOOKUP(D902,Catalog!$B$2:$C$4102,2,FALSE()),"")</f>
        <v/>
      </c>
      <c r="I902" s="7" t="str">
        <f aca="false">HLOOKUP(C902,Regions!$B$1:$S$2,2,FALSE())</f>
        <v>EU</v>
      </c>
      <c r="J902" s="7" t="n">
        <f aca="false">E902*F902</f>
        <v>6.64</v>
      </c>
      <c r="K902" s="8" t="str">
        <f aca="false">IF(H902="","",1-F902/H902)</f>
        <v/>
      </c>
    </row>
    <row r="903" customFormat="false" ht="15" hidden="false" customHeight="false" outlineLevel="0" collapsed="false">
      <c r="A903" s="0" t="s">
        <v>616</v>
      </c>
      <c r="B903" s="6" t="n">
        <v>40884.3645833333</v>
      </c>
      <c r="C903" s="0" t="s">
        <v>41</v>
      </c>
      <c r="D903" s="0" t="s">
        <v>44</v>
      </c>
      <c r="E903" s="0" t="n">
        <v>24</v>
      </c>
      <c r="F903" s="0" t="n">
        <v>0.55</v>
      </c>
      <c r="G903" s="7" t="str">
        <f aca="false">_xlfn.XLOOKUP(D903,Catalog!$B$2:$B$4102,Catalog!$A$2:$A$4102,"NOT IN CATALOG")</f>
        <v>PACK OF 72 RETRO SPOT CAKE CASES</v>
      </c>
      <c r="H903" s="7" t="n">
        <f aca="false">_xlfn.IFNA(VLOOKUP(D903,Catalog!$B$2:$C$4102,2,FALSE()),"")</f>
        <v>0.55</v>
      </c>
      <c r="I903" s="7" t="str">
        <f aca="false">HLOOKUP(C903,Regions!$B$1:$S$2,2,FALSE())</f>
        <v>EU</v>
      </c>
      <c r="J903" s="7" t="n">
        <f aca="false">E903*F903</f>
        <v>13.2</v>
      </c>
      <c r="K903" s="8" t="n">
        <f aca="false">IF(H903="","",1-F903/H903)</f>
        <v>0</v>
      </c>
    </row>
    <row r="904" customFormat="false" ht="15" hidden="false" customHeight="false" outlineLevel="0" collapsed="false">
      <c r="A904" s="0" t="s">
        <v>616</v>
      </c>
      <c r="B904" s="6" t="n">
        <v>40884.3645833333</v>
      </c>
      <c r="C904" s="0" t="s">
        <v>41</v>
      </c>
      <c r="D904" s="0" t="s">
        <v>363</v>
      </c>
      <c r="E904" s="0" t="n">
        <v>10</v>
      </c>
      <c r="F904" s="0" t="n">
        <v>2.08</v>
      </c>
      <c r="G904" s="7" t="str">
        <f aca="false">_xlfn.XLOOKUP(D904,Catalog!$B$2:$B$4102,Catalog!$A$2:$A$4102,"NOT IN CATALOG")</f>
        <v>NOT IN CATALOG</v>
      </c>
      <c r="H904" s="7" t="str">
        <f aca="false">_xlfn.IFNA(VLOOKUP(D904,Catalog!$B$2:$C$4102,2,FALSE()),"")</f>
        <v/>
      </c>
      <c r="I904" s="7" t="str">
        <f aca="false">HLOOKUP(C904,Regions!$B$1:$S$2,2,FALSE())</f>
        <v>EU</v>
      </c>
      <c r="J904" s="7" t="n">
        <f aca="false">E904*F904</f>
        <v>20.8</v>
      </c>
      <c r="K904" s="8" t="str">
        <f aca="false">IF(H904="","",1-F904/H904)</f>
        <v/>
      </c>
    </row>
    <row r="905" customFormat="false" ht="15" hidden="false" customHeight="false" outlineLevel="0" collapsed="false">
      <c r="A905" s="0" t="s">
        <v>616</v>
      </c>
      <c r="B905" s="6" t="n">
        <v>40884.3645833333</v>
      </c>
      <c r="C905" s="0" t="s">
        <v>41</v>
      </c>
      <c r="D905" s="0" t="s">
        <v>364</v>
      </c>
      <c r="E905" s="0" t="n">
        <v>10</v>
      </c>
      <c r="F905" s="0" t="n">
        <v>2.08</v>
      </c>
      <c r="G905" s="7" t="str">
        <f aca="false">_xlfn.XLOOKUP(D905,Catalog!$B$2:$B$4102,Catalog!$A$2:$A$4102,"NOT IN CATALOG")</f>
        <v>NOT IN CATALOG</v>
      </c>
      <c r="H905" s="7" t="str">
        <f aca="false">_xlfn.IFNA(VLOOKUP(D905,Catalog!$B$2:$C$4102,2,FALSE()),"")</f>
        <v/>
      </c>
      <c r="I905" s="7" t="str">
        <f aca="false">HLOOKUP(C905,Regions!$B$1:$S$2,2,FALSE())</f>
        <v>EU</v>
      </c>
      <c r="J905" s="7" t="n">
        <f aca="false">E905*F905</f>
        <v>20.8</v>
      </c>
      <c r="K905" s="8" t="str">
        <f aca="false">IF(H905="","",1-F905/H905)</f>
        <v/>
      </c>
    </row>
    <row r="906" customFormat="false" ht="15" hidden="false" customHeight="false" outlineLevel="0" collapsed="false">
      <c r="A906" s="0" t="s">
        <v>616</v>
      </c>
      <c r="B906" s="6" t="n">
        <v>40884.3645833333</v>
      </c>
      <c r="C906" s="0" t="s">
        <v>41</v>
      </c>
      <c r="D906" s="0" t="s">
        <v>228</v>
      </c>
      <c r="E906" s="0" t="n">
        <v>10</v>
      </c>
      <c r="F906" s="0" t="n">
        <v>1.65</v>
      </c>
      <c r="G906" s="7" t="str">
        <f aca="false">_xlfn.XLOOKUP(D906,Catalog!$B$2:$B$4102,Catalog!$A$2:$A$4102,"NOT IN CATALOG")</f>
        <v>NOT IN CATALOG</v>
      </c>
      <c r="H906" s="7" t="str">
        <f aca="false">_xlfn.IFNA(VLOOKUP(D906,Catalog!$B$2:$C$4102,2,FALSE()),"")</f>
        <v/>
      </c>
      <c r="I906" s="7" t="str">
        <f aca="false">HLOOKUP(C906,Regions!$B$1:$S$2,2,FALSE())</f>
        <v>EU</v>
      </c>
      <c r="J906" s="7" t="n">
        <f aca="false">E906*F906</f>
        <v>16.5</v>
      </c>
      <c r="K906" s="8" t="str">
        <f aca="false">IF(H906="","",1-F906/H906)</f>
        <v/>
      </c>
    </row>
    <row r="907" customFormat="false" ht="15" hidden="false" customHeight="false" outlineLevel="0" collapsed="false">
      <c r="A907" s="0" t="s">
        <v>616</v>
      </c>
      <c r="B907" s="6" t="n">
        <v>40884.3645833333</v>
      </c>
      <c r="C907" s="0" t="s">
        <v>41</v>
      </c>
      <c r="D907" s="0" t="s">
        <v>73</v>
      </c>
      <c r="E907" s="0" t="n">
        <v>12</v>
      </c>
      <c r="F907" s="0" t="n">
        <v>1.65</v>
      </c>
      <c r="G907" s="7" t="str">
        <f aca="false">_xlfn.XLOOKUP(D907,Catalog!$B$2:$B$4102,Catalog!$A$2:$A$4102,"NOT IN CATALOG")</f>
        <v>NOT IN CATALOG</v>
      </c>
      <c r="H907" s="7" t="str">
        <f aca="false">_xlfn.IFNA(VLOOKUP(D907,Catalog!$B$2:$C$4102,2,FALSE()),"")</f>
        <v/>
      </c>
      <c r="I907" s="7" t="str">
        <f aca="false">HLOOKUP(C907,Regions!$B$1:$S$2,2,FALSE())</f>
        <v>EU</v>
      </c>
      <c r="J907" s="7" t="n">
        <f aca="false">E907*F907</f>
        <v>19.8</v>
      </c>
      <c r="K907" s="8" t="str">
        <f aca="false">IF(H907="","",1-F907/H907)</f>
        <v/>
      </c>
    </row>
    <row r="908" customFormat="false" ht="15" hidden="false" customHeight="false" outlineLevel="0" collapsed="false">
      <c r="A908" s="0" t="s">
        <v>616</v>
      </c>
      <c r="B908" s="6" t="n">
        <v>40884.3645833333</v>
      </c>
      <c r="C908" s="0" t="s">
        <v>41</v>
      </c>
      <c r="D908" s="0" t="s">
        <v>636</v>
      </c>
      <c r="E908" s="0" t="n">
        <v>12</v>
      </c>
      <c r="F908" s="0" t="n">
        <v>2.95</v>
      </c>
      <c r="G908" s="7" t="str">
        <f aca="false">_xlfn.XLOOKUP(D908,Catalog!$B$2:$B$4102,Catalog!$A$2:$A$4102,"NOT IN CATALOG")</f>
        <v>SET/5 RED SPOTTY LID GLASS BOWLS</v>
      </c>
      <c r="H908" s="7" t="n">
        <f aca="false">_xlfn.IFNA(VLOOKUP(D908,Catalog!$B$2:$C$4102,2,FALSE()),"")</f>
        <v>2.95</v>
      </c>
      <c r="I908" s="7" t="str">
        <f aca="false">HLOOKUP(C908,Regions!$B$1:$S$2,2,FALSE())</f>
        <v>EU</v>
      </c>
      <c r="J908" s="7" t="n">
        <f aca="false">E908*F908</f>
        <v>35.4</v>
      </c>
      <c r="K908" s="8" t="n">
        <f aca="false">IF(H908="","",1-F908/H908)</f>
        <v>0</v>
      </c>
    </row>
    <row r="909" customFormat="false" ht="15" hidden="false" customHeight="false" outlineLevel="0" collapsed="false">
      <c r="A909" s="0" t="s">
        <v>637</v>
      </c>
      <c r="B909" s="6" t="n">
        <v>40884.4875</v>
      </c>
      <c r="C909" s="0" t="s">
        <v>41</v>
      </c>
      <c r="D909" s="0" t="s">
        <v>638</v>
      </c>
      <c r="E909" s="0" t="n">
        <v>6</v>
      </c>
      <c r="F909" s="0" t="n">
        <v>3.29</v>
      </c>
      <c r="G909" s="7" t="str">
        <f aca="false">_xlfn.XLOOKUP(D909,Catalog!$B$2:$B$4102,Catalog!$A$2:$A$4102,"NOT IN CATALOG")</f>
        <v>NOT IN CATALOG</v>
      </c>
      <c r="H909" s="7" t="str">
        <f aca="false">_xlfn.IFNA(VLOOKUP(D909,Catalog!$B$2:$C$4102,2,FALSE()),"")</f>
        <v/>
      </c>
      <c r="I909" s="7" t="str">
        <f aca="false">HLOOKUP(C909,Regions!$B$1:$S$2,2,FALSE())</f>
        <v>EU</v>
      </c>
      <c r="J909" s="7" t="n">
        <f aca="false">E909*F909</f>
        <v>19.74</v>
      </c>
      <c r="K909" s="8" t="str">
        <f aca="false">IF(H909="","",1-F909/H909)</f>
        <v/>
      </c>
    </row>
    <row r="910" customFormat="false" ht="15" hidden="false" customHeight="false" outlineLevel="0" collapsed="false">
      <c r="A910" s="0" t="s">
        <v>637</v>
      </c>
      <c r="B910" s="6" t="n">
        <v>40884.4875</v>
      </c>
      <c r="C910" s="0" t="s">
        <v>41</v>
      </c>
      <c r="D910" s="0" t="s">
        <v>639</v>
      </c>
      <c r="E910" s="0" t="n">
        <v>6</v>
      </c>
      <c r="F910" s="0" t="n">
        <v>2.95</v>
      </c>
      <c r="G910" s="7" t="str">
        <f aca="false">_xlfn.XLOOKUP(D910,Catalog!$B$2:$B$4102,Catalog!$A$2:$A$4102,"NOT IN CATALOG")</f>
        <v>NATURAL SLATE HEART CHALKBOARD</v>
      </c>
      <c r="H910" s="7" t="n">
        <f aca="false">_xlfn.IFNA(VLOOKUP(D910,Catalog!$B$2:$C$4102,2,FALSE()),"")</f>
        <v>2.95</v>
      </c>
      <c r="I910" s="7" t="str">
        <f aca="false">HLOOKUP(C910,Regions!$B$1:$S$2,2,FALSE())</f>
        <v>EU</v>
      </c>
      <c r="J910" s="7" t="n">
        <f aca="false">E910*F910</f>
        <v>17.7</v>
      </c>
      <c r="K910" s="8" t="n">
        <f aca="false">IF(H910="","",1-F910/H910)</f>
        <v>0</v>
      </c>
    </row>
    <row r="911" customFormat="false" ht="15" hidden="false" customHeight="false" outlineLevel="0" collapsed="false">
      <c r="A911" s="0" t="s">
        <v>637</v>
      </c>
      <c r="B911" s="6" t="n">
        <v>40884.4875</v>
      </c>
      <c r="C911" s="0" t="s">
        <v>41</v>
      </c>
      <c r="D911" s="0" t="s">
        <v>640</v>
      </c>
      <c r="E911" s="0" t="n">
        <v>24</v>
      </c>
      <c r="F911" s="0" t="n">
        <v>0.42</v>
      </c>
      <c r="G911" s="7" t="str">
        <f aca="false">_xlfn.XLOOKUP(D911,Catalog!$B$2:$B$4102,Catalog!$A$2:$A$4102,"NOT IN CATALOG")</f>
        <v>NOT IN CATALOG</v>
      </c>
      <c r="H911" s="7" t="str">
        <f aca="false">_xlfn.IFNA(VLOOKUP(D911,Catalog!$B$2:$C$4102,2,FALSE()),"")</f>
        <v/>
      </c>
      <c r="I911" s="7" t="str">
        <f aca="false">HLOOKUP(C911,Regions!$B$1:$S$2,2,FALSE())</f>
        <v>EU</v>
      </c>
      <c r="J911" s="7" t="n">
        <f aca="false">E911*F911</f>
        <v>10.08</v>
      </c>
      <c r="K911" s="8" t="str">
        <f aca="false">IF(H911="","",1-F911/H911)</f>
        <v/>
      </c>
    </row>
    <row r="912" customFormat="false" ht="15" hidden="false" customHeight="false" outlineLevel="0" collapsed="false">
      <c r="A912" s="0" t="s">
        <v>637</v>
      </c>
      <c r="B912" s="6" t="n">
        <v>40884.4875</v>
      </c>
      <c r="C912" s="0" t="s">
        <v>41</v>
      </c>
      <c r="D912" s="0" t="s">
        <v>641</v>
      </c>
      <c r="E912" s="0" t="n">
        <v>12</v>
      </c>
      <c r="F912" s="0" t="n">
        <v>1.65</v>
      </c>
      <c r="G912" s="7" t="str">
        <f aca="false">_xlfn.XLOOKUP(D912,Catalog!$B$2:$B$4102,Catalog!$A$2:$A$4102,"NOT IN CATALOG")</f>
        <v>NATURAL SLATE RECTANGLE CHALKBOARD</v>
      </c>
      <c r="H912" s="7" t="n">
        <f aca="false">_xlfn.IFNA(VLOOKUP(D912,Catalog!$B$2:$C$4102,2,FALSE()),"")</f>
        <v>1.65</v>
      </c>
      <c r="I912" s="7" t="str">
        <f aca="false">HLOOKUP(C912,Regions!$B$1:$S$2,2,FALSE())</f>
        <v>EU</v>
      </c>
      <c r="J912" s="7" t="n">
        <f aca="false">E912*F912</f>
        <v>19.8</v>
      </c>
      <c r="K912" s="8" t="n">
        <f aca="false">IF(H912="","",1-F912/H912)</f>
        <v>0</v>
      </c>
    </row>
    <row r="913" customFormat="false" ht="15" hidden="false" customHeight="false" outlineLevel="0" collapsed="false">
      <c r="A913" s="0" t="s">
        <v>637</v>
      </c>
      <c r="B913" s="6" t="n">
        <v>40884.4875</v>
      </c>
      <c r="C913" s="0" t="s">
        <v>41</v>
      </c>
      <c r="D913" s="0" t="s">
        <v>398</v>
      </c>
      <c r="E913" s="0" t="n">
        <v>6</v>
      </c>
      <c r="F913" s="0" t="n">
        <v>2.95</v>
      </c>
      <c r="G913" s="7" t="str">
        <f aca="false">_xlfn.XLOOKUP(D913,Catalog!$B$2:$B$4102,Catalog!$A$2:$A$4102,"NOT IN CATALOG")</f>
        <v>PAPER CHAIN KIT RETRO SPOT</v>
      </c>
      <c r="H913" s="7" t="n">
        <f aca="false">_xlfn.IFNA(VLOOKUP(D913,Catalog!$B$2:$C$4102,2,FALSE()),"")</f>
        <v>2.95</v>
      </c>
      <c r="I913" s="7" t="str">
        <f aca="false">HLOOKUP(C913,Regions!$B$1:$S$2,2,FALSE())</f>
        <v>EU</v>
      </c>
      <c r="J913" s="7" t="n">
        <f aca="false">E913*F913</f>
        <v>17.7</v>
      </c>
      <c r="K913" s="8" t="n">
        <f aca="false">IF(H913="","",1-F913/H913)</f>
        <v>0</v>
      </c>
    </row>
    <row r="914" customFormat="false" ht="15" hidden="false" customHeight="false" outlineLevel="0" collapsed="false">
      <c r="A914" s="0" t="s">
        <v>637</v>
      </c>
      <c r="B914" s="6" t="n">
        <v>40884.4875</v>
      </c>
      <c r="C914" s="0" t="s">
        <v>41</v>
      </c>
      <c r="D914" s="0" t="s">
        <v>642</v>
      </c>
      <c r="E914" s="0" t="n">
        <v>8</v>
      </c>
      <c r="F914" s="0" t="n">
        <v>1.95</v>
      </c>
      <c r="G914" s="7" t="str">
        <f aca="false">_xlfn.XLOOKUP(D914,Catalog!$B$2:$B$4102,Catalog!$A$2:$A$4102,"NOT IN CATALOG")</f>
        <v>NOT IN CATALOG</v>
      </c>
      <c r="H914" s="7" t="str">
        <f aca="false">_xlfn.IFNA(VLOOKUP(D914,Catalog!$B$2:$C$4102,2,FALSE()),"")</f>
        <v/>
      </c>
      <c r="I914" s="7" t="str">
        <f aca="false">HLOOKUP(C914,Regions!$B$1:$S$2,2,FALSE())</f>
        <v>EU</v>
      </c>
      <c r="J914" s="7" t="n">
        <f aca="false">E914*F914</f>
        <v>15.6</v>
      </c>
      <c r="K914" s="8" t="str">
        <f aca="false">IF(H914="","",1-F914/H914)</f>
        <v/>
      </c>
    </row>
    <row r="915" customFormat="false" ht="15" hidden="false" customHeight="false" outlineLevel="0" collapsed="false">
      <c r="A915" s="0" t="s">
        <v>637</v>
      </c>
      <c r="B915" s="6" t="n">
        <v>40884.4875</v>
      </c>
      <c r="C915" s="0" t="s">
        <v>41</v>
      </c>
      <c r="D915" s="0" t="s">
        <v>372</v>
      </c>
      <c r="E915" s="0" t="n">
        <v>6</v>
      </c>
      <c r="F915" s="0" t="n">
        <v>2.95</v>
      </c>
      <c r="G915" s="7" t="str">
        <f aca="false">_xlfn.XLOOKUP(D915,Catalog!$B$2:$B$4102,Catalog!$A$2:$A$4102,"NOT IN CATALOG")</f>
        <v>PAPER BUNTING RETRO SPOTS</v>
      </c>
      <c r="H915" s="7" t="n">
        <f aca="false">_xlfn.IFNA(VLOOKUP(D915,Catalog!$B$2:$C$4102,2,FALSE()),"")</f>
        <v>2.95</v>
      </c>
      <c r="I915" s="7" t="str">
        <f aca="false">HLOOKUP(C915,Regions!$B$1:$S$2,2,FALSE())</f>
        <v>EU</v>
      </c>
      <c r="J915" s="7" t="n">
        <f aca="false">E915*F915</f>
        <v>17.7</v>
      </c>
      <c r="K915" s="8" t="n">
        <f aca="false">IF(H915="","",1-F915/H915)</f>
        <v>0</v>
      </c>
    </row>
    <row r="916" customFormat="false" ht="15" hidden="false" customHeight="false" outlineLevel="0" collapsed="false">
      <c r="A916" s="0" t="s">
        <v>637</v>
      </c>
      <c r="B916" s="6" t="n">
        <v>40884.4875</v>
      </c>
      <c r="C916" s="0" t="s">
        <v>41</v>
      </c>
      <c r="D916" s="0" t="s">
        <v>643</v>
      </c>
      <c r="E916" s="0" t="n">
        <v>48</v>
      </c>
      <c r="F916" s="0" t="n">
        <v>0.63</v>
      </c>
      <c r="G916" s="7" t="str">
        <f aca="false">_xlfn.XLOOKUP(D916,Catalog!$B$2:$B$4102,Catalog!$A$2:$A$4102,"NOT IN CATALOG")</f>
        <v>NOT IN CATALOG</v>
      </c>
      <c r="H916" s="7" t="str">
        <f aca="false">_xlfn.IFNA(VLOOKUP(D916,Catalog!$B$2:$C$4102,2,FALSE()),"")</f>
        <v/>
      </c>
      <c r="I916" s="7" t="str">
        <f aca="false">HLOOKUP(C916,Regions!$B$1:$S$2,2,FALSE())</f>
        <v>EU</v>
      </c>
      <c r="J916" s="7" t="n">
        <f aca="false">E916*F916</f>
        <v>30.24</v>
      </c>
      <c r="K916" s="8" t="str">
        <f aca="false">IF(H916="","",1-F916/H916)</f>
        <v/>
      </c>
    </row>
    <row r="917" customFormat="false" ht="15" hidden="false" customHeight="false" outlineLevel="0" collapsed="false">
      <c r="A917" s="0" t="s">
        <v>637</v>
      </c>
      <c r="B917" s="6" t="n">
        <v>40884.4875</v>
      </c>
      <c r="C917" s="0" t="s">
        <v>41</v>
      </c>
      <c r="D917" s="0" t="s">
        <v>193</v>
      </c>
      <c r="E917" s="0" t="n">
        <v>6</v>
      </c>
      <c r="F917" s="0" t="n">
        <v>2.95</v>
      </c>
      <c r="G917" s="7" t="str">
        <f aca="false">_xlfn.XLOOKUP(D917,Catalog!$B$2:$B$4102,Catalog!$A$2:$A$4102,"NOT IN CATALOG")</f>
        <v>HOME SWEET HOME METAL SIGN</v>
      </c>
      <c r="H917" s="7" t="n">
        <f aca="false">_xlfn.IFNA(VLOOKUP(D917,Catalog!$B$2:$C$4102,2,FALSE()),"")</f>
        <v>2.95</v>
      </c>
      <c r="I917" s="7" t="str">
        <f aca="false">HLOOKUP(C917,Regions!$B$1:$S$2,2,FALSE())</f>
        <v>EU</v>
      </c>
      <c r="J917" s="7" t="n">
        <f aca="false">E917*F917</f>
        <v>17.7</v>
      </c>
      <c r="K917" s="8" t="n">
        <f aca="false">IF(H917="","",1-F917/H917)</f>
        <v>0</v>
      </c>
    </row>
    <row r="918" customFormat="false" ht="15" hidden="false" customHeight="false" outlineLevel="0" collapsed="false">
      <c r="A918" s="0" t="s">
        <v>637</v>
      </c>
      <c r="B918" s="6" t="n">
        <v>40884.4875</v>
      </c>
      <c r="C918" s="0" t="s">
        <v>41</v>
      </c>
      <c r="D918" s="0" t="s">
        <v>644</v>
      </c>
      <c r="E918" s="0" t="n">
        <v>2</v>
      </c>
      <c r="F918" s="0" t="n">
        <v>7.85</v>
      </c>
      <c r="G918" s="7" t="str">
        <f aca="false">_xlfn.XLOOKUP(D918,Catalog!$B$2:$B$4102,Catalog!$A$2:$A$4102,"NOT IN CATALOG")</f>
        <v>NOT IN CATALOG</v>
      </c>
      <c r="H918" s="7" t="str">
        <f aca="false">_xlfn.IFNA(VLOOKUP(D918,Catalog!$B$2:$C$4102,2,FALSE()),"")</f>
        <v/>
      </c>
      <c r="I918" s="7" t="str">
        <f aca="false">HLOOKUP(C918,Regions!$B$1:$S$2,2,FALSE())</f>
        <v>EU</v>
      </c>
      <c r="J918" s="7" t="n">
        <f aca="false">E918*F918</f>
        <v>15.7</v>
      </c>
      <c r="K918" s="8" t="str">
        <f aca="false">IF(H918="","",1-F918/H918)</f>
        <v/>
      </c>
    </row>
    <row r="919" customFormat="false" ht="15" hidden="false" customHeight="false" outlineLevel="0" collapsed="false">
      <c r="A919" s="0" t="s">
        <v>637</v>
      </c>
      <c r="B919" s="6" t="n">
        <v>40884.4875</v>
      </c>
      <c r="C919" s="0" t="s">
        <v>41</v>
      </c>
      <c r="D919" s="0" t="s">
        <v>645</v>
      </c>
      <c r="E919" s="0" t="n">
        <v>12</v>
      </c>
      <c r="F919" s="0" t="n">
        <v>1.65</v>
      </c>
      <c r="G919" s="7" t="str">
        <f aca="false">_xlfn.XLOOKUP(D919,Catalog!$B$2:$B$4102,Catalog!$A$2:$A$4102,"NOT IN CATALOG")</f>
        <v>ROUND WHITE CONFETTI IN TUBE</v>
      </c>
      <c r="H919" s="7" t="n">
        <f aca="false">_xlfn.IFNA(VLOOKUP(D919,Catalog!$B$2:$C$4102,2,FALSE()),"")</f>
        <v>1.65</v>
      </c>
      <c r="I919" s="7" t="str">
        <f aca="false">HLOOKUP(C919,Regions!$B$1:$S$2,2,FALSE())</f>
        <v>EU</v>
      </c>
      <c r="J919" s="7" t="n">
        <f aca="false">E919*F919</f>
        <v>19.8</v>
      </c>
      <c r="K919" s="8" t="n">
        <f aca="false">IF(H919="","",1-F919/H919)</f>
        <v>0</v>
      </c>
    </row>
    <row r="920" customFormat="false" ht="15" hidden="false" customHeight="false" outlineLevel="0" collapsed="false">
      <c r="A920" s="0" t="s">
        <v>637</v>
      </c>
      <c r="B920" s="6" t="n">
        <v>40884.4875</v>
      </c>
      <c r="C920" s="0" t="s">
        <v>41</v>
      </c>
      <c r="D920" s="0" t="s">
        <v>646</v>
      </c>
      <c r="E920" s="0" t="n">
        <v>12</v>
      </c>
      <c r="F920" s="0" t="n">
        <v>1.65</v>
      </c>
      <c r="G920" s="7" t="str">
        <f aca="false">_xlfn.XLOOKUP(D920,Catalog!$B$2:$B$4102,Catalog!$A$2:$A$4102,"NOT IN CATALOG")</f>
        <v>WHITE HEART CONFETTI IN TUBE</v>
      </c>
      <c r="H920" s="7" t="n">
        <f aca="false">_xlfn.IFNA(VLOOKUP(D920,Catalog!$B$2:$C$4102,2,FALSE()),"")</f>
        <v>1.65</v>
      </c>
      <c r="I920" s="7" t="str">
        <f aca="false">HLOOKUP(C920,Regions!$B$1:$S$2,2,FALSE())</f>
        <v>EU</v>
      </c>
      <c r="J920" s="7" t="n">
        <f aca="false">E920*F920</f>
        <v>19.8</v>
      </c>
      <c r="K920" s="8" t="n">
        <f aca="false">IF(H920="","",1-F920/H920)</f>
        <v>0</v>
      </c>
    </row>
    <row r="921" customFormat="false" ht="15" hidden="false" customHeight="false" outlineLevel="0" collapsed="false">
      <c r="A921" s="0" t="s">
        <v>637</v>
      </c>
      <c r="B921" s="6" t="n">
        <v>40884.4875</v>
      </c>
      <c r="C921" s="0" t="s">
        <v>41</v>
      </c>
      <c r="D921" s="0" t="s">
        <v>494</v>
      </c>
      <c r="E921" s="0" t="n">
        <v>10</v>
      </c>
      <c r="F921" s="0" t="n">
        <v>7.08</v>
      </c>
      <c r="G921" s="7" t="str">
        <f aca="false">_xlfn.XLOOKUP(D921,Catalog!$B$2:$B$4102,Catalog!$A$2:$A$4102,"NOT IN CATALOG")</f>
        <v>DOOR MAT RED SPOT</v>
      </c>
      <c r="H921" s="7" t="n">
        <f aca="false">_xlfn.IFNA(VLOOKUP(D921,Catalog!$B$2:$C$4102,2,FALSE()),"")</f>
        <v>7.49</v>
      </c>
      <c r="I921" s="7" t="str">
        <f aca="false">HLOOKUP(C921,Regions!$B$1:$S$2,2,FALSE())</f>
        <v>EU</v>
      </c>
      <c r="J921" s="7" t="n">
        <f aca="false">E921*F921</f>
        <v>70.8</v>
      </c>
      <c r="K921" s="8" t="n">
        <f aca="false">IF(H921="","",1-F921/H921)</f>
        <v>0.054739652870494</v>
      </c>
    </row>
    <row r="922" customFormat="false" ht="15" hidden="false" customHeight="false" outlineLevel="0" collapsed="false">
      <c r="A922" s="0" t="s">
        <v>637</v>
      </c>
      <c r="B922" s="6" t="n">
        <v>40884.4875</v>
      </c>
      <c r="C922" s="0" t="s">
        <v>41</v>
      </c>
      <c r="D922" s="0" t="s">
        <v>647</v>
      </c>
      <c r="E922" s="0" t="n">
        <v>10</v>
      </c>
      <c r="F922" s="0" t="n">
        <v>7.08</v>
      </c>
      <c r="G922" s="7" t="str">
        <f aca="false">_xlfn.XLOOKUP(D922,Catalog!$B$2:$B$4102,Catalog!$A$2:$A$4102,"NOT IN CATALOG")</f>
        <v>DOORMAT HOME SWEET HOME BLUE</v>
      </c>
      <c r="H922" s="7" t="n">
        <f aca="false">_xlfn.IFNA(VLOOKUP(D922,Catalog!$B$2:$C$4102,2,FALSE()),"")</f>
        <v>7.49</v>
      </c>
      <c r="I922" s="7" t="str">
        <f aca="false">HLOOKUP(C922,Regions!$B$1:$S$2,2,FALSE())</f>
        <v>EU</v>
      </c>
      <c r="J922" s="7" t="n">
        <f aca="false">E922*F922</f>
        <v>70.8</v>
      </c>
      <c r="K922" s="8" t="n">
        <f aca="false">IF(H922="","",1-F922/H922)</f>
        <v>0.054739652870494</v>
      </c>
    </row>
    <row r="923" customFormat="false" ht="15" hidden="false" customHeight="false" outlineLevel="0" collapsed="false">
      <c r="A923" s="0" t="s">
        <v>637</v>
      </c>
      <c r="B923" s="6" t="n">
        <v>40884.4875</v>
      </c>
      <c r="C923" s="0" t="s">
        <v>41</v>
      </c>
      <c r="D923" s="0" t="s">
        <v>648</v>
      </c>
      <c r="E923" s="0" t="n">
        <v>10</v>
      </c>
      <c r="F923" s="0" t="n">
        <v>7.08</v>
      </c>
      <c r="G923" s="7" t="str">
        <f aca="false">_xlfn.XLOOKUP(D923,Catalog!$B$2:$B$4102,Catalog!$A$2:$A$4102,"NOT IN CATALOG")</f>
        <v>DOORMAT SPOTTY HOME SWEET HOME</v>
      </c>
      <c r="H923" s="7" t="n">
        <f aca="false">_xlfn.IFNA(VLOOKUP(D923,Catalog!$B$2:$C$4102,2,FALSE()),"")</f>
        <v>7.49</v>
      </c>
      <c r="I923" s="7" t="str">
        <f aca="false">HLOOKUP(C923,Regions!$B$1:$S$2,2,FALSE())</f>
        <v>EU</v>
      </c>
      <c r="J923" s="7" t="n">
        <f aca="false">E923*F923</f>
        <v>70.8</v>
      </c>
      <c r="K923" s="8" t="n">
        <f aca="false">IF(H923="","",1-F923/H923)</f>
        <v>0.054739652870494</v>
      </c>
    </row>
    <row r="924" customFormat="false" ht="15" hidden="false" customHeight="false" outlineLevel="0" collapsed="false">
      <c r="A924" s="0" t="s">
        <v>637</v>
      </c>
      <c r="B924" s="6" t="n">
        <v>40884.4875</v>
      </c>
      <c r="C924" s="0" t="s">
        <v>41</v>
      </c>
      <c r="D924" s="0" t="s">
        <v>649</v>
      </c>
      <c r="E924" s="0" t="n">
        <v>10</v>
      </c>
      <c r="F924" s="0" t="n">
        <v>7.08</v>
      </c>
      <c r="G924" s="7" t="str">
        <f aca="false">_xlfn.XLOOKUP(D924,Catalog!$B$2:$B$4102,Catalog!$A$2:$A$4102,"NOT IN CATALOG")</f>
        <v>DOOR MAT TOPIARY</v>
      </c>
      <c r="H924" s="7" t="n">
        <f aca="false">_xlfn.IFNA(VLOOKUP(D924,Catalog!$B$2:$C$4102,2,FALSE()),"")</f>
        <v>7.49</v>
      </c>
      <c r="I924" s="7" t="str">
        <f aca="false">HLOOKUP(C924,Regions!$B$1:$S$2,2,FALSE())</f>
        <v>EU</v>
      </c>
      <c r="J924" s="7" t="n">
        <f aca="false">E924*F924</f>
        <v>70.8</v>
      </c>
      <c r="K924" s="8" t="n">
        <f aca="false">IF(H924="","",1-F924/H924)</f>
        <v>0.054739652870494</v>
      </c>
    </row>
    <row r="925" customFormat="false" ht="15" hidden="false" customHeight="false" outlineLevel="0" collapsed="false">
      <c r="A925" s="0" t="s">
        <v>637</v>
      </c>
      <c r="B925" s="6" t="n">
        <v>40884.4875</v>
      </c>
      <c r="C925" s="0" t="s">
        <v>41</v>
      </c>
      <c r="D925" s="0" t="s">
        <v>650</v>
      </c>
      <c r="E925" s="0" t="n">
        <v>10</v>
      </c>
      <c r="F925" s="0" t="n">
        <v>7.08</v>
      </c>
      <c r="G925" s="7" t="str">
        <f aca="false">_xlfn.XLOOKUP(D925,Catalog!$B$2:$B$4102,Catalog!$A$2:$A$4102,"NOT IN CATALOG")</f>
        <v>DOOR MAT ENGLISH ROSE</v>
      </c>
      <c r="H925" s="7" t="n">
        <f aca="false">_xlfn.IFNA(VLOOKUP(D925,Catalog!$B$2:$C$4102,2,FALSE()),"")</f>
        <v>7.49</v>
      </c>
      <c r="I925" s="7" t="str">
        <f aca="false">HLOOKUP(C925,Regions!$B$1:$S$2,2,FALSE())</f>
        <v>EU</v>
      </c>
      <c r="J925" s="7" t="n">
        <f aca="false">E925*F925</f>
        <v>70.8</v>
      </c>
      <c r="K925" s="8" t="n">
        <f aca="false">IF(H925="","",1-F925/H925)</f>
        <v>0.054739652870494</v>
      </c>
    </row>
    <row r="926" customFormat="false" ht="15" hidden="false" customHeight="false" outlineLevel="0" collapsed="false">
      <c r="A926" s="0" t="s">
        <v>637</v>
      </c>
      <c r="B926" s="6" t="n">
        <v>40884.4875</v>
      </c>
      <c r="C926" s="0" t="s">
        <v>41</v>
      </c>
      <c r="D926" s="0" t="s">
        <v>54</v>
      </c>
      <c r="E926" s="0" t="n">
        <v>16</v>
      </c>
      <c r="F926" s="0" t="n">
        <v>10.95</v>
      </c>
      <c r="G926" s="7" t="str">
        <f aca="false">_xlfn.XLOOKUP(D926,Catalog!$B$2:$B$4102,Catalog!$A$2:$A$4102,"NOT IN CATALOG")</f>
        <v>REGENCY CAKESTAND 3 TIER</v>
      </c>
      <c r="H926" s="7" t="n">
        <f aca="false">_xlfn.IFNA(VLOOKUP(D926,Catalog!$B$2:$C$4102,2,FALSE()),"")</f>
        <v>12.75</v>
      </c>
      <c r="I926" s="7" t="str">
        <f aca="false">HLOOKUP(C926,Regions!$B$1:$S$2,2,FALSE())</f>
        <v>EU</v>
      </c>
      <c r="J926" s="7" t="n">
        <f aca="false">E926*F926</f>
        <v>175.2</v>
      </c>
      <c r="K926" s="8" t="n">
        <f aca="false">IF(H926="","",1-F926/H926)</f>
        <v>0.141176470588235</v>
      </c>
    </row>
    <row r="927" customFormat="false" ht="15" hidden="false" customHeight="false" outlineLevel="0" collapsed="false">
      <c r="A927" s="0" t="s">
        <v>637</v>
      </c>
      <c r="B927" s="6" t="n">
        <v>40884.4875</v>
      </c>
      <c r="C927" s="0" t="s">
        <v>41</v>
      </c>
      <c r="D927" s="0" t="s">
        <v>651</v>
      </c>
      <c r="E927" s="0" t="n">
        <v>12</v>
      </c>
      <c r="F927" s="0" t="n">
        <v>2.89</v>
      </c>
      <c r="G927" s="7" t="str">
        <f aca="false">_xlfn.XLOOKUP(D927,Catalog!$B$2:$B$4102,Catalog!$A$2:$A$4102,"NOT IN CATALOG")</f>
        <v>NOT IN CATALOG</v>
      </c>
      <c r="H927" s="7" t="str">
        <f aca="false">_xlfn.IFNA(VLOOKUP(D927,Catalog!$B$2:$C$4102,2,FALSE()),"")</f>
        <v/>
      </c>
      <c r="I927" s="7" t="str">
        <f aca="false">HLOOKUP(C927,Regions!$B$1:$S$2,2,FALSE())</f>
        <v>EU</v>
      </c>
      <c r="J927" s="7" t="n">
        <f aca="false">E927*F927</f>
        <v>34.68</v>
      </c>
      <c r="K927" s="8" t="str">
        <f aca="false">IF(H927="","",1-F927/H927)</f>
        <v/>
      </c>
    </row>
    <row r="928" customFormat="false" ht="15" hidden="false" customHeight="false" outlineLevel="0" collapsed="false">
      <c r="A928" s="0" t="s">
        <v>637</v>
      </c>
      <c r="B928" s="6" t="n">
        <v>40884.4875</v>
      </c>
      <c r="C928" s="0" t="s">
        <v>41</v>
      </c>
      <c r="D928" s="0" t="s">
        <v>652</v>
      </c>
      <c r="E928" s="0" t="n">
        <v>12</v>
      </c>
      <c r="F928" s="0" t="n">
        <v>0.39</v>
      </c>
      <c r="G928" s="7" t="str">
        <f aca="false">_xlfn.XLOOKUP(D928,Catalog!$B$2:$B$4102,Catalog!$A$2:$A$4102,"NOT IN CATALOG")</f>
        <v>RETRO SPOT CANDLE SMALL</v>
      </c>
      <c r="H928" s="7" t="n">
        <f aca="false">_xlfn.IFNA(VLOOKUP(D928,Catalog!$B$2:$C$4102,2,FALSE()),"")</f>
        <v>1.69</v>
      </c>
      <c r="I928" s="7" t="str">
        <f aca="false">HLOOKUP(C928,Regions!$B$1:$S$2,2,FALSE())</f>
        <v>EU</v>
      </c>
      <c r="J928" s="7" t="n">
        <f aca="false">E928*F928</f>
        <v>4.68</v>
      </c>
      <c r="K928" s="8" t="n">
        <f aca="false">IF(H928="","",1-F928/H928)</f>
        <v>0.769230769230769</v>
      </c>
    </row>
    <row r="929" customFormat="false" ht="15" hidden="false" customHeight="false" outlineLevel="0" collapsed="false">
      <c r="A929" s="0" t="s">
        <v>637</v>
      </c>
      <c r="B929" s="6" t="n">
        <v>40884.4875</v>
      </c>
      <c r="C929" s="0" t="s">
        <v>41</v>
      </c>
      <c r="D929" s="0" t="s">
        <v>653</v>
      </c>
      <c r="E929" s="0" t="n">
        <v>12</v>
      </c>
      <c r="F929" s="0" t="n">
        <v>0.39</v>
      </c>
      <c r="G929" s="7" t="str">
        <f aca="false">_xlfn.XLOOKUP(D929,Catalog!$B$2:$B$4102,Catalog!$A$2:$A$4102,"NOT IN CATALOG")</f>
        <v>RETRO SPOT CANDLE MEDIUM</v>
      </c>
      <c r="H929" s="7" t="n">
        <f aca="false">_xlfn.IFNA(VLOOKUP(D929,Catalog!$B$2:$C$4102,2,FALSE()),"")</f>
        <v>2.1</v>
      </c>
      <c r="I929" s="7" t="str">
        <f aca="false">HLOOKUP(C929,Regions!$B$1:$S$2,2,FALSE())</f>
        <v>EU</v>
      </c>
      <c r="J929" s="7" t="n">
        <f aca="false">E929*F929</f>
        <v>4.68</v>
      </c>
      <c r="K929" s="8" t="n">
        <f aca="false">IF(H929="","",1-F929/H929)</f>
        <v>0.814285714285714</v>
      </c>
    </row>
    <row r="930" customFormat="false" ht="15" hidden="false" customHeight="false" outlineLevel="0" collapsed="false">
      <c r="A930" s="0" t="s">
        <v>637</v>
      </c>
      <c r="B930" s="6" t="n">
        <v>40884.4875</v>
      </c>
      <c r="C930" s="0" t="s">
        <v>41</v>
      </c>
      <c r="D930" s="0" t="s">
        <v>654</v>
      </c>
      <c r="E930" s="0" t="n">
        <v>12</v>
      </c>
      <c r="F930" s="0" t="n">
        <v>0.59</v>
      </c>
      <c r="G930" s="7" t="str">
        <f aca="false">_xlfn.XLOOKUP(D930,Catalog!$B$2:$B$4102,Catalog!$A$2:$A$4102,"NOT IN CATALOG")</f>
        <v>RETRO SPOT CANDLE LARGE</v>
      </c>
      <c r="H930" s="7" t="n">
        <f aca="false">_xlfn.IFNA(VLOOKUP(D930,Catalog!$B$2:$C$4102,2,FALSE()),"")</f>
        <v>2.55</v>
      </c>
      <c r="I930" s="7" t="str">
        <f aca="false">HLOOKUP(C930,Regions!$B$1:$S$2,2,FALSE())</f>
        <v>EU</v>
      </c>
      <c r="J930" s="7" t="n">
        <f aca="false">E930*F930</f>
        <v>7.08</v>
      </c>
      <c r="K930" s="8" t="n">
        <f aca="false">IF(H930="","",1-F930/H930)</f>
        <v>0.768627450980392</v>
      </c>
    </row>
    <row r="931" customFormat="false" ht="15" hidden="false" customHeight="false" outlineLevel="0" collapsed="false">
      <c r="A931" s="0" t="s">
        <v>637</v>
      </c>
      <c r="B931" s="6" t="n">
        <v>40884.4875</v>
      </c>
      <c r="C931" s="0" t="s">
        <v>41</v>
      </c>
      <c r="D931" s="0" t="s">
        <v>569</v>
      </c>
      <c r="E931" s="0" t="n">
        <v>12</v>
      </c>
      <c r="F931" s="0" t="n">
        <v>1.25</v>
      </c>
      <c r="G931" s="7" t="str">
        <f aca="false">_xlfn.XLOOKUP(D931,Catalog!$B$2:$B$4102,Catalog!$A$2:$A$4102,"NOT IN CATALOG")</f>
        <v>RED RETROSPOT TEA CUP AND SAUCER</v>
      </c>
      <c r="H931" s="7" t="n">
        <f aca="false">_xlfn.IFNA(VLOOKUP(D931,Catalog!$B$2:$C$4102,2,FALSE()),"")</f>
        <v>3.75</v>
      </c>
      <c r="I931" s="7" t="str">
        <f aca="false">HLOOKUP(C931,Regions!$B$1:$S$2,2,FALSE())</f>
        <v>EU</v>
      </c>
      <c r="J931" s="7" t="n">
        <f aca="false">E931*F931</f>
        <v>15</v>
      </c>
      <c r="K931" s="8" t="n">
        <f aca="false">IF(H931="","",1-F931/H931)</f>
        <v>0.666666666666667</v>
      </c>
    </row>
    <row r="932" customFormat="false" ht="15" hidden="false" customHeight="false" outlineLevel="0" collapsed="false">
      <c r="A932" s="0" t="s">
        <v>637</v>
      </c>
      <c r="B932" s="6" t="n">
        <v>40884.4875</v>
      </c>
      <c r="C932" s="0" t="s">
        <v>41</v>
      </c>
      <c r="D932" s="0" t="s">
        <v>414</v>
      </c>
      <c r="E932" s="0" t="n">
        <v>12</v>
      </c>
      <c r="F932" s="0" t="n">
        <v>0.79</v>
      </c>
      <c r="G932" s="7" t="str">
        <f aca="false">_xlfn.XLOOKUP(D932,Catalog!$B$2:$B$4102,Catalog!$A$2:$A$4102,"NOT IN CATALOG")</f>
        <v>HANGING METAL STAR LANTERN</v>
      </c>
      <c r="H932" s="7" t="n">
        <f aca="false">_xlfn.IFNA(VLOOKUP(D932,Catalog!$B$2:$C$4102,2,FALSE()),"")</f>
        <v>1.65</v>
      </c>
      <c r="I932" s="7" t="str">
        <f aca="false">HLOOKUP(C932,Regions!$B$1:$S$2,2,FALSE())</f>
        <v>EU</v>
      </c>
      <c r="J932" s="7" t="n">
        <f aca="false">E932*F932</f>
        <v>9.48</v>
      </c>
      <c r="K932" s="8" t="n">
        <f aca="false">IF(H932="","",1-F932/H932)</f>
        <v>0.521212121212121</v>
      </c>
    </row>
    <row r="933" customFormat="false" ht="15" hidden="false" customHeight="false" outlineLevel="0" collapsed="false">
      <c r="A933" s="0" t="s">
        <v>637</v>
      </c>
      <c r="B933" s="6" t="n">
        <v>40884.4875</v>
      </c>
      <c r="C933" s="0" t="s">
        <v>41</v>
      </c>
      <c r="D933" s="0" t="s">
        <v>513</v>
      </c>
      <c r="E933" s="0" t="n">
        <v>12</v>
      </c>
      <c r="F933" s="0" t="n">
        <v>0.39</v>
      </c>
      <c r="G933" s="7" t="str">
        <f aca="false">_xlfn.XLOOKUP(D933,Catalog!$B$2:$B$4102,Catalog!$A$2:$A$4102,"NOT IN CATALOG")</f>
        <v>CHRISTMAS STAR WISH LIST CHALKBOARD</v>
      </c>
      <c r="H933" s="7" t="n">
        <f aca="false">_xlfn.IFNA(VLOOKUP(D933,Catalog!$B$2:$C$4102,2,FALSE()),"")</f>
        <v>0.85</v>
      </c>
      <c r="I933" s="7" t="str">
        <f aca="false">HLOOKUP(C933,Regions!$B$1:$S$2,2,FALSE())</f>
        <v>EU</v>
      </c>
      <c r="J933" s="7" t="n">
        <f aca="false">E933*F933</f>
        <v>4.68</v>
      </c>
      <c r="K933" s="8" t="n">
        <f aca="false">IF(H933="","",1-F933/H933)</f>
        <v>0.541176470588235</v>
      </c>
    </row>
    <row r="934" customFormat="false" ht="15" hidden="false" customHeight="false" outlineLevel="0" collapsed="false">
      <c r="A934" s="0" t="s">
        <v>637</v>
      </c>
      <c r="B934" s="6" t="n">
        <v>40884.4875</v>
      </c>
      <c r="C934" s="0" t="s">
        <v>41</v>
      </c>
      <c r="D934" s="0" t="s">
        <v>146</v>
      </c>
      <c r="E934" s="0" t="n">
        <v>12</v>
      </c>
      <c r="F934" s="0" t="n">
        <v>1.25</v>
      </c>
      <c r="G934" s="7" t="str">
        <f aca="false">_xlfn.XLOOKUP(D934,Catalog!$B$2:$B$4102,Catalog!$A$2:$A$4102,"NOT IN CATALOG")</f>
        <v>NOT IN CATALOG</v>
      </c>
      <c r="H934" s="7" t="str">
        <f aca="false">_xlfn.IFNA(VLOOKUP(D934,Catalog!$B$2:$C$4102,2,FALSE()),"")</f>
        <v/>
      </c>
      <c r="I934" s="7" t="str">
        <f aca="false">HLOOKUP(C934,Regions!$B$1:$S$2,2,FALSE())</f>
        <v>EU</v>
      </c>
      <c r="J934" s="7" t="n">
        <f aca="false">E934*F934</f>
        <v>15</v>
      </c>
      <c r="K934" s="8" t="str">
        <f aca="false">IF(H934="","",1-F934/H934)</f>
        <v/>
      </c>
    </row>
    <row r="935" customFormat="false" ht="15" hidden="false" customHeight="false" outlineLevel="0" collapsed="false">
      <c r="A935" s="0" t="s">
        <v>637</v>
      </c>
      <c r="B935" s="6" t="n">
        <v>40884.4875</v>
      </c>
      <c r="C935" s="0" t="s">
        <v>41</v>
      </c>
      <c r="D935" s="0" t="s">
        <v>431</v>
      </c>
      <c r="E935" s="0" t="n">
        <v>6</v>
      </c>
      <c r="F935" s="0" t="n">
        <v>2.89</v>
      </c>
      <c r="G935" s="7" t="str">
        <f aca="false">_xlfn.XLOOKUP(D935,Catalog!$B$2:$B$4102,Catalog!$A$2:$A$4102,"NOT IN CATALOG")</f>
        <v>NOT IN CATALOG</v>
      </c>
      <c r="H935" s="7" t="str">
        <f aca="false">_xlfn.IFNA(VLOOKUP(D935,Catalog!$B$2:$C$4102,2,FALSE()),"")</f>
        <v/>
      </c>
      <c r="I935" s="7" t="str">
        <f aca="false">HLOOKUP(C935,Regions!$B$1:$S$2,2,FALSE())</f>
        <v>EU</v>
      </c>
      <c r="J935" s="7" t="n">
        <f aca="false">E935*F935</f>
        <v>17.34</v>
      </c>
      <c r="K935" s="8" t="str">
        <f aca="false">IF(H935="","",1-F935/H935)</f>
        <v/>
      </c>
    </row>
    <row r="936" customFormat="false" ht="15" hidden="false" customHeight="false" outlineLevel="0" collapsed="false">
      <c r="A936" s="0" t="s">
        <v>637</v>
      </c>
      <c r="B936" s="6" t="n">
        <v>40884.4875</v>
      </c>
      <c r="C936" s="0" t="s">
        <v>41</v>
      </c>
      <c r="D936" s="0" t="s">
        <v>655</v>
      </c>
      <c r="E936" s="0" t="n">
        <v>6</v>
      </c>
      <c r="F936" s="0" t="n">
        <v>4.95</v>
      </c>
      <c r="G936" s="7" t="str">
        <f aca="false">_xlfn.XLOOKUP(D936,Catalog!$B$2:$B$4102,Catalog!$A$2:$A$4102,"NOT IN CATALOG")</f>
        <v>DAIRY MAID LARGE MILK JUG</v>
      </c>
      <c r="H936" s="7" t="n">
        <f aca="false">_xlfn.IFNA(VLOOKUP(D936,Catalog!$B$2:$C$4102,2,FALSE()),"")</f>
        <v>4.95</v>
      </c>
      <c r="I936" s="7" t="str">
        <f aca="false">HLOOKUP(C936,Regions!$B$1:$S$2,2,FALSE())</f>
        <v>EU</v>
      </c>
      <c r="J936" s="7" t="n">
        <f aca="false">E936*F936</f>
        <v>29.7</v>
      </c>
      <c r="K936" s="8" t="n">
        <f aca="false">IF(H936="","",1-F936/H936)</f>
        <v>0</v>
      </c>
    </row>
    <row r="937" customFormat="false" ht="15" hidden="false" customHeight="false" outlineLevel="0" collapsed="false">
      <c r="A937" s="0" t="s">
        <v>637</v>
      </c>
      <c r="B937" s="6" t="n">
        <v>40884.4875</v>
      </c>
      <c r="C937" s="0" t="s">
        <v>41</v>
      </c>
      <c r="D937" s="0" t="s">
        <v>656</v>
      </c>
      <c r="E937" s="0" t="n">
        <v>6</v>
      </c>
      <c r="F937" s="0" t="n">
        <v>5.95</v>
      </c>
      <c r="G937" s="7" t="str">
        <f aca="false">_xlfn.XLOOKUP(D937,Catalog!$B$2:$B$4102,Catalog!$A$2:$A$4102,"NOT IN CATALOG")</f>
        <v>RED/WHITE DOTS RUFFLED UMBRELLA</v>
      </c>
      <c r="H937" s="7" t="n">
        <f aca="false">_xlfn.IFNA(VLOOKUP(D937,Catalog!$B$2:$C$4102,2,FALSE()),"")</f>
        <v>5.95</v>
      </c>
      <c r="I937" s="7" t="str">
        <f aca="false">HLOOKUP(C937,Regions!$B$1:$S$2,2,FALSE())</f>
        <v>EU</v>
      </c>
      <c r="J937" s="7" t="n">
        <f aca="false">E937*F937</f>
        <v>35.7</v>
      </c>
      <c r="K937" s="8" t="n">
        <f aca="false">IF(H937="","",1-F937/H937)</f>
        <v>0</v>
      </c>
    </row>
    <row r="938" customFormat="false" ht="15" hidden="false" customHeight="false" outlineLevel="0" collapsed="false">
      <c r="A938" s="0" t="s">
        <v>637</v>
      </c>
      <c r="B938" s="6" t="n">
        <v>40884.4875</v>
      </c>
      <c r="C938" s="0" t="s">
        <v>41</v>
      </c>
      <c r="D938" s="0" t="s">
        <v>657</v>
      </c>
      <c r="E938" s="0" t="n">
        <v>24</v>
      </c>
      <c r="F938" s="0" t="n">
        <v>1.69</v>
      </c>
      <c r="G938" s="7" t="str">
        <f aca="false">_xlfn.XLOOKUP(D938,Catalog!$B$2:$B$4102,Catalog!$A$2:$A$4102,"NOT IN CATALOG")</f>
        <v>ZINC FOLKART SLEIGH BELLS</v>
      </c>
      <c r="H938" s="7" t="n">
        <f aca="false">_xlfn.IFNA(VLOOKUP(D938,Catalog!$B$2:$C$4102,2,FALSE()),"")</f>
        <v>1.69</v>
      </c>
      <c r="I938" s="7" t="str">
        <f aca="false">HLOOKUP(C938,Regions!$B$1:$S$2,2,FALSE())</f>
        <v>EU</v>
      </c>
      <c r="J938" s="7" t="n">
        <f aca="false">E938*F938</f>
        <v>40.56</v>
      </c>
      <c r="K938" s="8" t="n">
        <f aca="false">IF(H938="","",1-F938/H938)</f>
        <v>0</v>
      </c>
    </row>
    <row r="939" customFormat="false" ht="15" hidden="false" customHeight="false" outlineLevel="0" collapsed="false">
      <c r="A939" s="0" t="s">
        <v>637</v>
      </c>
      <c r="B939" s="6" t="n">
        <v>40884.4875</v>
      </c>
      <c r="C939" s="0" t="s">
        <v>41</v>
      </c>
      <c r="D939" s="0" t="s">
        <v>138</v>
      </c>
      <c r="E939" s="0" t="n">
        <v>12</v>
      </c>
      <c r="F939" s="0" t="n">
        <v>0.85</v>
      </c>
      <c r="G939" s="7" t="str">
        <f aca="false">_xlfn.XLOOKUP(D939,Catalog!$B$2:$B$4102,Catalog!$A$2:$A$4102,"NOT IN CATALOG")</f>
        <v>CHRISTMAS RETROSPOT ANGEL WOOD</v>
      </c>
      <c r="H939" s="7" t="n">
        <f aca="false">_xlfn.IFNA(VLOOKUP(D939,Catalog!$B$2:$C$4102,2,FALSE()),"")</f>
        <v>0.85</v>
      </c>
      <c r="I939" s="7" t="str">
        <f aca="false">HLOOKUP(C939,Regions!$B$1:$S$2,2,FALSE())</f>
        <v>EU</v>
      </c>
      <c r="J939" s="7" t="n">
        <f aca="false">E939*F939</f>
        <v>10.2</v>
      </c>
      <c r="K939" s="8" t="n">
        <f aca="false">IF(H939="","",1-F939/H939)</f>
        <v>0</v>
      </c>
    </row>
    <row r="940" customFormat="false" ht="15" hidden="false" customHeight="false" outlineLevel="0" collapsed="false">
      <c r="A940" s="0" t="s">
        <v>637</v>
      </c>
      <c r="B940" s="6" t="n">
        <v>40884.4875</v>
      </c>
      <c r="C940" s="0" t="s">
        <v>41</v>
      </c>
      <c r="D940" s="0" t="s">
        <v>658</v>
      </c>
      <c r="E940" s="0" t="n">
        <v>12</v>
      </c>
      <c r="F940" s="0" t="n">
        <v>0.79</v>
      </c>
      <c r="G940" s="7" t="str">
        <f aca="false">_xlfn.XLOOKUP(D940,Catalog!$B$2:$B$4102,Catalog!$A$2:$A$4102,"NOT IN CATALOG")</f>
        <v>NOT IN CATALOG</v>
      </c>
      <c r="H940" s="7" t="str">
        <f aca="false">_xlfn.IFNA(VLOOKUP(D940,Catalog!$B$2:$C$4102,2,FALSE()),"")</f>
        <v/>
      </c>
      <c r="I940" s="7" t="str">
        <f aca="false">HLOOKUP(C940,Regions!$B$1:$S$2,2,FALSE())</f>
        <v>EU</v>
      </c>
      <c r="J940" s="7" t="n">
        <f aca="false">E940*F940</f>
        <v>9.48</v>
      </c>
      <c r="K940" s="8" t="str">
        <f aca="false">IF(H940="","",1-F940/H940)</f>
        <v/>
      </c>
    </row>
    <row r="941" customFormat="false" ht="15" hidden="false" customHeight="false" outlineLevel="0" collapsed="false">
      <c r="A941" s="0" t="s">
        <v>637</v>
      </c>
      <c r="B941" s="6" t="n">
        <v>40884.4875</v>
      </c>
      <c r="C941" s="0" t="s">
        <v>41</v>
      </c>
      <c r="D941" s="0" t="s">
        <v>659</v>
      </c>
      <c r="E941" s="0" t="n">
        <v>24</v>
      </c>
      <c r="F941" s="0" t="n">
        <v>1.65</v>
      </c>
      <c r="G941" s="7" t="str">
        <f aca="false">_xlfn.XLOOKUP(D941,Catalog!$B$2:$B$4102,Catalog!$A$2:$A$4102,"NOT IN CATALOG")</f>
        <v>NOT IN CATALOG</v>
      </c>
      <c r="H941" s="7" t="str">
        <f aca="false">_xlfn.IFNA(VLOOKUP(D941,Catalog!$B$2:$C$4102,2,FALSE()),"")</f>
        <v/>
      </c>
      <c r="I941" s="7" t="str">
        <f aca="false">HLOOKUP(C941,Regions!$B$1:$S$2,2,FALSE())</f>
        <v>EU</v>
      </c>
      <c r="J941" s="7" t="n">
        <f aca="false">E941*F941</f>
        <v>39.6</v>
      </c>
      <c r="K941" s="8" t="str">
        <f aca="false">IF(H941="","",1-F941/H941)</f>
        <v/>
      </c>
    </row>
    <row r="942" customFormat="false" ht="15" hidden="false" customHeight="false" outlineLevel="0" collapsed="false">
      <c r="A942" s="0" t="s">
        <v>637</v>
      </c>
      <c r="B942" s="6" t="n">
        <v>40884.4875</v>
      </c>
      <c r="C942" s="0" t="s">
        <v>41</v>
      </c>
      <c r="D942" s="0" t="s">
        <v>660</v>
      </c>
      <c r="E942" s="0" t="n">
        <v>12</v>
      </c>
      <c r="F942" s="0" t="n">
        <v>0.85</v>
      </c>
      <c r="G942" s="7" t="str">
        <f aca="false">_xlfn.XLOOKUP(D942,Catalog!$B$2:$B$4102,Catalog!$A$2:$A$4102,"NOT IN CATALOG")</f>
        <v>ROCKING HORSE RED CHRISTMAS</v>
      </c>
      <c r="H942" s="7" t="n">
        <f aca="false">_xlfn.IFNA(VLOOKUP(D942,Catalog!$B$2:$C$4102,2,FALSE()),"")</f>
        <v>0.85</v>
      </c>
      <c r="I942" s="7" t="str">
        <f aca="false">HLOOKUP(C942,Regions!$B$1:$S$2,2,FALSE())</f>
        <v>EU</v>
      </c>
      <c r="J942" s="7" t="n">
        <f aca="false">E942*F942</f>
        <v>10.2</v>
      </c>
      <c r="K942" s="8" t="n">
        <f aca="false">IF(H942="","",1-F942/H942)</f>
        <v>0</v>
      </c>
    </row>
    <row r="943" customFormat="false" ht="15" hidden="false" customHeight="false" outlineLevel="0" collapsed="false">
      <c r="A943" s="0" t="s">
        <v>637</v>
      </c>
      <c r="B943" s="6" t="n">
        <v>40884.4875</v>
      </c>
      <c r="C943" s="0" t="s">
        <v>41</v>
      </c>
      <c r="D943" s="0" t="s">
        <v>661</v>
      </c>
      <c r="E943" s="0" t="n">
        <v>24</v>
      </c>
      <c r="F943" s="0" t="n">
        <v>1.25</v>
      </c>
      <c r="G943" s="7" t="str">
        <f aca="false">_xlfn.XLOOKUP(D943,Catalog!$B$2:$B$4102,Catalog!$A$2:$A$4102,"NOT IN CATALOG")</f>
        <v>NOT IN CATALOG</v>
      </c>
      <c r="H943" s="7" t="str">
        <f aca="false">_xlfn.IFNA(VLOOKUP(D943,Catalog!$B$2:$C$4102,2,FALSE()),"")</f>
        <v/>
      </c>
      <c r="I943" s="7" t="str">
        <f aca="false">HLOOKUP(C943,Regions!$B$1:$S$2,2,FALSE())</f>
        <v>EU</v>
      </c>
      <c r="J943" s="7" t="n">
        <f aca="false">E943*F943</f>
        <v>30</v>
      </c>
      <c r="K943" s="8" t="str">
        <f aca="false">IF(H943="","",1-F943/H943)</f>
        <v/>
      </c>
    </row>
    <row r="944" customFormat="false" ht="15" hidden="false" customHeight="false" outlineLevel="0" collapsed="false">
      <c r="A944" s="0" t="s">
        <v>637</v>
      </c>
      <c r="B944" s="6" t="n">
        <v>40884.4875</v>
      </c>
      <c r="C944" s="0" t="s">
        <v>41</v>
      </c>
      <c r="D944" s="0" t="s">
        <v>107</v>
      </c>
      <c r="E944" s="0" t="n">
        <v>6</v>
      </c>
      <c r="F944" s="0" t="n">
        <v>2.55</v>
      </c>
      <c r="G944" s="7" t="str">
        <f aca="false">_xlfn.XLOOKUP(D944,Catalog!$B$2:$B$4102,Catalog!$A$2:$A$4102,"NOT IN CATALOG")</f>
        <v>NOT IN CATALOG</v>
      </c>
      <c r="H944" s="7" t="str">
        <f aca="false">_xlfn.IFNA(VLOOKUP(D944,Catalog!$B$2:$C$4102,2,FALSE()),"")</f>
        <v/>
      </c>
      <c r="I944" s="7" t="str">
        <f aca="false">HLOOKUP(C944,Regions!$B$1:$S$2,2,FALSE())</f>
        <v>EU</v>
      </c>
      <c r="J944" s="7" t="n">
        <f aca="false">E944*F944</f>
        <v>15.3</v>
      </c>
      <c r="K944" s="8" t="str">
        <f aca="false">IF(H944="","",1-F944/H944)</f>
        <v/>
      </c>
    </row>
    <row r="945" customFormat="false" ht="15" hidden="false" customHeight="false" outlineLevel="0" collapsed="false">
      <c r="A945" s="0" t="s">
        <v>637</v>
      </c>
      <c r="B945" s="6" t="n">
        <v>40884.4875</v>
      </c>
      <c r="C945" s="0" t="s">
        <v>41</v>
      </c>
      <c r="D945" s="0" t="s">
        <v>662</v>
      </c>
      <c r="E945" s="0" t="n">
        <v>12</v>
      </c>
      <c r="F945" s="0" t="n">
        <v>1.25</v>
      </c>
      <c r="G945" s="7" t="str">
        <f aca="false">_xlfn.XLOOKUP(D945,Catalog!$B$2:$B$4102,Catalog!$A$2:$A$4102,"NOT IN CATALOG")</f>
        <v>CLEAR DRAWER KNOB ACRYLIC EDWARDIAN</v>
      </c>
      <c r="H945" s="7" t="n">
        <f aca="false">_xlfn.IFNA(VLOOKUP(D945,Catalog!$B$2:$C$4102,2,FALSE()),"")</f>
        <v>1.25</v>
      </c>
      <c r="I945" s="7" t="str">
        <f aca="false">HLOOKUP(C945,Regions!$B$1:$S$2,2,FALSE())</f>
        <v>EU</v>
      </c>
      <c r="J945" s="7" t="n">
        <f aca="false">E945*F945</f>
        <v>15</v>
      </c>
      <c r="K945" s="8" t="n">
        <f aca="false">IF(H945="","",1-F945/H945)</f>
        <v>0</v>
      </c>
    </row>
    <row r="946" customFormat="false" ht="15" hidden="false" customHeight="false" outlineLevel="0" collapsed="false">
      <c r="A946" s="0" t="s">
        <v>637</v>
      </c>
      <c r="B946" s="6" t="n">
        <v>40884.4875</v>
      </c>
      <c r="C946" s="0" t="s">
        <v>41</v>
      </c>
      <c r="D946" s="0" t="s">
        <v>663</v>
      </c>
      <c r="E946" s="0" t="n">
        <v>12</v>
      </c>
      <c r="F946" s="0" t="n">
        <v>1.45</v>
      </c>
      <c r="G946" s="7" t="str">
        <f aca="false">_xlfn.XLOOKUP(D946,Catalog!$B$2:$B$4102,Catalog!$A$2:$A$4102,"NOT IN CATALOG")</f>
        <v>WHITE SPOT RED CERAMIC DRAWER KNOB</v>
      </c>
      <c r="H946" s="7" t="n">
        <f aca="false">_xlfn.IFNA(VLOOKUP(D946,Catalog!$B$2:$C$4102,2,FALSE()),"")</f>
        <v>1.25</v>
      </c>
      <c r="I946" s="7" t="str">
        <f aca="false">HLOOKUP(C946,Regions!$B$1:$S$2,2,FALSE())</f>
        <v>EU</v>
      </c>
      <c r="J946" s="7" t="n">
        <f aca="false">E946*F946</f>
        <v>17.4</v>
      </c>
      <c r="K946" s="8" t="n">
        <f aca="false">IF(H946="","",1-F946/H946)</f>
        <v>-0.16</v>
      </c>
    </row>
    <row r="947" customFormat="false" ht="15" hidden="false" customHeight="false" outlineLevel="0" collapsed="false">
      <c r="A947" s="0" t="s">
        <v>637</v>
      </c>
      <c r="B947" s="6" t="n">
        <v>40884.4875</v>
      </c>
      <c r="C947" s="0" t="s">
        <v>41</v>
      </c>
      <c r="D947" s="0" t="s">
        <v>664</v>
      </c>
      <c r="E947" s="0" t="n">
        <v>12</v>
      </c>
      <c r="F947" s="0" t="n">
        <v>1.25</v>
      </c>
      <c r="G947" s="7" t="str">
        <f aca="false">_xlfn.XLOOKUP(D947,Catalog!$B$2:$B$4102,Catalog!$A$2:$A$4102,"NOT IN CATALOG")</f>
        <v>RED DRAWER KNOB ACRYLIC EDWARDIAN</v>
      </c>
      <c r="H947" s="7" t="n">
        <f aca="false">_xlfn.IFNA(VLOOKUP(D947,Catalog!$B$2:$C$4102,2,FALSE()),"")</f>
        <v>1.25</v>
      </c>
      <c r="I947" s="7" t="str">
        <f aca="false">HLOOKUP(C947,Regions!$B$1:$S$2,2,FALSE())</f>
        <v>EU</v>
      </c>
      <c r="J947" s="7" t="n">
        <f aca="false">E947*F947</f>
        <v>15</v>
      </c>
      <c r="K947" s="8" t="n">
        <f aca="false">IF(H947="","",1-F947/H947)</f>
        <v>0</v>
      </c>
    </row>
    <row r="948" customFormat="false" ht="15" hidden="false" customHeight="false" outlineLevel="0" collapsed="false">
      <c r="A948" s="0" t="s">
        <v>637</v>
      </c>
      <c r="B948" s="6" t="n">
        <v>40884.4875</v>
      </c>
      <c r="C948" s="0" t="s">
        <v>41</v>
      </c>
      <c r="D948" s="0" t="s">
        <v>665</v>
      </c>
      <c r="E948" s="0" t="n">
        <v>12</v>
      </c>
      <c r="F948" s="0" t="n">
        <v>1.65</v>
      </c>
      <c r="G948" s="7" t="str">
        <f aca="false">_xlfn.XLOOKUP(D948,Catalog!$B$2:$B$4102,Catalog!$A$2:$A$4102,"NOT IN CATALOG")</f>
        <v>NOT IN CATALOG</v>
      </c>
      <c r="H948" s="7" t="str">
        <f aca="false">_xlfn.IFNA(VLOOKUP(D948,Catalog!$B$2:$C$4102,2,FALSE()),"")</f>
        <v/>
      </c>
      <c r="I948" s="7" t="str">
        <f aca="false">HLOOKUP(C948,Regions!$B$1:$S$2,2,FALSE())</f>
        <v>EU</v>
      </c>
      <c r="J948" s="7" t="n">
        <f aca="false">E948*F948</f>
        <v>19.8</v>
      </c>
      <c r="K948" s="8" t="str">
        <f aca="false">IF(H948="","",1-F948/H948)</f>
        <v/>
      </c>
    </row>
    <row r="949" customFormat="false" ht="15" hidden="false" customHeight="false" outlineLevel="0" collapsed="false">
      <c r="A949" s="0" t="s">
        <v>637</v>
      </c>
      <c r="B949" s="6" t="n">
        <v>40884.4875</v>
      </c>
      <c r="C949" s="0" t="s">
        <v>41</v>
      </c>
      <c r="D949" s="0" t="s">
        <v>666</v>
      </c>
      <c r="E949" s="0" t="n">
        <v>6</v>
      </c>
      <c r="F949" s="0" t="n">
        <v>2.08</v>
      </c>
      <c r="G949" s="7" t="str">
        <f aca="false">_xlfn.XLOOKUP(D949,Catalog!$B$2:$B$4102,Catalog!$A$2:$A$4102,"NOT IN CATALOG")</f>
        <v>NOT IN CATALOG</v>
      </c>
      <c r="H949" s="7" t="str">
        <f aca="false">_xlfn.IFNA(VLOOKUP(D949,Catalog!$B$2:$C$4102,2,FALSE()),"")</f>
        <v/>
      </c>
      <c r="I949" s="7" t="str">
        <f aca="false">HLOOKUP(C949,Regions!$B$1:$S$2,2,FALSE())</f>
        <v>EU</v>
      </c>
      <c r="J949" s="7" t="n">
        <f aca="false">E949*F949</f>
        <v>12.48</v>
      </c>
      <c r="K949" s="8" t="str">
        <f aca="false">IF(H949="","",1-F949/H949)</f>
        <v/>
      </c>
    </row>
    <row r="950" customFormat="false" ht="15" hidden="false" customHeight="false" outlineLevel="0" collapsed="false">
      <c r="A950" s="0" t="s">
        <v>637</v>
      </c>
      <c r="B950" s="6" t="n">
        <v>40884.4875</v>
      </c>
      <c r="C950" s="0" t="s">
        <v>41</v>
      </c>
      <c r="D950" s="0" t="s">
        <v>667</v>
      </c>
      <c r="E950" s="0" t="n">
        <v>12</v>
      </c>
      <c r="F950" s="0" t="n">
        <v>1.45</v>
      </c>
      <c r="G950" s="7" t="str">
        <f aca="false">_xlfn.XLOOKUP(D950,Catalog!$B$2:$B$4102,Catalog!$A$2:$A$4102,"NOT IN CATALOG")</f>
        <v>NOT IN CATALOG</v>
      </c>
      <c r="H950" s="7" t="str">
        <f aca="false">_xlfn.IFNA(VLOOKUP(D950,Catalog!$B$2:$C$4102,2,FALSE()),"")</f>
        <v/>
      </c>
      <c r="I950" s="7" t="str">
        <f aca="false">HLOOKUP(C950,Regions!$B$1:$S$2,2,FALSE())</f>
        <v>EU</v>
      </c>
      <c r="J950" s="7" t="n">
        <f aca="false">E950*F950</f>
        <v>17.4</v>
      </c>
      <c r="K950" s="8" t="str">
        <f aca="false">IF(H950="","",1-F950/H950)</f>
        <v/>
      </c>
    </row>
    <row r="951" customFormat="false" ht="15" hidden="false" customHeight="false" outlineLevel="0" collapsed="false">
      <c r="A951" s="0" t="s">
        <v>637</v>
      </c>
      <c r="B951" s="6" t="n">
        <v>40884.4875</v>
      </c>
      <c r="C951" s="0" t="s">
        <v>41</v>
      </c>
      <c r="D951" s="0" t="s">
        <v>222</v>
      </c>
      <c r="E951" s="0" t="n">
        <v>2</v>
      </c>
      <c r="F951" s="0" t="n">
        <v>8.5</v>
      </c>
      <c r="G951" s="7" t="str">
        <f aca="false">_xlfn.XLOOKUP(D951,Catalog!$B$2:$B$4102,Catalog!$A$2:$A$4102,"NOT IN CATALOG")</f>
        <v>IVORY KITCHEN SCALES</v>
      </c>
      <c r="H951" s="7" t="n">
        <f aca="false">_xlfn.IFNA(VLOOKUP(D951,Catalog!$B$2:$C$4102,2,FALSE()),"")</f>
        <v>8.5</v>
      </c>
      <c r="I951" s="7" t="str">
        <f aca="false">HLOOKUP(C951,Regions!$B$1:$S$2,2,FALSE())</f>
        <v>EU</v>
      </c>
      <c r="J951" s="7" t="n">
        <f aca="false">E951*F951</f>
        <v>17</v>
      </c>
      <c r="K951" s="8" t="n">
        <f aca="false">IF(H951="","",1-F951/H951)</f>
        <v>0</v>
      </c>
    </row>
    <row r="952" customFormat="false" ht="15" hidden="false" customHeight="false" outlineLevel="0" collapsed="false">
      <c r="A952" s="0" t="s">
        <v>637</v>
      </c>
      <c r="B952" s="6" t="n">
        <v>40884.4875</v>
      </c>
      <c r="C952" s="0" t="s">
        <v>41</v>
      </c>
      <c r="D952" s="0" t="s">
        <v>381</v>
      </c>
      <c r="E952" s="0" t="n">
        <v>2</v>
      </c>
      <c r="F952" s="0" t="n">
        <v>8.5</v>
      </c>
      <c r="G952" s="7" t="str">
        <f aca="false">_xlfn.XLOOKUP(D952,Catalog!$B$2:$B$4102,Catalog!$A$2:$A$4102,"NOT IN CATALOG")</f>
        <v>RED KITCHEN SCALES</v>
      </c>
      <c r="H952" s="7" t="n">
        <f aca="false">_xlfn.IFNA(VLOOKUP(D952,Catalog!$B$2:$C$4102,2,FALSE()),"")</f>
        <v>8.5</v>
      </c>
      <c r="I952" s="7" t="str">
        <f aca="false">HLOOKUP(C952,Regions!$B$1:$S$2,2,FALSE())</f>
        <v>EU</v>
      </c>
      <c r="J952" s="7" t="n">
        <f aca="false">E952*F952</f>
        <v>17</v>
      </c>
      <c r="K952" s="8" t="n">
        <f aca="false">IF(H952="","",1-F952/H952)</f>
        <v>0</v>
      </c>
    </row>
    <row r="953" customFormat="false" ht="15" hidden="false" customHeight="false" outlineLevel="0" collapsed="false">
      <c r="A953" s="0" t="s">
        <v>637</v>
      </c>
      <c r="B953" s="6" t="n">
        <v>40884.4875</v>
      </c>
      <c r="C953" s="0" t="s">
        <v>41</v>
      </c>
      <c r="D953" s="0" t="s">
        <v>668</v>
      </c>
      <c r="E953" s="0" t="n">
        <v>12</v>
      </c>
      <c r="F953" s="0" t="n">
        <v>1.45</v>
      </c>
      <c r="G953" s="7" t="str">
        <f aca="false">_xlfn.XLOOKUP(D953,Catalog!$B$2:$B$4102,Catalog!$A$2:$A$4102,"NOT IN CATALOG")</f>
        <v>20 DOLLY PEGS RETROSPOT</v>
      </c>
      <c r="H953" s="7" t="n">
        <f aca="false">_xlfn.IFNA(VLOOKUP(D953,Catalog!$B$2:$C$4102,2,FALSE()),"")</f>
        <v>1.25</v>
      </c>
      <c r="I953" s="7" t="str">
        <f aca="false">HLOOKUP(C953,Regions!$B$1:$S$2,2,FALSE())</f>
        <v>EU</v>
      </c>
      <c r="J953" s="7" t="n">
        <f aca="false">E953*F953</f>
        <v>17.4</v>
      </c>
      <c r="K953" s="8" t="n">
        <f aca="false">IF(H953="","",1-F953/H953)</f>
        <v>-0.16</v>
      </c>
    </row>
    <row r="954" customFormat="false" ht="15" hidden="false" customHeight="false" outlineLevel="0" collapsed="false">
      <c r="A954" s="0" t="s">
        <v>637</v>
      </c>
      <c r="B954" s="6" t="n">
        <v>40884.4875</v>
      </c>
      <c r="C954" s="0" t="s">
        <v>41</v>
      </c>
      <c r="D954" s="0" t="s">
        <v>669</v>
      </c>
      <c r="E954" s="0" t="n">
        <v>6</v>
      </c>
      <c r="F954" s="0" t="n">
        <v>5.95</v>
      </c>
      <c r="G954" s="7" t="str">
        <f aca="false">_xlfn.XLOOKUP(D954,Catalog!$B$2:$B$4102,Catalog!$A$2:$A$4102,"NOT IN CATALOG")</f>
        <v>EDWARDIAN PARASOL BLACK</v>
      </c>
      <c r="H954" s="7" t="n">
        <f aca="false">_xlfn.IFNA(VLOOKUP(D954,Catalog!$B$2:$C$4102,2,FALSE()),"")</f>
        <v>5.95</v>
      </c>
      <c r="I954" s="7" t="str">
        <f aca="false">HLOOKUP(C954,Regions!$B$1:$S$2,2,FALSE())</f>
        <v>EU</v>
      </c>
      <c r="J954" s="7" t="n">
        <f aca="false">E954*F954</f>
        <v>35.7</v>
      </c>
      <c r="K954" s="8" t="n">
        <f aca="false">IF(H954="","",1-F954/H954)</f>
        <v>0</v>
      </c>
    </row>
    <row r="955" customFormat="false" ht="15" hidden="false" customHeight="false" outlineLevel="0" collapsed="false">
      <c r="A955" s="0" t="s">
        <v>637</v>
      </c>
      <c r="B955" s="6" t="n">
        <v>40884.4875</v>
      </c>
      <c r="C955" s="0" t="s">
        <v>41</v>
      </c>
      <c r="D955" s="0" t="s">
        <v>670</v>
      </c>
      <c r="E955" s="0" t="n">
        <v>12</v>
      </c>
      <c r="F955" s="0" t="n">
        <v>1.25</v>
      </c>
      <c r="G955" s="7" t="str">
        <f aca="false">_xlfn.XLOOKUP(D955,Catalog!$B$2:$B$4102,Catalog!$A$2:$A$4102,"NOT IN CATALOG")</f>
        <v>T-LIGHT GLASS FLUTED ANTIQUE</v>
      </c>
      <c r="H955" s="7" t="n">
        <f aca="false">_xlfn.IFNA(VLOOKUP(D955,Catalog!$B$2:$C$4102,2,FALSE()),"")</f>
        <v>1.25</v>
      </c>
      <c r="I955" s="7" t="str">
        <f aca="false">HLOOKUP(C955,Regions!$B$1:$S$2,2,FALSE())</f>
        <v>EU</v>
      </c>
      <c r="J955" s="7" t="n">
        <f aca="false">E955*F955</f>
        <v>15</v>
      </c>
      <c r="K955" s="8" t="n">
        <f aca="false">IF(H955="","",1-F955/H955)</f>
        <v>0</v>
      </c>
    </row>
    <row r="956" customFormat="false" ht="15" hidden="false" customHeight="false" outlineLevel="0" collapsed="false">
      <c r="A956" s="0" t="s">
        <v>637</v>
      </c>
      <c r="B956" s="6" t="n">
        <v>40884.4875</v>
      </c>
      <c r="C956" s="0" t="s">
        <v>41</v>
      </c>
      <c r="D956" s="0" t="s">
        <v>671</v>
      </c>
      <c r="E956" s="0" t="n">
        <v>12</v>
      </c>
      <c r="F956" s="0" t="n">
        <v>1.25</v>
      </c>
      <c r="G956" s="7" t="str">
        <f aca="false">_xlfn.XLOOKUP(D956,Catalog!$B$2:$B$4102,Catalog!$A$2:$A$4102,"NOT IN CATALOG")</f>
        <v>NOT IN CATALOG</v>
      </c>
      <c r="H956" s="7" t="str">
        <f aca="false">_xlfn.IFNA(VLOOKUP(D956,Catalog!$B$2:$C$4102,2,FALSE()),"")</f>
        <v/>
      </c>
      <c r="I956" s="7" t="str">
        <f aca="false">HLOOKUP(C956,Regions!$B$1:$S$2,2,FALSE())</f>
        <v>EU</v>
      </c>
      <c r="J956" s="7" t="n">
        <f aca="false">E956*F956</f>
        <v>15</v>
      </c>
      <c r="K956" s="8" t="str">
        <f aca="false">IF(H956="","",1-F956/H956)</f>
        <v/>
      </c>
    </row>
    <row r="957" customFormat="false" ht="15" hidden="false" customHeight="false" outlineLevel="0" collapsed="false">
      <c r="A957" s="0" t="s">
        <v>637</v>
      </c>
      <c r="B957" s="6" t="n">
        <v>40884.4875</v>
      </c>
      <c r="C957" s="0" t="s">
        <v>41</v>
      </c>
      <c r="D957" s="0" t="s">
        <v>672</v>
      </c>
      <c r="E957" s="0" t="n">
        <v>12</v>
      </c>
      <c r="F957" s="0" t="n">
        <v>2.08</v>
      </c>
      <c r="G957" s="7" t="str">
        <f aca="false">_xlfn.XLOOKUP(D957,Catalog!$B$2:$B$4102,Catalog!$A$2:$A$4102,"NOT IN CATALOG")</f>
        <v>NOT IN CATALOG</v>
      </c>
      <c r="H957" s="7" t="str">
        <f aca="false">_xlfn.IFNA(VLOOKUP(D957,Catalog!$B$2:$C$4102,2,FALSE()),"")</f>
        <v/>
      </c>
      <c r="I957" s="7" t="str">
        <f aca="false">HLOOKUP(C957,Regions!$B$1:$S$2,2,FALSE())</f>
        <v>EU</v>
      </c>
      <c r="J957" s="7" t="n">
        <f aca="false">E957*F957</f>
        <v>24.96</v>
      </c>
      <c r="K957" s="8" t="str">
        <f aca="false">IF(H957="","",1-F957/H957)</f>
        <v/>
      </c>
    </row>
    <row r="958" customFormat="false" ht="15" hidden="false" customHeight="false" outlineLevel="0" collapsed="false">
      <c r="A958" s="0" t="s">
        <v>637</v>
      </c>
      <c r="B958" s="6" t="n">
        <v>40884.4875</v>
      </c>
      <c r="C958" s="0" t="s">
        <v>41</v>
      </c>
      <c r="D958" s="0" t="s">
        <v>673</v>
      </c>
      <c r="E958" s="0" t="n">
        <v>4</v>
      </c>
      <c r="F958" s="0" t="n">
        <v>5.95</v>
      </c>
      <c r="G958" s="7" t="str">
        <f aca="false">_xlfn.XLOOKUP(D958,Catalog!$B$2:$B$4102,Catalog!$A$2:$A$4102,"NOT IN CATALOG")</f>
        <v>LARGE ROUND WICKER PLATTER</v>
      </c>
      <c r="H958" s="7" t="n">
        <f aca="false">_xlfn.IFNA(VLOOKUP(D958,Catalog!$B$2:$C$4102,2,FALSE()),"")</f>
        <v>5.95</v>
      </c>
      <c r="I958" s="7" t="str">
        <f aca="false">HLOOKUP(C958,Regions!$B$1:$S$2,2,FALSE())</f>
        <v>EU</v>
      </c>
      <c r="J958" s="7" t="n">
        <f aca="false">E958*F958</f>
        <v>23.8</v>
      </c>
      <c r="K958" s="8" t="n">
        <f aca="false">IF(H958="","",1-F958/H958)</f>
        <v>0</v>
      </c>
    </row>
    <row r="959" customFormat="false" ht="15" hidden="false" customHeight="false" outlineLevel="0" collapsed="false">
      <c r="A959" s="0" t="s">
        <v>637</v>
      </c>
      <c r="B959" s="6" t="n">
        <v>40884.4875</v>
      </c>
      <c r="C959" s="0" t="s">
        <v>41</v>
      </c>
      <c r="D959" s="0" t="s">
        <v>674</v>
      </c>
      <c r="E959" s="0" t="n">
        <v>2</v>
      </c>
      <c r="F959" s="0" t="n">
        <v>24.95</v>
      </c>
      <c r="G959" s="7" t="str">
        <f aca="false">_xlfn.XLOOKUP(D959,Catalog!$B$2:$B$4102,Catalog!$A$2:$A$4102,"NOT IN CATALOG")</f>
        <v>SET 3 WICKER STORAGE BASKETS</v>
      </c>
      <c r="H959" s="7" t="n">
        <f aca="false">_xlfn.IFNA(VLOOKUP(D959,Catalog!$B$2:$C$4102,2,FALSE()),"")</f>
        <v>24.95</v>
      </c>
      <c r="I959" s="7" t="str">
        <f aca="false">HLOOKUP(C959,Regions!$B$1:$S$2,2,FALSE())</f>
        <v>EU</v>
      </c>
      <c r="J959" s="7" t="n">
        <f aca="false">E959*F959</f>
        <v>49.9</v>
      </c>
      <c r="K959" s="8" t="n">
        <f aca="false">IF(H959="","",1-F959/H959)</f>
        <v>0</v>
      </c>
    </row>
    <row r="960" customFormat="false" ht="15" hidden="false" customHeight="false" outlineLevel="0" collapsed="false">
      <c r="A960" s="0" t="s">
        <v>675</v>
      </c>
      <c r="B960" s="6" t="n">
        <v>40884.6263888889</v>
      </c>
      <c r="C960" s="0" t="s">
        <v>81</v>
      </c>
      <c r="D960" s="0" t="s">
        <v>379</v>
      </c>
      <c r="E960" s="0" t="n">
        <v>12</v>
      </c>
      <c r="F960" s="0" t="n">
        <v>1.25</v>
      </c>
      <c r="G960" s="7" t="str">
        <f aca="false">_xlfn.XLOOKUP(D960,Catalog!$B$2:$B$4102,Catalog!$A$2:$A$4102,"NOT IN CATALOG")</f>
        <v>NOT IN CATALOG</v>
      </c>
      <c r="H960" s="7" t="str">
        <f aca="false">_xlfn.IFNA(VLOOKUP(D960,Catalog!$B$2:$C$4102,2,FALSE()),"")</f>
        <v/>
      </c>
      <c r="I960" s="7" t="str">
        <f aca="false">HLOOKUP(C960,Regions!$B$1:$S$2,2,FALSE())</f>
        <v>EU</v>
      </c>
      <c r="J960" s="7" t="n">
        <f aca="false">E960*F960</f>
        <v>15</v>
      </c>
      <c r="K960" s="8" t="str">
        <f aca="false">IF(H960="","",1-F960/H960)</f>
        <v/>
      </c>
    </row>
    <row r="961" customFormat="false" ht="15" hidden="false" customHeight="false" outlineLevel="0" collapsed="false">
      <c r="A961" s="0" t="s">
        <v>675</v>
      </c>
      <c r="B961" s="6" t="n">
        <v>40884.6263888889</v>
      </c>
      <c r="C961" s="0" t="s">
        <v>81</v>
      </c>
      <c r="D961" s="0" t="s">
        <v>216</v>
      </c>
      <c r="E961" s="0" t="n">
        <v>24</v>
      </c>
      <c r="F961" s="0" t="n">
        <v>1.25</v>
      </c>
      <c r="G961" s="7" t="str">
        <f aca="false">_xlfn.XLOOKUP(D961,Catalog!$B$2:$B$4102,Catalog!$A$2:$A$4102,"NOT IN CATALOG")</f>
        <v>GINGERBREAD MAN COOKIE CUTTER</v>
      </c>
      <c r="H961" s="7" t="n">
        <f aca="false">_xlfn.IFNA(VLOOKUP(D961,Catalog!$B$2:$C$4102,2,FALSE()),"")</f>
        <v>1.25</v>
      </c>
      <c r="I961" s="7" t="str">
        <f aca="false">HLOOKUP(C961,Regions!$B$1:$S$2,2,FALSE())</f>
        <v>EU</v>
      </c>
      <c r="J961" s="7" t="n">
        <f aca="false">E961*F961</f>
        <v>30</v>
      </c>
      <c r="K961" s="8" t="n">
        <f aca="false">IF(H961="","",1-F961/H961)</f>
        <v>0</v>
      </c>
    </row>
    <row r="962" customFormat="false" ht="15" hidden="false" customHeight="false" outlineLevel="0" collapsed="false">
      <c r="A962" s="0" t="s">
        <v>675</v>
      </c>
      <c r="B962" s="6" t="n">
        <v>40884.6263888889</v>
      </c>
      <c r="C962" s="0" t="s">
        <v>81</v>
      </c>
      <c r="D962" s="0" t="s">
        <v>47</v>
      </c>
      <c r="E962" s="0" t="n">
        <v>6</v>
      </c>
      <c r="F962" s="0" t="n">
        <v>7.95</v>
      </c>
      <c r="G962" s="7" t="str">
        <f aca="false">_xlfn.XLOOKUP(D962,Catalog!$B$2:$B$4102,Catalog!$A$2:$A$4102,"NOT IN CATALOG")</f>
        <v>RED/WHITE DOT MINI CASES</v>
      </c>
      <c r="H962" s="7" t="n">
        <f aca="false">_xlfn.IFNA(VLOOKUP(D962,Catalog!$B$2:$C$4102,2,FALSE()),"")</f>
        <v>7.95</v>
      </c>
      <c r="I962" s="7" t="str">
        <f aca="false">HLOOKUP(C962,Regions!$B$1:$S$2,2,FALSE())</f>
        <v>EU</v>
      </c>
      <c r="J962" s="7" t="n">
        <f aca="false">E962*F962</f>
        <v>47.7</v>
      </c>
      <c r="K962" s="8" t="n">
        <f aca="false">IF(H962="","",1-F962/H962)</f>
        <v>0</v>
      </c>
    </row>
    <row r="963" customFormat="false" ht="15" hidden="false" customHeight="false" outlineLevel="0" collapsed="false">
      <c r="A963" s="0" t="s">
        <v>675</v>
      </c>
      <c r="B963" s="6" t="n">
        <v>40884.6263888889</v>
      </c>
      <c r="C963" s="0" t="s">
        <v>81</v>
      </c>
      <c r="D963" s="0" t="s">
        <v>656</v>
      </c>
      <c r="E963" s="0" t="n">
        <v>3</v>
      </c>
      <c r="F963" s="0" t="n">
        <v>5.95</v>
      </c>
      <c r="G963" s="7" t="str">
        <f aca="false">_xlfn.XLOOKUP(D963,Catalog!$B$2:$B$4102,Catalog!$A$2:$A$4102,"NOT IN CATALOG")</f>
        <v>RED/WHITE DOTS RUFFLED UMBRELLA</v>
      </c>
      <c r="H963" s="7" t="n">
        <f aca="false">_xlfn.IFNA(VLOOKUP(D963,Catalog!$B$2:$C$4102,2,FALSE()),"")</f>
        <v>5.95</v>
      </c>
      <c r="I963" s="7" t="str">
        <f aca="false">HLOOKUP(C963,Regions!$B$1:$S$2,2,FALSE())</f>
        <v>EU</v>
      </c>
      <c r="J963" s="7" t="n">
        <f aca="false">E963*F963</f>
        <v>17.85</v>
      </c>
      <c r="K963" s="8" t="n">
        <f aca="false">IF(H963="","",1-F963/H963)</f>
        <v>0</v>
      </c>
    </row>
    <row r="964" customFormat="false" ht="15" hidden="false" customHeight="false" outlineLevel="0" collapsed="false">
      <c r="A964" s="0" t="s">
        <v>675</v>
      </c>
      <c r="B964" s="6" t="n">
        <v>40884.6263888889</v>
      </c>
      <c r="C964" s="0" t="s">
        <v>81</v>
      </c>
      <c r="D964" s="0" t="s">
        <v>370</v>
      </c>
      <c r="E964" s="0" t="n">
        <v>12</v>
      </c>
      <c r="F964" s="0" t="n">
        <v>3.25</v>
      </c>
      <c r="G964" s="7" t="str">
        <f aca="false">_xlfn.XLOOKUP(D964,Catalog!$B$2:$B$4102,Catalog!$A$2:$A$4102,"NOT IN CATALOG")</f>
        <v>RED SPOTTY CHILDS UMBRELLA</v>
      </c>
      <c r="H964" s="7" t="n">
        <f aca="false">_xlfn.IFNA(VLOOKUP(D964,Catalog!$B$2:$C$4102,2,FALSE()),"")</f>
        <v>3.25</v>
      </c>
      <c r="I964" s="7" t="str">
        <f aca="false">HLOOKUP(C964,Regions!$B$1:$S$2,2,FALSE())</f>
        <v>EU</v>
      </c>
      <c r="J964" s="7" t="n">
        <f aca="false">E964*F964</f>
        <v>39</v>
      </c>
      <c r="K964" s="8" t="n">
        <f aca="false">IF(H964="","",1-F964/H964)</f>
        <v>0</v>
      </c>
    </row>
    <row r="965" customFormat="false" ht="15" hidden="false" customHeight="false" outlineLevel="0" collapsed="false">
      <c r="A965" s="0" t="s">
        <v>675</v>
      </c>
      <c r="B965" s="6" t="n">
        <v>40884.6263888889</v>
      </c>
      <c r="C965" s="0" t="s">
        <v>81</v>
      </c>
      <c r="D965" s="0" t="s">
        <v>676</v>
      </c>
      <c r="E965" s="0" t="n">
        <v>4</v>
      </c>
      <c r="F965" s="0" t="n">
        <v>7.5</v>
      </c>
      <c r="G965" s="7" t="str">
        <f aca="false">_xlfn.XLOOKUP(D965,Catalog!$B$2:$B$4102,Catalog!$A$2:$A$4102,"NOT IN CATALOG")</f>
        <v>NOT IN CATALOG</v>
      </c>
      <c r="H965" s="7" t="str">
        <f aca="false">_xlfn.IFNA(VLOOKUP(D965,Catalog!$B$2:$C$4102,2,FALSE()),"")</f>
        <v/>
      </c>
      <c r="I965" s="7" t="str">
        <f aca="false">HLOOKUP(C965,Regions!$B$1:$S$2,2,FALSE())</f>
        <v>EU</v>
      </c>
      <c r="J965" s="7" t="n">
        <f aca="false">E965*F965</f>
        <v>30</v>
      </c>
      <c r="K965" s="8" t="str">
        <f aca="false">IF(H965="","",1-F965/H965)</f>
        <v/>
      </c>
    </row>
    <row r="966" customFormat="false" ht="15" hidden="false" customHeight="false" outlineLevel="0" collapsed="false">
      <c r="A966" s="0" t="s">
        <v>675</v>
      </c>
      <c r="B966" s="6" t="n">
        <v>40884.6263888889</v>
      </c>
      <c r="C966" s="0" t="s">
        <v>81</v>
      </c>
      <c r="D966" s="0" t="s">
        <v>224</v>
      </c>
      <c r="E966" s="0" t="n">
        <v>4</v>
      </c>
      <c r="F966" s="0" t="n">
        <v>3.75</v>
      </c>
      <c r="G966" s="7" t="str">
        <f aca="false">_xlfn.XLOOKUP(D966,Catalog!$B$2:$B$4102,Catalog!$A$2:$A$4102,"NOT IN CATALOG")</f>
        <v>FAWN BLUE HOT WATER BOTTLE</v>
      </c>
      <c r="H966" s="7" t="n">
        <f aca="false">_xlfn.IFNA(VLOOKUP(D966,Catalog!$B$2:$C$4102,2,FALSE()),"")</f>
        <v>2.95</v>
      </c>
      <c r="I966" s="7" t="str">
        <f aca="false">HLOOKUP(C966,Regions!$B$1:$S$2,2,FALSE())</f>
        <v>EU</v>
      </c>
      <c r="J966" s="7" t="n">
        <f aca="false">E966*F966</f>
        <v>15</v>
      </c>
      <c r="K966" s="8" t="n">
        <f aca="false">IF(H966="","",1-F966/H966)</f>
        <v>-0.271186440677966</v>
      </c>
    </row>
    <row r="967" customFormat="false" ht="15" hidden="false" customHeight="false" outlineLevel="0" collapsed="false">
      <c r="A967" s="0" t="s">
        <v>675</v>
      </c>
      <c r="B967" s="6" t="n">
        <v>40884.6263888889</v>
      </c>
      <c r="C967" s="0" t="s">
        <v>81</v>
      </c>
      <c r="D967" s="0" t="s">
        <v>234</v>
      </c>
      <c r="E967" s="0" t="n">
        <v>12</v>
      </c>
      <c r="F967" s="0" t="n">
        <v>0.42</v>
      </c>
      <c r="G967" s="7" t="str">
        <f aca="false">_xlfn.XLOOKUP(D967,Catalog!$B$2:$B$4102,Catalog!$A$2:$A$4102,"NOT IN CATALOG")</f>
        <v>TEA PARTY BIRTHDAY CARD</v>
      </c>
      <c r="H967" s="7" t="n">
        <f aca="false">_xlfn.IFNA(VLOOKUP(D967,Catalog!$B$2:$C$4102,2,FALSE()),"")</f>
        <v>0.42</v>
      </c>
      <c r="I967" s="7" t="str">
        <f aca="false">HLOOKUP(C967,Regions!$B$1:$S$2,2,FALSE())</f>
        <v>EU</v>
      </c>
      <c r="J967" s="7" t="n">
        <f aca="false">E967*F967</f>
        <v>5.04</v>
      </c>
      <c r="K967" s="8" t="n">
        <f aca="false">IF(H967="","",1-F967/H967)</f>
        <v>0</v>
      </c>
    </row>
    <row r="968" customFormat="false" ht="15" hidden="false" customHeight="false" outlineLevel="0" collapsed="false">
      <c r="A968" s="0" t="s">
        <v>675</v>
      </c>
      <c r="B968" s="6" t="n">
        <v>40884.6263888889</v>
      </c>
      <c r="C968" s="0" t="s">
        <v>81</v>
      </c>
      <c r="D968" s="0" t="s">
        <v>677</v>
      </c>
      <c r="E968" s="0" t="n">
        <v>12</v>
      </c>
      <c r="F968" s="0" t="n">
        <v>0.42</v>
      </c>
      <c r="G968" s="7" t="str">
        <f aca="false">_xlfn.XLOOKUP(D968,Catalog!$B$2:$B$4102,Catalog!$A$2:$A$4102,"NOT IN CATALOG")</f>
        <v>COWBOYS AND INDIANS BIRTHDAY CARD</v>
      </c>
      <c r="H968" s="7" t="n">
        <f aca="false">_xlfn.IFNA(VLOOKUP(D968,Catalog!$B$2:$C$4102,2,FALSE()),"")</f>
        <v>0.42</v>
      </c>
      <c r="I968" s="7" t="str">
        <f aca="false">HLOOKUP(C968,Regions!$B$1:$S$2,2,FALSE())</f>
        <v>EU</v>
      </c>
      <c r="J968" s="7" t="n">
        <f aca="false">E968*F968</f>
        <v>5.04</v>
      </c>
      <c r="K968" s="8" t="n">
        <f aca="false">IF(H968="","",1-F968/H968)</f>
        <v>0</v>
      </c>
    </row>
    <row r="969" customFormat="false" ht="15" hidden="false" customHeight="false" outlineLevel="0" collapsed="false">
      <c r="A969" s="0" t="s">
        <v>675</v>
      </c>
      <c r="B969" s="6" t="n">
        <v>40884.6263888889</v>
      </c>
      <c r="C969" s="0" t="s">
        <v>81</v>
      </c>
      <c r="D969" s="0" t="s">
        <v>678</v>
      </c>
      <c r="E969" s="0" t="n">
        <v>12</v>
      </c>
      <c r="F969" s="0" t="n">
        <v>0.42</v>
      </c>
      <c r="G969" s="7" t="str">
        <f aca="false">_xlfn.XLOOKUP(D969,Catalog!$B$2:$B$4102,Catalog!$A$2:$A$4102,"NOT IN CATALOG")</f>
        <v>PENNY FARTHING BIRTHDAY CARD</v>
      </c>
      <c r="H969" s="7" t="n">
        <f aca="false">_xlfn.IFNA(VLOOKUP(D969,Catalog!$B$2:$C$4102,2,FALSE()),"")</f>
        <v>0.42</v>
      </c>
      <c r="I969" s="7" t="str">
        <f aca="false">HLOOKUP(C969,Regions!$B$1:$S$2,2,FALSE())</f>
        <v>EU</v>
      </c>
      <c r="J969" s="7" t="n">
        <f aca="false">E969*F969</f>
        <v>5.04</v>
      </c>
      <c r="K969" s="8" t="n">
        <f aca="false">IF(H969="","",1-F969/H969)</f>
        <v>0</v>
      </c>
    </row>
    <row r="970" customFormat="false" ht="15" hidden="false" customHeight="false" outlineLevel="0" collapsed="false">
      <c r="A970" s="0" t="s">
        <v>675</v>
      </c>
      <c r="B970" s="6" t="n">
        <v>40884.6263888889</v>
      </c>
      <c r="C970" s="0" t="s">
        <v>81</v>
      </c>
      <c r="D970" s="0" t="s">
        <v>308</v>
      </c>
      <c r="E970" s="0" t="n">
        <v>12</v>
      </c>
      <c r="F970" s="0" t="n">
        <v>0.42</v>
      </c>
      <c r="G970" s="7" t="str">
        <f aca="false">_xlfn.XLOOKUP(D970,Catalog!$B$2:$B$4102,Catalog!$A$2:$A$4102,"NOT IN CATALOG")</f>
        <v>SPACEBOY BIRTHDAY CARD</v>
      </c>
      <c r="H970" s="7" t="n">
        <f aca="false">_xlfn.IFNA(VLOOKUP(D970,Catalog!$B$2:$C$4102,2,FALSE()),"")</f>
        <v>0.42</v>
      </c>
      <c r="I970" s="7" t="str">
        <f aca="false">HLOOKUP(C970,Regions!$B$1:$S$2,2,FALSE())</f>
        <v>EU</v>
      </c>
      <c r="J970" s="7" t="n">
        <f aca="false">E970*F970</f>
        <v>5.04</v>
      </c>
      <c r="K970" s="8" t="n">
        <f aca="false">IF(H970="","",1-F970/H970)</f>
        <v>0</v>
      </c>
    </row>
    <row r="971" customFormat="false" ht="15" hidden="false" customHeight="false" outlineLevel="0" collapsed="false">
      <c r="A971" s="0" t="s">
        <v>675</v>
      </c>
      <c r="B971" s="6" t="n">
        <v>40884.6263888889</v>
      </c>
      <c r="C971" s="0" t="s">
        <v>81</v>
      </c>
      <c r="D971" s="0" t="s">
        <v>679</v>
      </c>
      <c r="E971" s="0" t="n">
        <v>2</v>
      </c>
      <c r="F971" s="0" t="n">
        <v>12.75</v>
      </c>
      <c r="G971" s="7" t="str">
        <f aca="false">_xlfn.XLOOKUP(D971,Catalog!$B$2:$B$4102,Catalog!$A$2:$A$4102,"NOT IN CATALOG")</f>
        <v>VICTORIAN SEWING BOX LARGE</v>
      </c>
      <c r="H971" s="7" t="n">
        <f aca="false">_xlfn.IFNA(VLOOKUP(D971,Catalog!$B$2:$C$4102,2,FALSE()),"")</f>
        <v>12.75</v>
      </c>
      <c r="I971" s="7" t="str">
        <f aca="false">HLOOKUP(C971,Regions!$B$1:$S$2,2,FALSE())</f>
        <v>EU</v>
      </c>
      <c r="J971" s="7" t="n">
        <f aca="false">E971*F971</f>
        <v>25.5</v>
      </c>
      <c r="K971" s="8" t="n">
        <f aca="false">IF(H971="","",1-F971/H971)</f>
        <v>0</v>
      </c>
    </row>
    <row r="972" customFormat="false" ht="15" hidden="false" customHeight="false" outlineLevel="0" collapsed="false">
      <c r="A972" s="0" t="s">
        <v>675</v>
      </c>
      <c r="B972" s="6" t="n">
        <v>40884.6263888889</v>
      </c>
      <c r="C972" s="0" t="s">
        <v>81</v>
      </c>
      <c r="D972" s="0" t="s">
        <v>680</v>
      </c>
      <c r="E972" s="0" t="n">
        <v>48</v>
      </c>
      <c r="F972" s="0" t="n">
        <v>0.29</v>
      </c>
      <c r="G972" s="7" t="str">
        <f aca="false">_xlfn.XLOOKUP(D972,Catalog!$B$2:$B$4102,Catalog!$A$2:$A$4102,"NOT IN CATALOG")</f>
        <v>WORLD WAR 2 GLIDERS ASSTD DESIGNS</v>
      </c>
      <c r="H972" s="7" t="n">
        <f aca="false">_xlfn.IFNA(VLOOKUP(D972,Catalog!$B$2:$C$4102,2,FALSE()),"")</f>
        <v>0.21</v>
      </c>
      <c r="I972" s="7" t="str">
        <f aca="false">HLOOKUP(C972,Regions!$B$1:$S$2,2,FALSE())</f>
        <v>EU</v>
      </c>
      <c r="J972" s="7" t="n">
        <f aca="false">E972*F972</f>
        <v>13.92</v>
      </c>
      <c r="K972" s="8" t="n">
        <f aca="false">IF(H972="","",1-F972/H972)</f>
        <v>-0.380952380952381</v>
      </c>
    </row>
    <row r="973" customFormat="false" ht="15" hidden="false" customHeight="false" outlineLevel="0" collapsed="false">
      <c r="A973" s="0" t="s">
        <v>675</v>
      </c>
      <c r="B973" s="6" t="n">
        <v>40884.6263888889</v>
      </c>
      <c r="C973" s="0" t="s">
        <v>81</v>
      </c>
      <c r="D973" s="0" t="s">
        <v>681</v>
      </c>
      <c r="E973" s="0" t="n">
        <v>12</v>
      </c>
      <c r="F973" s="0" t="n">
        <v>2.08</v>
      </c>
      <c r="G973" s="7" t="str">
        <f aca="false">_xlfn.XLOOKUP(D973,Catalog!$B$2:$B$4102,Catalog!$A$2:$A$4102,"NOT IN CATALOG")</f>
        <v>NOT IN CATALOG</v>
      </c>
      <c r="H973" s="7" t="str">
        <f aca="false">_xlfn.IFNA(VLOOKUP(D973,Catalog!$B$2:$C$4102,2,FALSE()),"")</f>
        <v/>
      </c>
      <c r="I973" s="7" t="str">
        <f aca="false">HLOOKUP(C973,Regions!$B$1:$S$2,2,FALSE())</f>
        <v>EU</v>
      </c>
      <c r="J973" s="7" t="n">
        <f aca="false">E973*F973</f>
        <v>24.96</v>
      </c>
      <c r="K973" s="8" t="str">
        <f aca="false">IF(H973="","",1-F973/H973)</f>
        <v/>
      </c>
    </row>
    <row r="974" customFormat="false" ht="15" hidden="false" customHeight="false" outlineLevel="0" collapsed="false">
      <c r="A974" s="0" t="s">
        <v>675</v>
      </c>
      <c r="B974" s="6" t="n">
        <v>40884.6263888889</v>
      </c>
      <c r="C974" s="0" t="s">
        <v>81</v>
      </c>
      <c r="D974" s="0" t="s">
        <v>580</v>
      </c>
      <c r="E974" s="0" t="n">
        <v>12</v>
      </c>
      <c r="F974" s="0" t="n">
        <v>1.25</v>
      </c>
      <c r="G974" s="7" t="str">
        <f aca="false">_xlfn.XLOOKUP(D974,Catalog!$B$2:$B$4102,Catalog!$A$2:$A$4102,"NOT IN CATALOG")</f>
        <v>WOODEN BOX OF DOMINOES</v>
      </c>
      <c r="H974" s="7" t="n">
        <f aca="false">_xlfn.IFNA(VLOOKUP(D974,Catalog!$B$2:$C$4102,2,FALSE()),"")</f>
        <v>1.25</v>
      </c>
      <c r="I974" s="7" t="str">
        <f aca="false">HLOOKUP(C974,Regions!$B$1:$S$2,2,FALSE())</f>
        <v>EU</v>
      </c>
      <c r="J974" s="7" t="n">
        <f aca="false">E974*F974</f>
        <v>15</v>
      </c>
      <c r="K974" s="8" t="n">
        <f aca="false">IF(H974="","",1-F974/H974)</f>
        <v>0</v>
      </c>
    </row>
    <row r="975" customFormat="false" ht="15" hidden="false" customHeight="false" outlineLevel="0" collapsed="false">
      <c r="A975" s="0" t="s">
        <v>675</v>
      </c>
      <c r="B975" s="6" t="n">
        <v>40884.6263888889</v>
      </c>
      <c r="C975" s="0" t="s">
        <v>81</v>
      </c>
      <c r="D975" s="0" t="s">
        <v>378</v>
      </c>
      <c r="E975" s="0" t="n">
        <v>12</v>
      </c>
      <c r="F975" s="0" t="n">
        <v>1.45</v>
      </c>
      <c r="G975" s="7" t="str">
        <f aca="false">_xlfn.XLOOKUP(D975,Catalog!$B$2:$B$4102,Catalog!$A$2:$A$4102,"NOT IN CATALOG")</f>
        <v>TRADITIONAL WOODEN SKIPPING ROPE</v>
      </c>
      <c r="H975" s="7" t="n">
        <f aca="false">_xlfn.IFNA(VLOOKUP(D975,Catalog!$B$2:$C$4102,2,FALSE()),"")</f>
        <v>1.25</v>
      </c>
      <c r="I975" s="7" t="str">
        <f aca="false">HLOOKUP(C975,Regions!$B$1:$S$2,2,FALSE())</f>
        <v>EU</v>
      </c>
      <c r="J975" s="7" t="n">
        <f aca="false">E975*F975</f>
        <v>17.4</v>
      </c>
      <c r="K975" s="8" t="n">
        <f aca="false">IF(H975="","",1-F975/H975)</f>
        <v>-0.16</v>
      </c>
    </row>
    <row r="976" customFormat="false" ht="15" hidden="false" customHeight="false" outlineLevel="0" collapsed="false">
      <c r="A976" s="0" t="s">
        <v>675</v>
      </c>
      <c r="B976" s="6" t="n">
        <v>40884.6263888889</v>
      </c>
      <c r="C976" s="0" t="s">
        <v>81</v>
      </c>
      <c r="D976" s="0" t="s">
        <v>150</v>
      </c>
      <c r="E976" s="0" t="n">
        <v>12</v>
      </c>
      <c r="F976" s="0" t="n">
        <v>1.45</v>
      </c>
      <c r="G976" s="7" t="str">
        <f aca="false">_xlfn.XLOOKUP(D976,Catalog!$B$2:$B$4102,Catalog!$A$2:$A$4102,"NOT IN CATALOG")</f>
        <v>4 TRADITIONAL SPINNING TOPS</v>
      </c>
      <c r="H976" s="7" t="n">
        <f aca="false">_xlfn.IFNA(VLOOKUP(D976,Catalog!$B$2:$C$4102,2,FALSE()),"")</f>
        <v>1.25</v>
      </c>
      <c r="I976" s="7" t="str">
        <f aca="false">HLOOKUP(C976,Regions!$B$1:$S$2,2,FALSE())</f>
        <v>EU</v>
      </c>
      <c r="J976" s="7" t="n">
        <f aca="false">E976*F976</f>
        <v>17.4</v>
      </c>
      <c r="K976" s="8" t="n">
        <f aca="false">IF(H976="","",1-F976/H976)</f>
        <v>-0.16</v>
      </c>
    </row>
    <row r="977" customFormat="false" ht="15" hidden="false" customHeight="false" outlineLevel="0" collapsed="false">
      <c r="A977" s="0" t="s">
        <v>675</v>
      </c>
      <c r="B977" s="6" t="n">
        <v>40884.6263888889</v>
      </c>
      <c r="C977" s="0" t="s">
        <v>81</v>
      </c>
      <c r="D977" s="0" t="s">
        <v>144</v>
      </c>
      <c r="E977" s="0" t="n">
        <v>12</v>
      </c>
      <c r="F977" s="0" t="n">
        <v>1.25</v>
      </c>
      <c r="G977" s="7" t="str">
        <f aca="false">_xlfn.XLOOKUP(D977,Catalog!$B$2:$B$4102,Catalog!$A$2:$A$4102,"NOT IN CATALOG")</f>
        <v>BLUE HARMONICA IN BOX</v>
      </c>
      <c r="H977" s="7" t="n">
        <f aca="false">_xlfn.IFNA(VLOOKUP(D977,Catalog!$B$2:$C$4102,2,FALSE()),"")</f>
        <v>1.25</v>
      </c>
      <c r="I977" s="7" t="str">
        <f aca="false">HLOOKUP(C977,Regions!$B$1:$S$2,2,FALSE())</f>
        <v>EU</v>
      </c>
      <c r="J977" s="7" t="n">
        <f aca="false">E977*F977</f>
        <v>15</v>
      </c>
      <c r="K977" s="8" t="n">
        <f aca="false">IF(H977="","",1-F977/H977)</f>
        <v>0</v>
      </c>
    </row>
    <row r="978" customFormat="false" ht="15" hidden="false" customHeight="false" outlineLevel="0" collapsed="false">
      <c r="A978" s="0" t="s">
        <v>675</v>
      </c>
      <c r="B978" s="6" t="n">
        <v>40884.6263888889</v>
      </c>
      <c r="C978" s="0" t="s">
        <v>81</v>
      </c>
      <c r="D978" s="0" t="s">
        <v>39</v>
      </c>
      <c r="E978" s="0" t="n">
        <v>2</v>
      </c>
      <c r="F978" s="0" t="n">
        <v>18</v>
      </c>
      <c r="G978" s="7" t="str">
        <f aca="false">_xlfn.XLOOKUP(D978,Catalog!$B$2:$B$4102,Catalog!$A$2:$A$4102,"NOT IN CATALOG")</f>
        <v>POSTAGE</v>
      </c>
      <c r="H978" s="7" t="n">
        <f aca="false">_xlfn.IFNA(VLOOKUP(D978,Catalog!$B$2:$C$4102,2,FALSE()),"")</f>
        <v>18</v>
      </c>
      <c r="I978" s="7" t="str">
        <f aca="false">HLOOKUP(C978,Regions!$B$1:$S$2,2,FALSE())</f>
        <v>EU</v>
      </c>
      <c r="J978" s="7" t="n">
        <f aca="false">E978*F978</f>
        <v>36</v>
      </c>
      <c r="K978" s="8" t="n">
        <f aca="false">IF(H978="","",1-F978/H978)</f>
        <v>0</v>
      </c>
    </row>
    <row r="979" customFormat="false" ht="15" hidden="false" customHeight="false" outlineLevel="0" collapsed="false">
      <c r="A979" s="0" t="s">
        <v>675</v>
      </c>
      <c r="B979" s="6" t="n">
        <v>40884.6263888889</v>
      </c>
      <c r="C979" s="0" t="s">
        <v>81</v>
      </c>
      <c r="D979" s="0" t="s">
        <v>82</v>
      </c>
      <c r="E979" s="0" t="n">
        <v>24</v>
      </c>
      <c r="F979" s="0" t="n">
        <v>1.79</v>
      </c>
      <c r="G979" s="7" t="str">
        <f aca="false">_xlfn.XLOOKUP(D979,Catalog!$B$2:$B$4102,Catalog!$A$2:$A$4102,"NOT IN CATALOG")</f>
        <v>NOT IN CATALOG</v>
      </c>
      <c r="H979" s="7" t="str">
        <f aca="false">_xlfn.IFNA(VLOOKUP(D979,Catalog!$B$2:$C$4102,2,FALSE()),"")</f>
        <v/>
      </c>
      <c r="I979" s="7" t="str">
        <f aca="false">HLOOKUP(C979,Regions!$B$1:$S$2,2,FALSE())</f>
        <v>EU</v>
      </c>
      <c r="J979" s="7" t="n">
        <f aca="false">E979*F979</f>
        <v>42.96</v>
      </c>
      <c r="K979" s="8" t="str">
        <f aca="false">IF(H979="","",1-F979/H979)</f>
        <v/>
      </c>
    </row>
    <row r="980" customFormat="false" ht="15" hidden="false" customHeight="false" outlineLevel="0" collapsed="false">
      <c r="A980" s="0" t="s">
        <v>682</v>
      </c>
      <c r="B980" s="6" t="n">
        <v>40884.6361111111</v>
      </c>
      <c r="C980" s="0" t="s">
        <v>683</v>
      </c>
      <c r="D980" s="0" t="s">
        <v>440</v>
      </c>
      <c r="E980" s="0" t="n">
        <v>48</v>
      </c>
      <c r="F980" s="0" t="n">
        <v>1.45</v>
      </c>
      <c r="G980" s="7" t="str">
        <f aca="false">_xlfn.XLOOKUP(D980,Catalog!$B$2:$B$4102,Catalog!$A$2:$A$4102,"NOT IN CATALOG")</f>
        <v>CHILDREN'S CIRCUS PARADE MUG</v>
      </c>
      <c r="H980" s="7" t="n">
        <f aca="false">_xlfn.IFNA(VLOOKUP(D980,Catalog!$B$2:$C$4102,2,FALSE()),"")</f>
        <v>1.65</v>
      </c>
      <c r="I980" s="7" t="str">
        <f aca="false">HLOOKUP(C980,Regions!$B$1:$S$2,2,FALSE())</f>
        <v>EU</v>
      </c>
      <c r="J980" s="7" t="n">
        <f aca="false">E980*F980</f>
        <v>69.6</v>
      </c>
      <c r="K980" s="8" t="n">
        <f aca="false">IF(H980="","",1-F980/H980)</f>
        <v>0.121212121212121</v>
      </c>
    </row>
    <row r="981" customFormat="false" ht="15" hidden="false" customHeight="false" outlineLevel="0" collapsed="false">
      <c r="A981" s="0" t="s">
        <v>682</v>
      </c>
      <c r="B981" s="6" t="n">
        <v>40884.6361111111</v>
      </c>
      <c r="C981" s="0" t="s">
        <v>683</v>
      </c>
      <c r="D981" s="0" t="s">
        <v>684</v>
      </c>
      <c r="E981" s="0" t="n">
        <v>96</v>
      </c>
      <c r="F981" s="0" t="n">
        <v>0.72</v>
      </c>
      <c r="G981" s="7" t="str">
        <f aca="false">_xlfn.XLOOKUP(D981,Catalog!$B$2:$B$4102,Catalog!$A$2:$A$4102,"NOT IN CATALOG")</f>
        <v>NOT IN CATALOG</v>
      </c>
      <c r="H981" s="7" t="str">
        <f aca="false">_xlfn.IFNA(VLOOKUP(D981,Catalog!$B$2:$C$4102,2,FALSE()),"")</f>
        <v/>
      </c>
      <c r="I981" s="7" t="str">
        <f aca="false">HLOOKUP(C981,Regions!$B$1:$S$2,2,FALSE())</f>
        <v>EU</v>
      </c>
      <c r="J981" s="7" t="n">
        <f aca="false">E981*F981</f>
        <v>69.12</v>
      </c>
      <c r="K981" s="8" t="str">
        <f aca="false">IF(H981="","",1-F981/H981)</f>
        <v/>
      </c>
    </row>
    <row r="982" customFormat="false" ht="15" hidden="false" customHeight="false" outlineLevel="0" collapsed="false">
      <c r="A982" s="0" t="s">
        <v>682</v>
      </c>
      <c r="B982" s="6" t="n">
        <v>40884.6361111111</v>
      </c>
      <c r="C982" s="0" t="s">
        <v>683</v>
      </c>
      <c r="D982" s="0" t="s">
        <v>685</v>
      </c>
      <c r="E982" s="0" t="n">
        <v>96</v>
      </c>
      <c r="F982" s="0" t="n">
        <v>0.72</v>
      </c>
      <c r="G982" s="7" t="str">
        <f aca="false">_xlfn.XLOOKUP(D982,Catalog!$B$2:$B$4102,Catalog!$A$2:$A$4102,"NOT IN CATALOG")</f>
        <v>NOT IN CATALOG</v>
      </c>
      <c r="H982" s="7" t="str">
        <f aca="false">_xlfn.IFNA(VLOOKUP(D982,Catalog!$B$2:$C$4102,2,FALSE()),"")</f>
        <v/>
      </c>
      <c r="I982" s="7" t="str">
        <f aca="false">HLOOKUP(C982,Regions!$B$1:$S$2,2,FALSE())</f>
        <v>EU</v>
      </c>
      <c r="J982" s="7" t="n">
        <f aca="false">E982*F982</f>
        <v>69.12</v>
      </c>
      <c r="K982" s="8" t="str">
        <f aca="false">IF(H982="","",1-F982/H982)</f>
        <v/>
      </c>
    </row>
    <row r="983" customFormat="false" ht="15" hidden="false" customHeight="false" outlineLevel="0" collapsed="false">
      <c r="A983" s="0" t="s">
        <v>682</v>
      </c>
      <c r="B983" s="6" t="n">
        <v>40884.6361111111</v>
      </c>
      <c r="C983" s="0" t="s">
        <v>683</v>
      </c>
      <c r="D983" s="0" t="s">
        <v>594</v>
      </c>
      <c r="E983" s="0" t="n">
        <v>72</v>
      </c>
      <c r="F983" s="0" t="n">
        <v>1.25</v>
      </c>
      <c r="G983" s="7" t="str">
        <f aca="false">_xlfn.XLOOKUP(D983,Catalog!$B$2:$B$4102,Catalog!$A$2:$A$4102,"NOT IN CATALOG")</f>
        <v>NOT IN CATALOG</v>
      </c>
      <c r="H983" s="7" t="str">
        <f aca="false">_xlfn.IFNA(VLOOKUP(D983,Catalog!$B$2:$C$4102,2,FALSE()),"")</f>
        <v/>
      </c>
      <c r="I983" s="7" t="str">
        <f aca="false">HLOOKUP(C983,Regions!$B$1:$S$2,2,FALSE())</f>
        <v>EU</v>
      </c>
      <c r="J983" s="7" t="n">
        <f aca="false">E983*F983</f>
        <v>90</v>
      </c>
      <c r="K983" s="8" t="str">
        <f aca="false">IF(H983="","",1-F983/H983)</f>
        <v/>
      </c>
    </row>
    <row r="984" customFormat="false" ht="15" hidden="false" customHeight="false" outlineLevel="0" collapsed="false">
      <c r="A984" s="0" t="s">
        <v>682</v>
      </c>
      <c r="B984" s="6" t="n">
        <v>40884.6361111111</v>
      </c>
      <c r="C984" s="0" t="s">
        <v>683</v>
      </c>
      <c r="D984" s="0" t="s">
        <v>686</v>
      </c>
      <c r="E984" s="0" t="n">
        <v>48</v>
      </c>
      <c r="F984" s="0" t="n">
        <v>1.65</v>
      </c>
      <c r="G984" s="7" t="str">
        <f aca="false">_xlfn.XLOOKUP(D984,Catalog!$B$2:$B$4102,Catalog!$A$2:$A$4102,"NOT IN CATALOG")</f>
        <v>NOT IN CATALOG</v>
      </c>
      <c r="H984" s="7" t="str">
        <f aca="false">_xlfn.IFNA(VLOOKUP(D984,Catalog!$B$2:$C$4102,2,FALSE()),"")</f>
        <v/>
      </c>
      <c r="I984" s="7" t="str">
        <f aca="false">HLOOKUP(C984,Regions!$B$1:$S$2,2,FALSE())</f>
        <v>EU</v>
      </c>
      <c r="J984" s="7" t="n">
        <f aca="false">E984*F984</f>
        <v>79.2</v>
      </c>
      <c r="K984" s="8" t="str">
        <f aca="false">IF(H984="","",1-F984/H984)</f>
        <v/>
      </c>
    </row>
    <row r="985" customFormat="false" ht="15" hidden="false" customHeight="false" outlineLevel="0" collapsed="false">
      <c r="A985" s="0" t="s">
        <v>682</v>
      </c>
      <c r="B985" s="6" t="n">
        <v>40884.6361111111</v>
      </c>
      <c r="C985" s="0" t="s">
        <v>683</v>
      </c>
      <c r="D985" s="0" t="s">
        <v>599</v>
      </c>
      <c r="E985" s="0" t="n">
        <v>48</v>
      </c>
      <c r="F985" s="0" t="n">
        <v>2.55</v>
      </c>
      <c r="G985" s="7" t="str">
        <f aca="false">_xlfn.XLOOKUP(D985,Catalog!$B$2:$B$4102,Catalog!$A$2:$A$4102,"NOT IN CATALOG")</f>
        <v>RED GINGHAM TEDDY BEAR</v>
      </c>
      <c r="H985" s="7" t="n">
        <f aca="false">_xlfn.IFNA(VLOOKUP(D985,Catalog!$B$2:$C$4102,2,FALSE()),"")</f>
        <v>2.95</v>
      </c>
      <c r="I985" s="7" t="str">
        <f aca="false">HLOOKUP(C985,Regions!$B$1:$S$2,2,FALSE())</f>
        <v>EU</v>
      </c>
      <c r="J985" s="7" t="n">
        <f aca="false">E985*F985</f>
        <v>122.4</v>
      </c>
      <c r="K985" s="8" t="n">
        <f aca="false">IF(H985="","",1-F985/H985)</f>
        <v>0.135593220338983</v>
      </c>
    </row>
    <row r="986" customFormat="false" ht="15" hidden="false" customHeight="false" outlineLevel="0" collapsed="false">
      <c r="A986" s="0" t="s">
        <v>682</v>
      </c>
      <c r="B986" s="6" t="n">
        <v>40884.6361111111</v>
      </c>
      <c r="C986" s="0" t="s">
        <v>683</v>
      </c>
      <c r="D986" s="0" t="s">
        <v>482</v>
      </c>
      <c r="E986" s="0" t="n">
        <v>96</v>
      </c>
      <c r="F986" s="0" t="n">
        <v>2.55</v>
      </c>
      <c r="G986" s="7" t="str">
        <f aca="false">_xlfn.XLOOKUP(D986,Catalog!$B$2:$B$4102,Catalog!$A$2:$A$4102,"NOT IN CATALOG")</f>
        <v>ROUND SNACK BOXES SET OF4 WOODLAND</v>
      </c>
      <c r="H986" s="7" t="n">
        <f aca="false">_xlfn.IFNA(VLOOKUP(D986,Catalog!$B$2:$C$4102,2,FALSE()),"")</f>
        <v>2.95</v>
      </c>
      <c r="I986" s="7" t="str">
        <f aca="false">HLOOKUP(C986,Regions!$B$1:$S$2,2,FALSE())</f>
        <v>EU</v>
      </c>
      <c r="J986" s="7" t="n">
        <f aca="false">E986*F986</f>
        <v>244.8</v>
      </c>
      <c r="K986" s="8" t="n">
        <f aca="false">IF(H986="","",1-F986/H986)</f>
        <v>0.135593220338983</v>
      </c>
    </row>
    <row r="987" customFormat="false" ht="15" hidden="false" customHeight="false" outlineLevel="0" collapsed="false">
      <c r="A987" s="0" t="s">
        <v>682</v>
      </c>
      <c r="B987" s="6" t="n">
        <v>40884.6361111111</v>
      </c>
      <c r="C987" s="0" t="s">
        <v>683</v>
      </c>
      <c r="D987" s="0" t="s">
        <v>687</v>
      </c>
      <c r="E987" s="0" t="n">
        <v>144</v>
      </c>
      <c r="F987" s="0" t="n">
        <v>1.45</v>
      </c>
      <c r="G987" s="7" t="str">
        <f aca="false">_xlfn.XLOOKUP(D987,Catalog!$B$2:$B$4102,Catalog!$A$2:$A$4102,"NOT IN CATALOG")</f>
        <v>NOT IN CATALOG</v>
      </c>
      <c r="H987" s="7" t="str">
        <f aca="false">_xlfn.IFNA(VLOOKUP(D987,Catalog!$B$2:$C$4102,2,FALSE()),"")</f>
        <v/>
      </c>
      <c r="I987" s="7" t="str">
        <f aca="false">HLOOKUP(C987,Regions!$B$1:$S$2,2,FALSE())</f>
        <v>EU</v>
      </c>
      <c r="J987" s="7" t="n">
        <f aca="false">E987*F987</f>
        <v>208.8</v>
      </c>
      <c r="K987" s="8" t="str">
        <f aca="false">IF(H987="","",1-F987/H987)</f>
        <v/>
      </c>
    </row>
    <row r="988" customFormat="false" ht="15" hidden="false" customHeight="false" outlineLevel="0" collapsed="false">
      <c r="A988" s="0" t="s">
        <v>682</v>
      </c>
      <c r="B988" s="6" t="n">
        <v>40884.6361111111</v>
      </c>
      <c r="C988" s="0" t="s">
        <v>683</v>
      </c>
      <c r="D988" s="0" t="s">
        <v>546</v>
      </c>
      <c r="E988" s="0" t="n">
        <v>48</v>
      </c>
      <c r="F988" s="0" t="n">
        <v>3.75</v>
      </c>
      <c r="G988" s="7" t="str">
        <f aca="false">_xlfn.XLOOKUP(D988,Catalog!$B$2:$B$4102,Catalog!$A$2:$A$4102,"NOT IN CATALOG")</f>
        <v>NOT IN CATALOG</v>
      </c>
      <c r="H988" s="7" t="str">
        <f aca="false">_xlfn.IFNA(VLOOKUP(D988,Catalog!$B$2:$C$4102,2,FALSE()),"")</f>
        <v/>
      </c>
      <c r="I988" s="7" t="str">
        <f aca="false">HLOOKUP(C988,Regions!$B$1:$S$2,2,FALSE())</f>
        <v>EU</v>
      </c>
      <c r="J988" s="7" t="n">
        <f aca="false">E988*F988</f>
        <v>180</v>
      </c>
      <c r="K988" s="8" t="str">
        <f aca="false">IF(H988="","",1-F988/H988)</f>
        <v/>
      </c>
    </row>
    <row r="989" customFormat="false" ht="15" hidden="false" customHeight="false" outlineLevel="0" collapsed="false">
      <c r="A989" s="0" t="s">
        <v>682</v>
      </c>
      <c r="B989" s="6" t="n">
        <v>40884.6361111111</v>
      </c>
      <c r="C989" s="0" t="s">
        <v>683</v>
      </c>
      <c r="D989" s="0" t="s">
        <v>688</v>
      </c>
      <c r="E989" s="0" t="n">
        <v>144</v>
      </c>
      <c r="F989" s="0" t="n">
        <v>0.36</v>
      </c>
      <c r="G989" s="7" t="str">
        <f aca="false">_xlfn.XLOOKUP(D989,Catalog!$B$2:$B$4102,Catalog!$A$2:$A$4102,"NOT IN CATALOG")</f>
        <v>CARD PARTY GAMES</v>
      </c>
      <c r="H989" s="7" t="n">
        <f aca="false">_xlfn.IFNA(VLOOKUP(D989,Catalog!$B$2:$C$4102,2,FALSE()),"")</f>
        <v>0.42</v>
      </c>
      <c r="I989" s="7" t="str">
        <f aca="false">HLOOKUP(C989,Regions!$B$1:$S$2,2,FALSE())</f>
        <v>EU</v>
      </c>
      <c r="J989" s="7" t="n">
        <f aca="false">E989*F989</f>
        <v>51.84</v>
      </c>
      <c r="K989" s="8" t="n">
        <f aca="false">IF(H989="","",1-F989/H989)</f>
        <v>0.142857142857143</v>
      </c>
    </row>
    <row r="990" customFormat="false" ht="15" hidden="false" customHeight="false" outlineLevel="0" collapsed="false">
      <c r="A990" s="0" t="s">
        <v>682</v>
      </c>
      <c r="B990" s="6" t="n">
        <v>40884.6361111111</v>
      </c>
      <c r="C990" s="0" t="s">
        <v>683</v>
      </c>
      <c r="D990" s="0" t="s">
        <v>499</v>
      </c>
      <c r="E990" s="0" t="n">
        <v>144</v>
      </c>
      <c r="F990" s="0" t="n">
        <v>0.36</v>
      </c>
      <c r="G990" s="7" t="str">
        <f aca="false">_xlfn.XLOOKUP(D990,Catalog!$B$2:$B$4102,Catalog!$A$2:$A$4102,"NOT IN CATALOG")</f>
        <v>ROBOT BIRTHDAY CARD</v>
      </c>
      <c r="H990" s="7" t="n">
        <f aca="false">_xlfn.IFNA(VLOOKUP(D990,Catalog!$B$2:$C$4102,2,FALSE()),"")</f>
        <v>0.42</v>
      </c>
      <c r="I990" s="7" t="str">
        <f aca="false">HLOOKUP(C990,Regions!$B$1:$S$2,2,FALSE())</f>
        <v>EU</v>
      </c>
      <c r="J990" s="7" t="n">
        <f aca="false">E990*F990</f>
        <v>51.84</v>
      </c>
      <c r="K990" s="8" t="n">
        <f aca="false">IF(H990="","",1-F990/H990)</f>
        <v>0.142857142857143</v>
      </c>
    </row>
    <row r="991" customFormat="false" ht="15" hidden="false" customHeight="false" outlineLevel="0" collapsed="false">
      <c r="A991" s="0" t="s">
        <v>682</v>
      </c>
      <c r="B991" s="6" t="n">
        <v>40884.6361111111</v>
      </c>
      <c r="C991" s="0" t="s">
        <v>683</v>
      </c>
      <c r="D991" s="0" t="s">
        <v>214</v>
      </c>
      <c r="E991" s="0" t="n">
        <v>108</v>
      </c>
      <c r="F991" s="0" t="n">
        <v>4.15</v>
      </c>
      <c r="G991" s="7" t="str">
        <f aca="false">_xlfn.XLOOKUP(D991,Catalog!$B$2:$B$4102,Catalog!$A$2:$A$4102,"NOT IN CATALOG")</f>
        <v>NOT IN CATALOG</v>
      </c>
      <c r="H991" s="7" t="str">
        <f aca="false">_xlfn.IFNA(VLOOKUP(D991,Catalog!$B$2:$C$4102,2,FALSE()),"")</f>
        <v/>
      </c>
      <c r="I991" s="7" t="str">
        <f aca="false">HLOOKUP(C991,Regions!$B$1:$S$2,2,FALSE())</f>
        <v>EU</v>
      </c>
      <c r="J991" s="7" t="n">
        <f aca="false">E991*F991</f>
        <v>448.2</v>
      </c>
      <c r="K991" s="8" t="str">
        <f aca="false">IF(H991="","",1-F991/H991)</f>
        <v/>
      </c>
    </row>
    <row r="992" customFormat="false" ht="15" hidden="false" customHeight="false" outlineLevel="0" collapsed="false">
      <c r="A992" s="0" t="s">
        <v>682</v>
      </c>
      <c r="B992" s="6" t="n">
        <v>40884.6361111111</v>
      </c>
      <c r="C992" s="0" t="s">
        <v>683</v>
      </c>
      <c r="D992" s="0" t="s">
        <v>689</v>
      </c>
      <c r="E992" s="0" t="n">
        <v>144</v>
      </c>
      <c r="F992" s="0" t="n">
        <v>1.79</v>
      </c>
      <c r="G992" s="7" t="str">
        <f aca="false">_xlfn.XLOOKUP(D992,Catalog!$B$2:$B$4102,Catalog!$A$2:$A$4102,"NOT IN CATALOG")</f>
        <v>NOT IN CATALOG</v>
      </c>
      <c r="H992" s="7" t="str">
        <f aca="false">_xlfn.IFNA(VLOOKUP(D992,Catalog!$B$2:$C$4102,2,FALSE()),"")</f>
        <v/>
      </c>
      <c r="I992" s="7" t="str">
        <f aca="false">HLOOKUP(C992,Regions!$B$1:$S$2,2,FALSE())</f>
        <v>EU</v>
      </c>
      <c r="J992" s="7" t="n">
        <f aca="false">E992*F992</f>
        <v>257.76</v>
      </c>
      <c r="K992" s="8" t="str">
        <f aca="false">IF(H992="","",1-F992/H992)</f>
        <v/>
      </c>
    </row>
    <row r="993" customFormat="false" ht="15" hidden="false" customHeight="false" outlineLevel="0" collapsed="false">
      <c r="A993" s="0" t="s">
        <v>682</v>
      </c>
      <c r="B993" s="6" t="n">
        <v>40884.6361111111</v>
      </c>
      <c r="C993" s="0" t="s">
        <v>683</v>
      </c>
      <c r="D993" s="0" t="s">
        <v>469</v>
      </c>
      <c r="E993" s="0" t="n">
        <v>100</v>
      </c>
      <c r="F993" s="0" t="n">
        <v>1.06</v>
      </c>
      <c r="G993" s="7" t="str">
        <f aca="false">_xlfn.XLOOKUP(D993,Catalog!$B$2:$B$4102,Catalog!$A$2:$A$4102,"NOT IN CATALOG")</f>
        <v>RED SPOTTY SHOPPER BAG</v>
      </c>
      <c r="H993" s="7" t="n">
        <f aca="false">_xlfn.IFNA(VLOOKUP(D993,Catalog!$B$2:$C$4102,2,FALSE()),"")</f>
        <v>1.25</v>
      </c>
      <c r="I993" s="7" t="str">
        <f aca="false">HLOOKUP(C993,Regions!$B$1:$S$2,2,FALSE())</f>
        <v>EU</v>
      </c>
      <c r="J993" s="7" t="n">
        <f aca="false">E993*F993</f>
        <v>106</v>
      </c>
      <c r="K993" s="8" t="n">
        <f aca="false">IF(H993="","",1-F993/H993)</f>
        <v>0.152</v>
      </c>
    </row>
    <row r="994" customFormat="false" ht="15" hidden="false" customHeight="false" outlineLevel="0" collapsed="false">
      <c r="A994" s="0" t="s">
        <v>682</v>
      </c>
      <c r="B994" s="6" t="n">
        <v>40884.6361111111</v>
      </c>
      <c r="C994" s="0" t="s">
        <v>683</v>
      </c>
      <c r="D994" s="0" t="s">
        <v>257</v>
      </c>
      <c r="E994" s="0" t="n">
        <v>60</v>
      </c>
      <c r="F994" s="0" t="n">
        <v>1.65</v>
      </c>
      <c r="G994" s="7" t="str">
        <f aca="false">_xlfn.XLOOKUP(D994,Catalog!$B$2:$B$4102,Catalog!$A$2:$A$4102,"NOT IN CATALOG")</f>
        <v>RETROSPOT CHILDRENS APRON</v>
      </c>
      <c r="H994" s="7" t="n">
        <f aca="false">_xlfn.IFNA(VLOOKUP(D994,Catalog!$B$2:$C$4102,2,FALSE()),"")</f>
        <v>1.95</v>
      </c>
      <c r="I994" s="7" t="str">
        <f aca="false">HLOOKUP(C994,Regions!$B$1:$S$2,2,FALSE())</f>
        <v>EU</v>
      </c>
      <c r="J994" s="7" t="n">
        <f aca="false">E994*F994</f>
        <v>99</v>
      </c>
      <c r="K994" s="8" t="n">
        <f aca="false">IF(H994="","",1-F994/H994)</f>
        <v>0.153846153846154</v>
      </c>
    </row>
    <row r="995" customFormat="false" ht="15" hidden="false" customHeight="false" outlineLevel="0" collapsed="false">
      <c r="A995" s="0" t="s">
        <v>682</v>
      </c>
      <c r="B995" s="6" t="n">
        <v>40884.6361111111</v>
      </c>
      <c r="C995" s="0" t="s">
        <v>683</v>
      </c>
      <c r="D995" s="0" t="s">
        <v>300</v>
      </c>
      <c r="E995" s="0" t="n">
        <v>24</v>
      </c>
      <c r="F995" s="0" t="n">
        <v>4.25</v>
      </c>
      <c r="G995" s="7" t="str">
        <f aca="false">_xlfn.XLOOKUP(D995,Catalog!$B$2:$B$4102,Catalog!$A$2:$A$4102,"NOT IN CATALOG")</f>
        <v>RED SPOT HEART HOT WATER BOTTLE</v>
      </c>
      <c r="H995" s="7" t="n">
        <f aca="false">_xlfn.IFNA(VLOOKUP(D995,Catalog!$B$2:$C$4102,2,FALSE()),"")</f>
        <v>4.95</v>
      </c>
      <c r="I995" s="7" t="str">
        <f aca="false">HLOOKUP(C995,Regions!$B$1:$S$2,2,FALSE())</f>
        <v>EU</v>
      </c>
      <c r="J995" s="7" t="n">
        <f aca="false">E995*F995</f>
        <v>102</v>
      </c>
      <c r="K995" s="8" t="n">
        <f aca="false">IF(H995="","",1-F995/H995)</f>
        <v>0.141414141414141</v>
      </c>
    </row>
    <row r="996" customFormat="false" ht="15" hidden="false" customHeight="false" outlineLevel="0" collapsed="false">
      <c r="A996" s="0" t="s">
        <v>682</v>
      </c>
      <c r="B996" s="6" t="n">
        <v>40884.6361111111</v>
      </c>
      <c r="C996" s="0" t="s">
        <v>683</v>
      </c>
      <c r="D996" s="0" t="s">
        <v>293</v>
      </c>
      <c r="E996" s="0" t="n">
        <v>72</v>
      </c>
      <c r="F996" s="0" t="n">
        <v>1.06</v>
      </c>
      <c r="G996" s="7" t="str">
        <f aca="false">_xlfn.XLOOKUP(D996,Catalog!$B$2:$B$4102,Catalog!$A$2:$A$4102,"NOT IN CATALOG")</f>
        <v>VINTAGE HEADS AND TAILS CARD GAME</v>
      </c>
      <c r="H996" s="7" t="n">
        <f aca="false">_xlfn.IFNA(VLOOKUP(D996,Catalog!$B$2:$C$4102,2,FALSE()),"")</f>
        <v>1.25</v>
      </c>
      <c r="I996" s="7" t="str">
        <f aca="false">HLOOKUP(C996,Regions!$B$1:$S$2,2,FALSE())</f>
        <v>EU</v>
      </c>
      <c r="J996" s="7" t="n">
        <f aca="false">E996*F996</f>
        <v>76.32</v>
      </c>
      <c r="K996" s="8" t="n">
        <f aca="false">IF(H996="","",1-F996/H996)</f>
        <v>0.152</v>
      </c>
    </row>
    <row r="997" customFormat="false" ht="15" hidden="false" customHeight="false" outlineLevel="0" collapsed="false">
      <c r="A997" s="0" t="s">
        <v>682</v>
      </c>
      <c r="B997" s="6" t="n">
        <v>40884.6361111111</v>
      </c>
      <c r="C997" s="0" t="s">
        <v>683</v>
      </c>
      <c r="D997" s="0" t="s">
        <v>308</v>
      </c>
      <c r="E997" s="0" t="n">
        <v>144</v>
      </c>
      <c r="F997" s="0" t="n">
        <v>0.36</v>
      </c>
      <c r="G997" s="7" t="str">
        <f aca="false">_xlfn.XLOOKUP(D997,Catalog!$B$2:$B$4102,Catalog!$A$2:$A$4102,"NOT IN CATALOG")</f>
        <v>SPACEBOY BIRTHDAY CARD</v>
      </c>
      <c r="H997" s="7" t="n">
        <f aca="false">_xlfn.IFNA(VLOOKUP(D997,Catalog!$B$2:$C$4102,2,FALSE()),"")</f>
        <v>0.42</v>
      </c>
      <c r="I997" s="7" t="str">
        <f aca="false">HLOOKUP(C997,Regions!$B$1:$S$2,2,FALSE())</f>
        <v>EU</v>
      </c>
      <c r="J997" s="7" t="n">
        <f aca="false">E997*F997</f>
        <v>51.84</v>
      </c>
      <c r="K997" s="8" t="n">
        <f aca="false">IF(H997="","",1-F997/H997)</f>
        <v>0.142857142857143</v>
      </c>
    </row>
    <row r="998" customFormat="false" ht="15" hidden="false" customHeight="false" outlineLevel="0" collapsed="false">
      <c r="A998" s="0" t="s">
        <v>682</v>
      </c>
      <c r="B998" s="6" t="n">
        <v>40884.6361111111</v>
      </c>
      <c r="C998" s="0" t="s">
        <v>683</v>
      </c>
      <c r="D998" s="0" t="s">
        <v>690</v>
      </c>
      <c r="E998" s="0" t="n">
        <v>48</v>
      </c>
      <c r="F998" s="0" t="n">
        <v>2.55</v>
      </c>
      <c r="G998" s="7" t="str">
        <f aca="false">_xlfn.XLOOKUP(D998,Catalog!$B$2:$B$4102,Catalog!$A$2:$A$4102,"NOT IN CATALOG")</f>
        <v>PINK OWL SOFT TOY</v>
      </c>
      <c r="H998" s="7" t="n">
        <f aca="false">_xlfn.IFNA(VLOOKUP(D998,Catalog!$B$2:$C$4102,2,FALSE()),"")</f>
        <v>2.95</v>
      </c>
      <c r="I998" s="7" t="str">
        <f aca="false">HLOOKUP(C998,Regions!$B$1:$S$2,2,FALSE())</f>
        <v>EU</v>
      </c>
      <c r="J998" s="7" t="n">
        <f aca="false">E998*F998</f>
        <v>122.4</v>
      </c>
      <c r="K998" s="8" t="n">
        <f aca="false">IF(H998="","",1-F998/H998)</f>
        <v>0.135593220338983</v>
      </c>
    </row>
    <row r="999" customFormat="false" ht="15" hidden="false" customHeight="false" outlineLevel="0" collapsed="false">
      <c r="A999" s="0" t="s">
        <v>682</v>
      </c>
      <c r="B999" s="6" t="n">
        <v>40884.6361111111</v>
      </c>
      <c r="C999" s="0" t="s">
        <v>683</v>
      </c>
      <c r="D999" s="0" t="s">
        <v>691</v>
      </c>
      <c r="E999" s="0" t="n">
        <v>120</v>
      </c>
      <c r="F999" s="0" t="n">
        <v>0.79</v>
      </c>
      <c r="G999" s="7" t="str">
        <f aca="false">_xlfn.XLOOKUP(D999,Catalog!$B$2:$B$4102,Catalog!$A$2:$A$4102,"NOT IN CATALOG")</f>
        <v>PINK HEART SHAPE LOVE BUCKET</v>
      </c>
      <c r="H999" s="7" t="n">
        <f aca="false">_xlfn.IFNA(VLOOKUP(D999,Catalog!$B$2:$C$4102,2,FALSE()),"")</f>
        <v>2.95</v>
      </c>
      <c r="I999" s="7" t="str">
        <f aca="false">HLOOKUP(C999,Regions!$B$1:$S$2,2,FALSE())</f>
        <v>EU</v>
      </c>
      <c r="J999" s="7" t="n">
        <f aca="false">E999*F999</f>
        <v>94.8</v>
      </c>
      <c r="K999" s="8" t="n">
        <f aca="false">IF(H999="","",1-F999/H999)</f>
        <v>0.732203389830509</v>
      </c>
    </row>
    <row r="1000" customFormat="false" ht="15" hidden="false" customHeight="false" outlineLevel="0" collapsed="false">
      <c r="A1000" s="0" t="s">
        <v>682</v>
      </c>
      <c r="B1000" s="6" t="n">
        <v>40884.6361111111</v>
      </c>
      <c r="C1000" s="0" t="s">
        <v>683</v>
      </c>
      <c r="D1000" s="0" t="s">
        <v>692</v>
      </c>
      <c r="E1000" s="0" t="n">
        <v>120</v>
      </c>
      <c r="F1000" s="0" t="n">
        <v>0.79</v>
      </c>
      <c r="G1000" s="7" t="str">
        <f aca="false">_xlfn.XLOOKUP(D1000,Catalog!$B$2:$B$4102,Catalog!$A$2:$A$4102,"NOT IN CATALOG")</f>
        <v>RED HEART SHAPE LOVE BUCKET</v>
      </c>
      <c r="H1000" s="7" t="n">
        <f aca="false">_xlfn.IFNA(VLOOKUP(D1000,Catalog!$B$2:$C$4102,2,FALSE()),"")</f>
        <v>2.95</v>
      </c>
      <c r="I1000" s="7" t="str">
        <f aca="false">HLOOKUP(C1000,Regions!$B$1:$S$2,2,FALSE())</f>
        <v>EU</v>
      </c>
      <c r="J1000" s="7" t="n">
        <f aca="false">E1000*F1000</f>
        <v>94.8</v>
      </c>
      <c r="K1000" s="8" t="n">
        <f aca="false">IF(H1000="","",1-F1000/H1000)</f>
        <v>0.732203389830509</v>
      </c>
    </row>
    <row r="1001" customFormat="false" ht="15" hidden="false" customHeight="false" outlineLevel="0" collapsed="false">
      <c r="A1001" s="0" t="s">
        <v>682</v>
      </c>
      <c r="B1001" s="6" t="n">
        <v>40884.6361111111</v>
      </c>
      <c r="C1001" s="0" t="s">
        <v>683</v>
      </c>
      <c r="D1001" s="0" t="s">
        <v>355</v>
      </c>
      <c r="E1001" s="0" t="n">
        <v>32</v>
      </c>
      <c r="F1001" s="0" t="n">
        <v>1.95</v>
      </c>
      <c r="G1001" s="7" t="str">
        <f aca="false">_xlfn.XLOOKUP(D1001,Catalog!$B$2:$B$4102,Catalog!$A$2:$A$4102,"NOT IN CATALOG")</f>
        <v>TV DINNER TRAY AIR HOSTESS</v>
      </c>
      <c r="H1001" s="7" t="n">
        <f aca="false">_xlfn.IFNA(VLOOKUP(D1001,Catalog!$B$2:$C$4102,2,FALSE()),"")</f>
        <v>4.95</v>
      </c>
      <c r="I1001" s="7" t="str">
        <f aca="false">HLOOKUP(C1001,Regions!$B$1:$S$2,2,FALSE())</f>
        <v>EU</v>
      </c>
      <c r="J1001" s="7" t="n">
        <f aca="false">E1001*F1001</f>
        <v>62.4</v>
      </c>
      <c r="K1001" s="8" t="n">
        <f aca="false">IF(H1001="","",1-F1001/H1001)</f>
        <v>0.606060606060606</v>
      </c>
    </row>
    <row r="1002" customFormat="false" ht="15" hidden="false" customHeight="false" outlineLevel="0" collapsed="false">
      <c r="A1002" s="0" t="s">
        <v>682</v>
      </c>
      <c r="B1002" s="6" t="n">
        <v>40884.6361111111</v>
      </c>
      <c r="C1002" s="0" t="s">
        <v>683</v>
      </c>
      <c r="D1002" s="0" t="s">
        <v>608</v>
      </c>
      <c r="E1002" s="0" t="n">
        <v>32</v>
      </c>
      <c r="F1002" s="0" t="n">
        <v>1.95</v>
      </c>
      <c r="G1002" s="7" t="str">
        <f aca="false">_xlfn.XLOOKUP(D1002,Catalog!$B$2:$B$4102,Catalog!$A$2:$A$4102,"NOT IN CATALOG")</f>
        <v>TV DINNER TRAY DOLLY GIRL</v>
      </c>
      <c r="H1002" s="7" t="n">
        <f aca="false">_xlfn.IFNA(VLOOKUP(D1002,Catalog!$B$2:$C$4102,2,FALSE()),"")</f>
        <v>4.95</v>
      </c>
      <c r="I1002" s="7" t="str">
        <f aca="false">HLOOKUP(C1002,Regions!$B$1:$S$2,2,FALSE())</f>
        <v>EU</v>
      </c>
      <c r="J1002" s="7" t="n">
        <f aca="false">E1002*F1002</f>
        <v>62.4</v>
      </c>
      <c r="K1002" s="8" t="n">
        <f aca="false">IF(H1002="","",1-F1002/H1002)</f>
        <v>0.606060606060606</v>
      </c>
    </row>
    <row r="1003" customFormat="false" ht="15" hidden="false" customHeight="false" outlineLevel="0" collapsed="false">
      <c r="A1003" s="0" t="s">
        <v>682</v>
      </c>
      <c r="B1003" s="6" t="n">
        <v>40884.6361111111</v>
      </c>
      <c r="C1003" s="0" t="s">
        <v>683</v>
      </c>
      <c r="D1003" s="0" t="s">
        <v>607</v>
      </c>
      <c r="E1003" s="0" t="n">
        <v>32</v>
      </c>
      <c r="F1003" s="0" t="n">
        <v>1.95</v>
      </c>
      <c r="G1003" s="7" t="str">
        <f aca="false">_xlfn.XLOOKUP(D1003,Catalog!$B$2:$B$4102,Catalog!$A$2:$A$4102,"NOT IN CATALOG")</f>
        <v>SPACEBOY TV DINNER TRAY</v>
      </c>
      <c r="H1003" s="7" t="n">
        <f aca="false">_xlfn.IFNA(VLOOKUP(D1003,Catalog!$B$2:$C$4102,2,FALSE()),"")</f>
        <v>4.95</v>
      </c>
      <c r="I1003" s="7" t="str">
        <f aca="false">HLOOKUP(C1003,Regions!$B$1:$S$2,2,FALSE())</f>
        <v>EU</v>
      </c>
      <c r="J1003" s="7" t="n">
        <f aca="false">E1003*F1003</f>
        <v>62.4</v>
      </c>
      <c r="K1003" s="8" t="n">
        <f aca="false">IF(H1003="","",1-F1003/H1003)</f>
        <v>0.606060606060606</v>
      </c>
    </row>
    <row r="1004" customFormat="false" ht="15" hidden="false" customHeight="false" outlineLevel="0" collapsed="false">
      <c r="A1004" s="0" t="s">
        <v>682</v>
      </c>
      <c r="B1004" s="6" t="n">
        <v>40884.6361111111</v>
      </c>
      <c r="C1004" s="0" t="s">
        <v>683</v>
      </c>
      <c r="D1004" s="0" t="s">
        <v>693</v>
      </c>
      <c r="E1004" s="0" t="n">
        <v>144</v>
      </c>
      <c r="F1004" s="0" t="n">
        <v>0.19</v>
      </c>
      <c r="G1004" s="7" t="str">
        <f aca="false">_xlfn.XLOOKUP(D1004,Catalog!$B$2:$B$4102,Catalog!$A$2:$A$4102,"NOT IN CATALOG")</f>
        <v>MINI JIGSAW DOLLY GIRL</v>
      </c>
      <c r="H1004" s="7" t="n">
        <f aca="false">_xlfn.IFNA(VLOOKUP(D1004,Catalog!$B$2:$C$4102,2,FALSE()),"")</f>
        <v>0.42</v>
      </c>
      <c r="I1004" s="7" t="str">
        <f aca="false">HLOOKUP(C1004,Regions!$B$1:$S$2,2,FALSE())</f>
        <v>EU</v>
      </c>
      <c r="J1004" s="7" t="n">
        <f aca="false">E1004*F1004</f>
        <v>27.36</v>
      </c>
      <c r="K1004" s="8" t="n">
        <f aca="false">IF(H1004="","",1-F1004/H1004)</f>
        <v>0.547619047619048</v>
      </c>
    </row>
    <row r="1005" customFormat="false" ht="15" hidden="false" customHeight="false" outlineLevel="0" collapsed="false">
      <c r="A1005" s="0" t="s">
        <v>682</v>
      </c>
      <c r="B1005" s="6" t="n">
        <v>40884.6361111111</v>
      </c>
      <c r="C1005" s="0" t="s">
        <v>683</v>
      </c>
      <c r="D1005" s="0" t="s">
        <v>337</v>
      </c>
      <c r="E1005" s="0" t="n">
        <v>16</v>
      </c>
      <c r="F1005" s="0" t="n">
        <v>3.95</v>
      </c>
      <c r="G1005" s="7" t="str">
        <f aca="false">_xlfn.XLOOKUP(D1005,Catalog!$B$2:$B$4102,Catalog!$A$2:$A$4102,"NOT IN CATALOG")</f>
        <v>SEWING BOX RETROSPOT DESIGN</v>
      </c>
      <c r="H1005" s="7" t="n">
        <f aca="false">_xlfn.IFNA(VLOOKUP(D1005,Catalog!$B$2:$C$4102,2,FALSE()),"")</f>
        <v>16.95</v>
      </c>
      <c r="I1005" s="7" t="str">
        <f aca="false">HLOOKUP(C1005,Regions!$B$1:$S$2,2,FALSE())</f>
        <v>EU</v>
      </c>
      <c r="J1005" s="7" t="n">
        <f aca="false">E1005*F1005</f>
        <v>63.2</v>
      </c>
      <c r="K1005" s="8" t="n">
        <f aca="false">IF(H1005="","",1-F1005/H1005)</f>
        <v>0.766961651917404</v>
      </c>
    </row>
    <row r="1006" customFormat="false" ht="15" hidden="false" customHeight="false" outlineLevel="0" collapsed="false">
      <c r="A1006" s="0" t="s">
        <v>682</v>
      </c>
      <c r="B1006" s="6" t="n">
        <v>40884.6361111111</v>
      </c>
      <c r="C1006" s="0" t="s">
        <v>683</v>
      </c>
      <c r="D1006" s="0" t="s">
        <v>573</v>
      </c>
      <c r="E1006" s="0" t="n">
        <v>144</v>
      </c>
      <c r="F1006" s="0" t="n">
        <v>0.19</v>
      </c>
      <c r="G1006" s="7" t="str">
        <f aca="false">_xlfn.XLOOKUP(D1006,Catalog!$B$2:$B$4102,Catalog!$A$2:$A$4102,"NOT IN CATALOG")</f>
        <v>MINI JIGSAW CIRCUS PARADE</v>
      </c>
      <c r="H1006" s="7" t="n">
        <f aca="false">_xlfn.IFNA(VLOOKUP(D1006,Catalog!$B$2:$C$4102,2,FALSE()),"")</f>
        <v>0.42</v>
      </c>
      <c r="I1006" s="7" t="str">
        <f aca="false">HLOOKUP(C1006,Regions!$B$1:$S$2,2,FALSE())</f>
        <v>EU</v>
      </c>
      <c r="J1006" s="7" t="n">
        <f aca="false">E1006*F1006</f>
        <v>27.36</v>
      </c>
      <c r="K1006" s="8" t="n">
        <f aca="false">IF(H1006="","",1-F1006/H1006)</f>
        <v>0.547619047619048</v>
      </c>
    </row>
    <row r="1007" customFormat="false" ht="15" hidden="false" customHeight="false" outlineLevel="0" collapsed="false">
      <c r="A1007" s="0" t="s">
        <v>682</v>
      </c>
      <c r="B1007" s="6" t="n">
        <v>40884.6361111111</v>
      </c>
      <c r="C1007" s="0" t="s">
        <v>683</v>
      </c>
      <c r="D1007" s="0" t="s">
        <v>574</v>
      </c>
      <c r="E1007" s="0" t="n">
        <v>144</v>
      </c>
      <c r="F1007" s="0" t="n">
        <v>0.19</v>
      </c>
      <c r="G1007" s="7" t="str">
        <f aca="false">_xlfn.XLOOKUP(D1007,Catalog!$B$2:$B$4102,Catalog!$A$2:$A$4102,"NOT IN CATALOG")</f>
        <v>MINI JIGSAW SPACEBOY</v>
      </c>
      <c r="H1007" s="7" t="n">
        <f aca="false">_xlfn.IFNA(VLOOKUP(D1007,Catalog!$B$2:$C$4102,2,FALSE()),"")</f>
        <v>0.42</v>
      </c>
      <c r="I1007" s="7" t="str">
        <f aca="false">HLOOKUP(C1007,Regions!$B$1:$S$2,2,FALSE())</f>
        <v>EU</v>
      </c>
      <c r="J1007" s="7" t="n">
        <f aca="false">E1007*F1007</f>
        <v>27.36</v>
      </c>
      <c r="K1007" s="8" t="n">
        <f aca="false">IF(H1007="","",1-F1007/H1007)</f>
        <v>0.547619047619048</v>
      </c>
    </row>
    <row r="1008" customFormat="false" ht="15" hidden="false" customHeight="false" outlineLevel="0" collapsed="false">
      <c r="A1008" s="0" t="s">
        <v>682</v>
      </c>
      <c r="B1008" s="6" t="n">
        <v>40884.6361111111</v>
      </c>
      <c r="C1008" s="0" t="s">
        <v>683</v>
      </c>
      <c r="D1008" s="0" t="s">
        <v>555</v>
      </c>
      <c r="E1008" s="0" t="n">
        <v>144</v>
      </c>
      <c r="F1008" s="0" t="n">
        <v>0.21</v>
      </c>
      <c r="G1008" s="7" t="str">
        <f aca="false">_xlfn.XLOOKUP(D1008,Catalog!$B$2:$B$4102,Catalog!$A$2:$A$4102,"NOT IN CATALOG")</f>
        <v>SMALL PURPLE BABUSHKA NOTEBOOK</v>
      </c>
      <c r="H1008" s="7" t="n">
        <f aca="false">_xlfn.IFNA(VLOOKUP(D1008,Catalog!$B$2:$C$4102,2,FALSE()),"")</f>
        <v>0.85</v>
      </c>
      <c r="I1008" s="7" t="str">
        <f aca="false">HLOOKUP(C1008,Regions!$B$1:$S$2,2,FALSE())</f>
        <v>EU</v>
      </c>
      <c r="J1008" s="7" t="n">
        <f aca="false">E1008*F1008</f>
        <v>30.24</v>
      </c>
      <c r="K1008" s="8" t="n">
        <f aca="false">IF(H1008="","",1-F1008/H1008)</f>
        <v>0.752941176470588</v>
      </c>
    </row>
    <row r="1009" customFormat="false" ht="15" hidden="false" customHeight="false" outlineLevel="0" collapsed="false">
      <c r="A1009" s="0" t="s">
        <v>682</v>
      </c>
      <c r="B1009" s="6" t="n">
        <v>40884.6361111111</v>
      </c>
      <c r="C1009" s="0" t="s">
        <v>683</v>
      </c>
      <c r="D1009" s="0" t="s">
        <v>554</v>
      </c>
      <c r="E1009" s="0" t="n">
        <v>144</v>
      </c>
      <c r="F1009" s="0" t="n">
        <v>0.39</v>
      </c>
      <c r="G1009" s="7" t="str">
        <f aca="false">_xlfn.XLOOKUP(D1009,Catalog!$B$2:$B$4102,Catalog!$A$2:$A$4102,"NOT IN CATALOG")</f>
        <v>LARGE PURPLE BABUSHKA NOTEBOOK</v>
      </c>
      <c r="H1009" s="7" t="n">
        <f aca="false">_xlfn.IFNA(VLOOKUP(D1009,Catalog!$B$2:$C$4102,2,FALSE()),"")</f>
        <v>1.25</v>
      </c>
      <c r="I1009" s="7" t="str">
        <f aca="false">HLOOKUP(C1009,Regions!$B$1:$S$2,2,FALSE())</f>
        <v>EU</v>
      </c>
      <c r="J1009" s="7" t="n">
        <f aca="false">E1009*F1009</f>
        <v>56.16</v>
      </c>
      <c r="K1009" s="8" t="n">
        <f aca="false">IF(H1009="","",1-F1009/H1009)</f>
        <v>0.688</v>
      </c>
    </row>
    <row r="1010" customFormat="false" ht="15" hidden="false" customHeight="false" outlineLevel="0" collapsed="false">
      <c r="A1010" s="0" t="s">
        <v>682</v>
      </c>
      <c r="B1010" s="6" t="n">
        <v>40884.6361111111</v>
      </c>
      <c r="C1010" s="0" t="s">
        <v>683</v>
      </c>
      <c r="D1010" s="0" t="s">
        <v>339</v>
      </c>
      <c r="E1010" s="0" t="n">
        <v>144</v>
      </c>
      <c r="F1010" s="0" t="n">
        <v>0.21</v>
      </c>
      <c r="G1010" s="7" t="str">
        <f aca="false">_xlfn.XLOOKUP(D1010,Catalog!$B$2:$B$4102,Catalog!$A$2:$A$4102,"NOT IN CATALOG")</f>
        <v>SMALL RED BABUSHKA NOTEBOOK</v>
      </c>
      <c r="H1010" s="7" t="n">
        <f aca="false">_xlfn.IFNA(VLOOKUP(D1010,Catalog!$B$2:$C$4102,2,FALSE()),"")</f>
        <v>0.85</v>
      </c>
      <c r="I1010" s="7" t="str">
        <f aca="false">HLOOKUP(C1010,Regions!$B$1:$S$2,2,FALSE())</f>
        <v>EU</v>
      </c>
      <c r="J1010" s="7" t="n">
        <f aca="false">E1010*F1010</f>
        <v>30.24</v>
      </c>
      <c r="K1010" s="8" t="n">
        <f aca="false">IF(H1010="","",1-F1010/H1010)</f>
        <v>0.752941176470588</v>
      </c>
    </row>
    <row r="1011" customFormat="false" ht="15" hidden="false" customHeight="false" outlineLevel="0" collapsed="false">
      <c r="A1011" s="0" t="s">
        <v>682</v>
      </c>
      <c r="B1011" s="6" t="n">
        <v>40884.6361111111</v>
      </c>
      <c r="C1011" s="0" t="s">
        <v>683</v>
      </c>
      <c r="D1011" s="0" t="s">
        <v>553</v>
      </c>
      <c r="E1011" s="0" t="n">
        <v>144</v>
      </c>
      <c r="F1011" s="0" t="n">
        <v>0.39</v>
      </c>
      <c r="G1011" s="7" t="str">
        <f aca="false">_xlfn.XLOOKUP(D1011,Catalog!$B$2:$B$4102,Catalog!$A$2:$A$4102,"NOT IN CATALOG")</f>
        <v>LARGE RED BABUSHKA NOTEBOOK</v>
      </c>
      <c r="H1011" s="7" t="n">
        <f aca="false">_xlfn.IFNA(VLOOKUP(D1011,Catalog!$B$2:$C$4102,2,FALSE()),"")</f>
        <v>1.25</v>
      </c>
      <c r="I1011" s="7" t="str">
        <f aca="false">HLOOKUP(C1011,Regions!$B$1:$S$2,2,FALSE())</f>
        <v>EU</v>
      </c>
      <c r="J1011" s="7" t="n">
        <f aca="false">E1011*F1011</f>
        <v>56.16</v>
      </c>
      <c r="K1011" s="8" t="n">
        <f aca="false">IF(H1011="","",1-F1011/H1011)</f>
        <v>0.688</v>
      </c>
    </row>
    <row r="1012" customFormat="false" ht="15" hidden="false" customHeight="false" outlineLevel="0" collapsed="false">
      <c r="A1012" s="0" t="s">
        <v>682</v>
      </c>
      <c r="B1012" s="6" t="n">
        <v>40884.6361111111</v>
      </c>
      <c r="C1012" s="0" t="s">
        <v>683</v>
      </c>
      <c r="D1012" s="0" t="s">
        <v>694</v>
      </c>
      <c r="E1012" s="0" t="n">
        <v>40</v>
      </c>
      <c r="F1012" s="0" t="n">
        <v>1.25</v>
      </c>
      <c r="G1012" s="7" t="str">
        <f aca="false">_xlfn.XLOOKUP(D1012,Catalog!$B$2:$B$4102,Catalog!$A$2:$A$4102,"NOT IN CATALOG")</f>
        <v>CALENDAR IN SEASON DESIGN</v>
      </c>
      <c r="H1012" s="7" t="n">
        <f aca="false">_xlfn.IFNA(VLOOKUP(D1012,Catalog!$B$2:$C$4102,2,FALSE()),"")</f>
        <v>2.95</v>
      </c>
      <c r="I1012" s="7" t="str">
        <f aca="false">HLOOKUP(C1012,Regions!$B$1:$S$2,2,FALSE())</f>
        <v>EU</v>
      </c>
      <c r="J1012" s="7" t="n">
        <f aca="false">E1012*F1012</f>
        <v>50</v>
      </c>
      <c r="K1012" s="8" t="n">
        <f aca="false">IF(H1012="","",1-F1012/H1012)</f>
        <v>0.576271186440678</v>
      </c>
    </row>
    <row r="1013" customFormat="false" ht="15" hidden="false" customHeight="false" outlineLevel="0" collapsed="false">
      <c r="A1013" s="0" t="s">
        <v>682</v>
      </c>
      <c r="B1013" s="6" t="n">
        <v>40884.6361111111</v>
      </c>
      <c r="C1013" s="0" t="s">
        <v>683</v>
      </c>
      <c r="D1013" s="0" t="s">
        <v>695</v>
      </c>
      <c r="E1013" s="0" t="n">
        <v>24</v>
      </c>
      <c r="F1013" s="0" t="n">
        <v>1.25</v>
      </c>
      <c r="G1013" s="7" t="str">
        <f aca="false">_xlfn.XLOOKUP(D1013,Catalog!$B$2:$B$4102,Catalog!$A$2:$A$4102,"NOT IN CATALOG")</f>
        <v>BLUE CLIMBING HYDRANGA ART FLOWER</v>
      </c>
      <c r="H1013" s="7" t="n">
        <f aca="false">_xlfn.IFNA(VLOOKUP(D1013,Catalog!$B$2:$C$4102,2,FALSE()),"")</f>
        <v>3.75</v>
      </c>
      <c r="I1013" s="7" t="str">
        <f aca="false">HLOOKUP(C1013,Regions!$B$1:$S$2,2,FALSE())</f>
        <v>EU</v>
      </c>
      <c r="J1013" s="7" t="n">
        <f aca="false">E1013*F1013</f>
        <v>30</v>
      </c>
      <c r="K1013" s="8" t="n">
        <f aca="false">IF(H1013="","",1-F1013/H1013)</f>
        <v>0.666666666666667</v>
      </c>
    </row>
    <row r="1014" customFormat="false" ht="15" hidden="false" customHeight="false" outlineLevel="0" collapsed="false">
      <c r="A1014" s="0" t="s">
        <v>682</v>
      </c>
      <c r="B1014" s="6" t="n">
        <v>40884.6361111111</v>
      </c>
      <c r="C1014" s="0" t="s">
        <v>683</v>
      </c>
      <c r="D1014" s="0" t="s">
        <v>696</v>
      </c>
      <c r="E1014" s="0" t="n">
        <v>36</v>
      </c>
      <c r="F1014" s="0" t="n">
        <v>0.79</v>
      </c>
      <c r="G1014" s="7" t="str">
        <f aca="false">_xlfn.XLOOKUP(D1014,Catalog!$B$2:$B$4102,Catalog!$A$2:$A$4102,"NOT IN CATALOG")</f>
        <v>BLUE DELPHINIUM ARTIFICIAL FLOWER</v>
      </c>
      <c r="H1014" s="7" t="n">
        <f aca="false">_xlfn.IFNA(VLOOKUP(D1014,Catalog!$B$2:$C$4102,2,FALSE()),"")</f>
        <v>2.95</v>
      </c>
      <c r="I1014" s="7" t="str">
        <f aca="false">HLOOKUP(C1014,Regions!$B$1:$S$2,2,FALSE())</f>
        <v>EU</v>
      </c>
      <c r="J1014" s="7" t="n">
        <f aca="false">E1014*F1014</f>
        <v>28.44</v>
      </c>
      <c r="K1014" s="8" t="n">
        <f aca="false">IF(H1014="","",1-F1014/H1014)</f>
        <v>0.732203389830509</v>
      </c>
    </row>
    <row r="1015" customFormat="false" ht="15" hidden="false" customHeight="false" outlineLevel="0" collapsed="false">
      <c r="A1015" s="0" t="s">
        <v>682</v>
      </c>
      <c r="B1015" s="6" t="n">
        <v>40884.6361111111</v>
      </c>
      <c r="C1015" s="0" t="s">
        <v>683</v>
      </c>
      <c r="D1015" s="0" t="s">
        <v>697</v>
      </c>
      <c r="E1015" s="0" t="n">
        <v>24</v>
      </c>
      <c r="F1015" s="0" t="n">
        <v>0.39</v>
      </c>
      <c r="G1015" s="7" t="str">
        <f aca="false">_xlfn.XLOOKUP(D1015,Catalog!$B$2:$B$4102,Catalog!$A$2:$A$4102,"NOT IN CATALOG")</f>
        <v>PINK CANDYSTUFT ARTIFICIAL FLOWER</v>
      </c>
      <c r="H1015" s="7" t="n">
        <f aca="false">_xlfn.IFNA(VLOOKUP(D1015,Catalog!$B$2:$C$4102,2,FALSE()),"")</f>
        <v>1.45</v>
      </c>
      <c r="I1015" s="7" t="str">
        <f aca="false">HLOOKUP(C1015,Regions!$B$1:$S$2,2,FALSE())</f>
        <v>EU</v>
      </c>
      <c r="J1015" s="7" t="n">
        <f aca="false">E1015*F1015</f>
        <v>9.36</v>
      </c>
      <c r="K1015" s="8" t="n">
        <f aca="false">IF(H1015="","",1-F1015/H1015)</f>
        <v>0.731034482758621</v>
      </c>
    </row>
    <row r="1016" customFormat="false" ht="15" hidden="false" customHeight="false" outlineLevel="0" collapsed="false">
      <c r="A1016" s="0" t="s">
        <v>682</v>
      </c>
      <c r="B1016" s="6" t="n">
        <v>40884.6361111111</v>
      </c>
      <c r="C1016" s="0" t="s">
        <v>683</v>
      </c>
      <c r="D1016" s="0" t="s">
        <v>333</v>
      </c>
      <c r="E1016" s="0" t="n">
        <v>96</v>
      </c>
      <c r="F1016" s="0" t="n">
        <v>0.39</v>
      </c>
      <c r="G1016" s="7" t="str">
        <f aca="false">_xlfn.XLOOKUP(D1016,Catalog!$B$2:$B$4102,Catalog!$A$2:$A$4102,"NOT IN CATALOG")</f>
        <v>PAPERWEIGHT VINTAGE COLLAGE</v>
      </c>
      <c r="H1016" s="7" t="n">
        <f aca="false">_xlfn.IFNA(VLOOKUP(D1016,Catalog!$B$2:$C$4102,2,FALSE()),"")</f>
        <v>2.55</v>
      </c>
      <c r="I1016" s="7" t="str">
        <f aca="false">HLOOKUP(C1016,Regions!$B$1:$S$2,2,FALSE())</f>
        <v>EU</v>
      </c>
      <c r="J1016" s="7" t="n">
        <f aca="false">E1016*F1016</f>
        <v>37.44</v>
      </c>
      <c r="K1016" s="8" t="n">
        <f aca="false">IF(H1016="","",1-F1016/H1016)</f>
        <v>0.847058823529412</v>
      </c>
    </row>
    <row r="1017" customFormat="false" ht="15" hidden="false" customHeight="false" outlineLevel="0" collapsed="false">
      <c r="A1017" s="0" t="s">
        <v>682</v>
      </c>
      <c r="B1017" s="6" t="n">
        <v>40884.6361111111</v>
      </c>
      <c r="C1017" s="0" t="s">
        <v>683</v>
      </c>
      <c r="D1017" s="0" t="s">
        <v>54</v>
      </c>
      <c r="E1017" s="0" t="n">
        <v>32</v>
      </c>
      <c r="F1017" s="0" t="n">
        <v>10.95</v>
      </c>
      <c r="G1017" s="7" t="str">
        <f aca="false">_xlfn.XLOOKUP(D1017,Catalog!$B$2:$B$4102,Catalog!$A$2:$A$4102,"NOT IN CATALOG")</f>
        <v>REGENCY CAKESTAND 3 TIER</v>
      </c>
      <c r="H1017" s="7" t="n">
        <f aca="false">_xlfn.IFNA(VLOOKUP(D1017,Catalog!$B$2:$C$4102,2,FALSE()),"")</f>
        <v>12.75</v>
      </c>
      <c r="I1017" s="7" t="str">
        <f aca="false">HLOOKUP(C1017,Regions!$B$1:$S$2,2,FALSE())</f>
        <v>EU</v>
      </c>
      <c r="J1017" s="7" t="n">
        <f aca="false">E1017*F1017</f>
        <v>350.4</v>
      </c>
      <c r="K1017" s="8" t="n">
        <f aca="false">IF(H1017="","",1-F1017/H1017)</f>
        <v>0.141176470588235</v>
      </c>
    </row>
    <row r="1018" customFormat="false" ht="15" hidden="false" customHeight="false" outlineLevel="0" collapsed="false">
      <c r="A1018" s="0" t="s">
        <v>682</v>
      </c>
      <c r="B1018" s="6" t="n">
        <v>40884.6361111111</v>
      </c>
      <c r="C1018" s="0" t="s">
        <v>683</v>
      </c>
      <c r="D1018" s="0" t="s">
        <v>292</v>
      </c>
      <c r="E1018" s="0" t="n">
        <v>72</v>
      </c>
      <c r="F1018" s="0" t="n">
        <v>1.25</v>
      </c>
      <c r="G1018" s="7" t="str">
        <f aca="false">_xlfn.XLOOKUP(D1018,Catalog!$B$2:$B$4102,Catalog!$A$2:$A$4102,"NOT IN CATALOG")</f>
        <v>PICTURE DOMINOES</v>
      </c>
      <c r="H1018" s="7" t="n">
        <f aca="false">_xlfn.IFNA(VLOOKUP(D1018,Catalog!$B$2:$C$4102,2,FALSE()),"")</f>
        <v>1.45</v>
      </c>
      <c r="I1018" s="7" t="str">
        <f aca="false">HLOOKUP(C1018,Regions!$B$1:$S$2,2,FALSE())</f>
        <v>EU</v>
      </c>
      <c r="J1018" s="7" t="n">
        <f aca="false">E1018*F1018</f>
        <v>90</v>
      </c>
      <c r="K1018" s="8" t="n">
        <f aca="false">IF(H1018="","",1-F1018/H1018)</f>
        <v>0.137931034482759</v>
      </c>
    </row>
    <row r="1019" customFormat="false" ht="15" hidden="false" customHeight="false" outlineLevel="0" collapsed="false">
      <c r="A1019" s="0" t="s">
        <v>682</v>
      </c>
      <c r="B1019" s="6" t="n">
        <v>40884.6361111111</v>
      </c>
      <c r="C1019" s="0" t="s">
        <v>683</v>
      </c>
      <c r="D1019" s="0" t="s">
        <v>567</v>
      </c>
      <c r="E1019" s="0" t="n">
        <v>24</v>
      </c>
      <c r="F1019" s="0" t="n">
        <v>3.75</v>
      </c>
      <c r="G1019" s="7" t="str">
        <f aca="false">_xlfn.XLOOKUP(D1019,Catalog!$B$2:$B$4102,Catalog!$A$2:$A$4102,"NOT IN CATALOG")</f>
        <v>JAM MAKING SET WITH JARS</v>
      </c>
      <c r="H1019" s="7" t="n">
        <f aca="false">_xlfn.IFNA(VLOOKUP(D1019,Catalog!$B$2:$C$4102,2,FALSE()),"")</f>
        <v>4.25</v>
      </c>
      <c r="I1019" s="7" t="str">
        <f aca="false">HLOOKUP(C1019,Regions!$B$1:$S$2,2,FALSE())</f>
        <v>EU</v>
      </c>
      <c r="J1019" s="7" t="n">
        <f aca="false">E1019*F1019</f>
        <v>90</v>
      </c>
      <c r="K1019" s="8" t="n">
        <f aca="false">IF(H1019="","",1-F1019/H1019)</f>
        <v>0.117647058823529</v>
      </c>
    </row>
    <row r="1020" customFormat="false" ht="15" hidden="false" customHeight="false" outlineLevel="0" collapsed="false">
      <c r="A1020" s="0" t="s">
        <v>682</v>
      </c>
      <c r="B1020" s="6" t="n">
        <v>40884.6361111111</v>
      </c>
      <c r="C1020" s="0" t="s">
        <v>683</v>
      </c>
      <c r="D1020" s="0" t="s">
        <v>170</v>
      </c>
      <c r="E1020" s="0" t="n">
        <v>144</v>
      </c>
      <c r="F1020" s="0" t="n">
        <v>0.36</v>
      </c>
      <c r="G1020" s="7" t="str">
        <f aca="false">_xlfn.XLOOKUP(D1020,Catalog!$B$2:$B$4102,Catalog!$A$2:$A$4102,"NOT IN CATALOG")</f>
        <v>CARD DOLLY GIRL</v>
      </c>
      <c r="H1020" s="7" t="n">
        <f aca="false">_xlfn.IFNA(VLOOKUP(D1020,Catalog!$B$2:$C$4102,2,FALSE()),"")</f>
        <v>0.42</v>
      </c>
      <c r="I1020" s="7" t="str">
        <f aca="false">HLOOKUP(C1020,Regions!$B$1:$S$2,2,FALSE())</f>
        <v>EU</v>
      </c>
      <c r="J1020" s="7" t="n">
        <f aca="false">E1020*F1020</f>
        <v>51.84</v>
      </c>
      <c r="K1020" s="8" t="n">
        <f aca="false">IF(H1020="","",1-F1020/H1020)</f>
        <v>0.142857142857143</v>
      </c>
    </row>
    <row r="1021" customFormat="false" ht="15" hidden="false" customHeight="false" outlineLevel="0" collapsed="false">
      <c r="A1021" s="0" t="s">
        <v>682</v>
      </c>
      <c r="B1021" s="6" t="n">
        <v>40884.6361111111</v>
      </c>
      <c r="C1021" s="0" t="s">
        <v>683</v>
      </c>
      <c r="D1021" s="0" t="s">
        <v>442</v>
      </c>
      <c r="E1021" s="0" t="n">
        <v>48</v>
      </c>
      <c r="F1021" s="0" t="n">
        <v>4.15</v>
      </c>
      <c r="G1021" s="7" t="str">
        <f aca="false">_xlfn.XLOOKUP(D1021,Catalog!$B$2:$B$4102,Catalog!$A$2:$A$4102,"NOT IN CATALOG")</f>
        <v>NOT IN CATALOG</v>
      </c>
      <c r="H1021" s="7" t="str">
        <f aca="false">_xlfn.IFNA(VLOOKUP(D1021,Catalog!$B$2:$C$4102,2,FALSE()),"")</f>
        <v/>
      </c>
      <c r="I1021" s="7" t="str">
        <f aca="false">HLOOKUP(C1021,Regions!$B$1:$S$2,2,FALSE())</f>
        <v>EU</v>
      </c>
      <c r="J1021" s="7" t="n">
        <f aca="false">E1021*F1021</f>
        <v>199.2</v>
      </c>
      <c r="K1021" s="8" t="str">
        <f aca="false">IF(H1021="","",1-F1021/H1021)</f>
        <v/>
      </c>
    </row>
    <row r="1022" customFormat="false" ht="15" hidden="false" customHeight="false" outlineLevel="0" collapsed="false">
      <c r="A1022" s="0" t="s">
        <v>682</v>
      </c>
      <c r="B1022" s="6" t="n">
        <v>40884.6361111111</v>
      </c>
      <c r="C1022" s="0" t="s">
        <v>683</v>
      </c>
      <c r="D1022" s="0" t="s">
        <v>547</v>
      </c>
      <c r="E1022" s="0" t="n">
        <v>96</v>
      </c>
      <c r="F1022" s="0" t="n">
        <v>1.05</v>
      </c>
      <c r="G1022" s="7" t="str">
        <f aca="false">_xlfn.XLOOKUP(D1022,Catalog!$B$2:$B$4102,Catalog!$A$2:$A$4102,"NOT IN CATALOG")</f>
        <v>NOT IN CATALOG</v>
      </c>
      <c r="H1022" s="7" t="str">
        <f aca="false">_xlfn.IFNA(VLOOKUP(D1022,Catalog!$B$2:$C$4102,2,FALSE()),"")</f>
        <v/>
      </c>
      <c r="I1022" s="7" t="str">
        <f aca="false">HLOOKUP(C1022,Regions!$B$1:$S$2,2,FALSE())</f>
        <v>EU</v>
      </c>
      <c r="J1022" s="7" t="n">
        <f aca="false">E1022*F1022</f>
        <v>100.8</v>
      </c>
      <c r="K1022" s="8" t="str">
        <f aca="false">IF(H1022="","",1-F1022/H1022)</f>
        <v/>
      </c>
    </row>
    <row r="1023" customFormat="false" ht="15" hidden="false" customHeight="false" outlineLevel="0" collapsed="false">
      <c r="A1023" s="0" t="s">
        <v>682</v>
      </c>
      <c r="B1023" s="6" t="n">
        <v>40884.6361111111</v>
      </c>
      <c r="C1023" s="0" t="s">
        <v>683</v>
      </c>
      <c r="D1023" s="0" t="s">
        <v>277</v>
      </c>
      <c r="E1023" s="0" t="n">
        <v>60</v>
      </c>
      <c r="F1023" s="0" t="n">
        <v>2.49</v>
      </c>
      <c r="G1023" s="7" t="str">
        <f aca="false">_xlfn.XLOOKUP(D1023,Catalog!$B$2:$B$4102,Catalog!$A$2:$A$4102,"NOT IN CATALOG")</f>
        <v>NOT IN CATALOG</v>
      </c>
      <c r="H1023" s="7" t="str">
        <f aca="false">_xlfn.IFNA(VLOOKUP(D1023,Catalog!$B$2:$C$4102,2,FALSE()),"")</f>
        <v/>
      </c>
      <c r="I1023" s="7" t="str">
        <f aca="false">HLOOKUP(C1023,Regions!$B$1:$S$2,2,FALSE())</f>
        <v>EU</v>
      </c>
      <c r="J1023" s="7" t="n">
        <f aca="false">E1023*F1023</f>
        <v>149.4</v>
      </c>
      <c r="K1023" s="8" t="str">
        <f aca="false">IF(H1023="","",1-F1023/H1023)</f>
        <v/>
      </c>
    </row>
    <row r="1024" customFormat="false" ht="15" hidden="false" customHeight="false" outlineLevel="0" collapsed="false">
      <c r="A1024" s="0" t="s">
        <v>682</v>
      </c>
      <c r="B1024" s="6" t="n">
        <v>40884.6361111111</v>
      </c>
      <c r="C1024" s="0" t="s">
        <v>683</v>
      </c>
      <c r="D1024" s="0" t="s">
        <v>698</v>
      </c>
      <c r="E1024" s="0" t="n">
        <v>60</v>
      </c>
      <c r="F1024" s="0" t="n">
        <v>2.49</v>
      </c>
      <c r="G1024" s="7" t="str">
        <f aca="false">_xlfn.XLOOKUP(D1024,Catalog!$B$2:$B$4102,Catalog!$A$2:$A$4102,"NOT IN CATALOG")</f>
        <v>NOT IN CATALOG</v>
      </c>
      <c r="H1024" s="7" t="str">
        <f aca="false">_xlfn.IFNA(VLOOKUP(D1024,Catalog!$B$2:$C$4102,2,FALSE()),"")</f>
        <v/>
      </c>
      <c r="I1024" s="7" t="str">
        <f aca="false">HLOOKUP(C1024,Regions!$B$1:$S$2,2,FALSE())</f>
        <v>EU</v>
      </c>
      <c r="J1024" s="7" t="n">
        <f aca="false">E1024*F1024</f>
        <v>149.4</v>
      </c>
      <c r="K1024" s="8" t="str">
        <f aca="false">IF(H1024="","",1-F1024/H1024)</f>
        <v/>
      </c>
    </row>
    <row r="1025" customFormat="false" ht="15" hidden="false" customHeight="false" outlineLevel="0" collapsed="false">
      <c r="A1025" s="0" t="s">
        <v>682</v>
      </c>
      <c r="B1025" s="6" t="n">
        <v>40884.6361111111</v>
      </c>
      <c r="C1025" s="0" t="s">
        <v>683</v>
      </c>
      <c r="D1025" s="0" t="s">
        <v>535</v>
      </c>
      <c r="E1025" s="0" t="n">
        <v>60</v>
      </c>
      <c r="F1025" s="0" t="n">
        <v>2.49</v>
      </c>
      <c r="G1025" s="7" t="str">
        <f aca="false">_xlfn.XLOOKUP(D1025,Catalog!$B$2:$B$4102,Catalog!$A$2:$A$4102,"NOT IN CATALOG")</f>
        <v>NOT IN CATALOG</v>
      </c>
      <c r="H1025" s="7" t="str">
        <f aca="false">_xlfn.IFNA(VLOOKUP(D1025,Catalog!$B$2:$C$4102,2,FALSE()),"")</f>
        <v/>
      </c>
      <c r="I1025" s="7" t="str">
        <f aca="false">HLOOKUP(C1025,Regions!$B$1:$S$2,2,FALSE())</f>
        <v>EU</v>
      </c>
      <c r="J1025" s="7" t="n">
        <f aca="false">E1025*F1025</f>
        <v>149.4</v>
      </c>
      <c r="K1025" s="8" t="str">
        <f aca="false">IF(H1025="","",1-F1025/H1025)</f>
        <v/>
      </c>
    </row>
    <row r="1026" customFormat="false" ht="15" hidden="false" customHeight="false" outlineLevel="0" collapsed="false">
      <c r="A1026" s="0" t="s">
        <v>682</v>
      </c>
      <c r="B1026" s="6" t="n">
        <v>40884.6361111111</v>
      </c>
      <c r="C1026" s="0" t="s">
        <v>683</v>
      </c>
      <c r="D1026" s="0" t="s">
        <v>381</v>
      </c>
      <c r="E1026" s="0" t="n">
        <v>12</v>
      </c>
      <c r="F1026" s="0" t="n">
        <v>7.65</v>
      </c>
      <c r="G1026" s="7" t="str">
        <f aca="false">_xlfn.XLOOKUP(D1026,Catalog!$B$2:$B$4102,Catalog!$A$2:$A$4102,"NOT IN CATALOG")</f>
        <v>RED KITCHEN SCALES</v>
      </c>
      <c r="H1026" s="7" t="n">
        <f aca="false">_xlfn.IFNA(VLOOKUP(D1026,Catalog!$B$2:$C$4102,2,FALSE()),"")</f>
        <v>8.5</v>
      </c>
      <c r="I1026" s="7" t="str">
        <f aca="false">HLOOKUP(C1026,Regions!$B$1:$S$2,2,FALSE())</f>
        <v>EU</v>
      </c>
      <c r="J1026" s="7" t="n">
        <f aca="false">E1026*F1026</f>
        <v>91.8</v>
      </c>
      <c r="K1026" s="8" t="n">
        <f aca="false">IF(H1026="","",1-F1026/H1026)</f>
        <v>0.1</v>
      </c>
    </row>
    <row r="1027" customFormat="false" ht="15" hidden="false" customHeight="false" outlineLevel="0" collapsed="false">
      <c r="A1027" s="0" t="s">
        <v>682</v>
      </c>
      <c r="B1027" s="6" t="n">
        <v>40884.6361111111</v>
      </c>
      <c r="C1027" s="0" t="s">
        <v>683</v>
      </c>
      <c r="D1027" s="0" t="s">
        <v>223</v>
      </c>
      <c r="E1027" s="0" t="n">
        <v>12</v>
      </c>
      <c r="F1027" s="0" t="n">
        <v>7.65</v>
      </c>
      <c r="G1027" s="7" t="str">
        <f aca="false">_xlfn.XLOOKUP(D1027,Catalog!$B$2:$B$4102,Catalog!$A$2:$A$4102,"NOT IN CATALOG")</f>
        <v>BLACK KITCHEN SCALES</v>
      </c>
      <c r="H1027" s="7" t="n">
        <f aca="false">_xlfn.IFNA(VLOOKUP(D1027,Catalog!$B$2:$C$4102,2,FALSE()),"")</f>
        <v>8.5</v>
      </c>
      <c r="I1027" s="7" t="str">
        <f aca="false">HLOOKUP(C1027,Regions!$B$1:$S$2,2,FALSE())</f>
        <v>EU</v>
      </c>
      <c r="J1027" s="7" t="n">
        <f aca="false">E1027*F1027</f>
        <v>91.8</v>
      </c>
      <c r="K1027" s="8" t="n">
        <f aca="false">IF(H1027="","",1-F1027/H1027)</f>
        <v>0.1</v>
      </c>
    </row>
    <row r="1028" customFormat="false" ht="15" hidden="false" customHeight="false" outlineLevel="0" collapsed="false">
      <c r="A1028" s="0" t="s">
        <v>682</v>
      </c>
      <c r="B1028" s="6" t="n">
        <v>40884.6361111111</v>
      </c>
      <c r="C1028" s="0" t="s">
        <v>683</v>
      </c>
      <c r="D1028" s="0" t="s">
        <v>253</v>
      </c>
      <c r="E1028" s="0" t="n">
        <v>96</v>
      </c>
      <c r="F1028" s="0" t="n">
        <v>1.45</v>
      </c>
      <c r="G1028" s="7" t="str">
        <f aca="false">_xlfn.XLOOKUP(D1028,Catalog!$B$2:$B$4102,Catalog!$A$2:$A$4102,"NOT IN CATALOG")</f>
        <v>NOT IN CATALOG</v>
      </c>
      <c r="H1028" s="7" t="str">
        <f aca="false">_xlfn.IFNA(VLOOKUP(D1028,Catalog!$B$2:$C$4102,2,FALSE()),"")</f>
        <v/>
      </c>
      <c r="I1028" s="7" t="str">
        <f aca="false">HLOOKUP(C1028,Regions!$B$1:$S$2,2,FALSE())</f>
        <v>EU</v>
      </c>
      <c r="J1028" s="7" t="n">
        <f aca="false">E1028*F1028</f>
        <v>139.2</v>
      </c>
      <c r="K1028" s="8" t="str">
        <f aca="false">IF(H1028="","",1-F1028/H1028)</f>
        <v/>
      </c>
    </row>
    <row r="1029" customFormat="false" ht="15" hidden="false" customHeight="false" outlineLevel="0" collapsed="false">
      <c r="A1029" s="0" t="s">
        <v>682</v>
      </c>
      <c r="B1029" s="6" t="n">
        <v>40884.6361111111</v>
      </c>
      <c r="C1029" s="0" t="s">
        <v>683</v>
      </c>
      <c r="D1029" s="0" t="s">
        <v>302</v>
      </c>
      <c r="E1029" s="0" t="n">
        <v>96</v>
      </c>
      <c r="F1029" s="0" t="n">
        <v>1.85</v>
      </c>
      <c r="G1029" s="7" t="str">
        <f aca="false">_xlfn.XLOOKUP(D1029,Catalog!$B$2:$B$4102,Catalog!$A$2:$A$4102,"NOT IN CATALOG")</f>
        <v>HAND WARMER OWL DESIGN</v>
      </c>
      <c r="H1029" s="7" t="n">
        <f aca="false">_xlfn.IFNA(VLOOKUP(D1029,Catalog!$B$2:$C$4102,2,FALSE()),"")</f>
        <v>2.1</v>
      </c>
      <c r="I1029" s="7" t="str">
        <f aca="false">HLOOKUP(C1029,Regions!$B$1:$S$2,2,FALSE())</f>
        <v>EU</v>
      </c>
      <c r="J1029" s="7" t="n">
        <f aca="false">E1029*F1029</f>
        <v>177.6</v>
      </c>
      <c r="K1029" s="8" t="n">
        <f aca="false">IF(H1029="","",1-F1029/H1029)</f>
        <v>0.119047619047619</v>
      </c>
    </row>
    <row r="1030" customFormat="false" ht="15" hidden="false" customHeight="false" outlineLevel="0" collapsed="false">
      <c r="A1030" s="0" t="s">
        <v>682</v>
      </c>
      <c r="B1030" s="6" t="n">
        <v>40884.6361111111</v>
      </c>
      <c r="C1030" s="0" t="s">
        <v>683</v>
      </c>
      <c r="D1030" s="0" t="s">
        <v>85</v>
      </c>
      <c r="E1030" s="0" t="n">
        <v>50</v>
      </c>
      <c r="F1030" s="0" t="n">
        <v>3.75</v>
      </c>
      <c r="G1030" s="7" t="str">
        <f aca="false">_xlfn.XLOOKUP(D1030,Catalog!$B$2:$B$4102,Catalog!$A$2:$A$4102,"NOT IN CATALOG")</f>
        <v>NOT IN CATALOG</v>
      </c>
      <c r="H1030" s="7" t="str">
        <f aca="false">_xlfn.IFNA(VLOOKUP(D1030,Catalog!$B$2:$C$4102,2,FALSE()),"")</f>
        <v/>
      </c>
      <c r="I1030" s="7" t="str">
        <f aca="false">HLOOKUP(C1030,Regions!$B$1:$S$2,2,FALSE())</f>
        <v>EU</v>
      </c>
      <c r="J1030" s="7" t="n">
        <f aca="false">E1030*F1030</f>
        <v>187.5</v>
      </c>
      <c r="K1030" s="8" t="str">
        <f aca="false">IF(H1030="","",1-F1030/H1030)</f>
        <v/>
      </c>
    </row>
    <row r="1031" customFormat="false" ht="15" hidden="false" customHeight="false" outlineLevel="0" collapsed="false">
      <c r="A1031" s="0" t="s">
        <v>682</v>
      </c>
      <c r="B1031" s="6" t="n">
        <v>40884.6361111111</v>
      </c>
      <c r="C1031" s="0" t="s">
        <v>683</v>
      </c>
      <c r="D1031" s="0" t="s">
        <v>699</v>
      </c>
      <c r="E1031" s="0" t="n">
        <v>36</v>
      </c>
      <c r="F1031" s="0" t="n">
        <v>3.39</v>
      </c>
      <c r="G1031" s="7" t="str">
        <f aca="false">_xlfn.XLOOKUP(D1031,Catalog!$B$2:$B$4102,Catalog!$A$2:$A$4102,"NOT IN CATALOG")</f>
        <v>NOT IN CATALOG</v>
      </c>
      <c r="H1031" s="7" t="str">
        <f aca="false">_xlfn.IFNA(VLOOKUP(D1031,Catalog!$B$2:$C$4102,2,FALSE()),"")</f>
        <v/>
      </c>
      <c r="I1031" s="7" t="str">
        <f aca="false">HLOOKUP(C1031,Regions!$B$1:$S$2,2,FALSE())</f>
        <v>EU</v>
      </c>
      <c r="J1031" s="7" t="n">
        <f aca="false">E1031*F1031</f>
        <v>122.04</v>
      </c>
      <c r="K1031" s="8" t="str">
        <f aca="false">IF(H1031="","",1-F1031/H1031)</f>
        <v/>
      </c>
    </row>
    <row r="1032" customFormat="false" ht="15" hidden="false" customHeight="false" outlineLevel="0" collapsed="false">
      <c r="A1032" s="0" t="s">
        <v>682</v>
      </c>
      <c r="B1032" s="6" t="n">
        <v>40884.6361111111</v>
      </c>
      <c r="C1032" s="0" t="s">
        <v>683</v>
      </c>
      <c r="D1032" s="0" t="s">
        <v>506</v>
      </c>
      <c r="E1032" s="0" t="n">
        <v>72</v>
      </c>
      <c r="F1032" s="0" t="n">
        <v>3.75</v>
      </c>
      <c r="G1032" s="7" t="str">
        <f aca="false">_xlfn.XLOOKUP(D1032,Catalog!$B$2:$B$4102,Catalog!$A$2:$A$4102,"NOT IN CATALOG")</f>
        <v>NOT IN CATALOG</v>
      </c>
      <c r="H1032" s="7" t="str">
        <f aca="false">_xlfn.IFNA(VLOOKUP(D1032,Catalog!$B$2:$C$4102,2,FALSE()),"")</f>
        <v/>
      </c>
      <c r="I1032" s="7" t="str">
        <f aca="false">HLOOKUP(C1032,Regions!$B$1:$S$2,2,FALSE())</f>
        <v>EU</v>
      </c>
      <c r="J1032" s="7" t="n">
        <f aca="false">E1032*F1032</f>
        <v>270</v>
      </c>
      <c r="K1032" s="8" t="str">
        <f aca="false">IF(H1032="","",1-F1032/H1032)</f>
        <v/>
      </c>
    </row>
    <row r="1033" customFormat="false" ht="15" hidden="false" customHeight="false" outlineLevel="0" collapsed="false">
      <c r="A1033" s="0" t="s">
        <v>682</v>
      </c>
      <c r="B1033" s="6" t="n">
        <v>40884.6361111111</v>
      </c>
      <c r="C1033" s="0" t="s">
        <v>683</v>
      </c>
      <c r="D1033" s="0" t="s">
        <v>700</v>
      </c>
      <c r="E1033" s="0" t="n">
        <v>48</v>
      </c>
      <c r="F1033" s="0" t="n">
        <v>1.65</v>
      </c>
      <c r="G1033" s="7" t="str">
        <f aca="false">_xlfn.XLOOKUP(D1033,Catalog!$B$2:$B$4102,Catalog!$A$2:$A$4102,"NOT IN CATALOG")</f>
        <v>WATERING CAN PINK BUNNY</v>
      </c>
      <c r="H1033" s="7" t="n">
        <f aca="false">_xlfn.IFNA(VLOOKUP(D1033,Catalog!$B$2:$C$4102,2,FALSE()),"")</f>
        <v>1.95</v>
      </c>
      <c r="I1033" s="7" t="str">
        <f aca="false">HLOOKUP(C1033,Regions!$B$1:$S$2,2,FALSE())</f>
        <v>EU</v>
      </c>
      <c r="J1033" s="7" t="n">
        <f aca="false">E1033*F1033</f>
        <v>79.2</v>
      </c>
      <c r="K1033" s="8" t="n">
        <f aca="false">IF(H1033="","",1-F1033/H1033)</f>
        <v>0.153846153846154</v>
      </c>
    </row>
    <row r="1034" customFormat="false" ht="15" hidden="false" customHeight="false" outlineLevel="0" collapsed="false">
      <c r="A1034" s="0" t="s">
        <v>682</v>
      </c>
      <c r="B1034" s="6" t="n">
        <v>40884.6361111111</v>
      </c>
      <c r="C1034" s="0" t="s">
        <v>683</v>
      </c>
      <c r="D1034" s="0" t="s">
        <v>209</v>
      </c>
      <c r="E1034" s="0" t="n">
        <v>72</v>
      </c>
      <c r="F1034" s="0" t="n">
        <v>1.79</v>
      </c>
      <c r="G1034" s="7" t="str">
        <f aca="false">_xlfn.XLOOKUP(D1034,Catalog!$B$2:$B$4102,Catalog!$A$2:$A$4102,"NOT IN CATALOG")</f>
        <v>NOT IN CATALOG</v>
      </c>
      <c r="H1034" s="7" t="str">
        <f aca="false">_xlfn.IFNA(VLOOKUP(D1034,Catalog!$B$2:$C$4102,2,FALSE()),"")</f>
        <v/>
      </c>
      <c r="I1034" s="7" t="str">
        <f aca="false">HLOOKUP(C1034,Regions!$B$1:$S$2,2,FALSE())</f>
        <v>EU</v>
      </c>
      <c r="J1034" s="7" t="n">
        <f aca="false">E1034*F1034</f>
        <v>128.88</v>
      </c>
      <c r="K1034" s="8" t="str">
        <f aca="false">IF(H1034="","",1-F1034/H1034)</f>
        <v/>
      </c>
    </row>
    <row r="1035" customFormat="false" ht="15" hidden="false" customHeight="false" outlineLevel="0" collapsed="false">
      <c r="A1035" s="0" t="s">
        <v>682</v>
      </c>
      <c r="B1035" s="6" t="n">
        <v>40884.6361111111</v>
      </c>
      <c r="C1035" s="0" t="s">
        <v>683</v>
      </c>
      <c r="D1035" s="0" t="s">
        <v>551</v>
      </c>
      <c r="E1035" s="0" t="n">
        <v>80</v>
      </c>
      <c r="F1035" s="0" t="n">
        <v>2.55</v>
      </c>
      <c r="G1035" s="7" t="str">
        <f aca="false">_xlfn.XLOOKUP(D1035,Catalog!$B$2:$B$4102,Catalog!$A$2:$A$4102,"NOT IN CATALOG")</f>
        <v>NOT IN CATALOG</v>
      </c>
      <c r="H1035" s="7" t="str">
        <f aca="false">_xlfn.IFNA(VLOOKUP(D1035,Catalog!$B$2:$C$4102,2,FALSE()),"")</f>
        <v/>
      </c>
      <c r="I1035" s="7" t="str">
        <f aca="false">HLOOKUP(C1035,Regions!$B$1:$S$2,2,FALSE())</f>
        <v>EU</v>
      </c>
      <c r="J1035" s="7" t="n">
        <f aca="false">E1035*F1035</f>
        <v>204</v>
      </c>
      <c r="K1035" s="8" t="str">
        <f aca="false">IF(H1035="","",1-F1035/H1035)</f>
        <v/>
      </c>
    </row>
    <row r="1036" customFormat="false" ht="15" hidden="false" customHeight="false" outlineLevel="0" collapsed="false">
      <c r="A1036" s="0" t="s">
        <v>682</v>
      </c>
      <c r="B1036" s="6" t="n">
        <v>40884.6361111111</v>
      </c>
      <c r="C1036" s="0" t="s">
        <v>683</v>
      </c>
      <c r="D1036" s="0" t="s">
        <v>526</v>
      </c>
      <c r="E1036" s="0" t="n">
        <v>80</v>
      </c>
      <c r="F1036" s="0" t="n">
        <v>2.55</v>
      </c>
      <c r="G1036" s="7" t="str">
        <f aca="false">_xlfn.XLOOKUP(D1036,Catalog!$B$2:$B$4102,Catalog!$A$2:$A$4102,"NOT IN CATALOG")</f>
        <v>NOT IN CATALOG</v>
      </c>
      <c r="H1036" s="7" t="str">
        <f aca="false">_xlfn.IFNA(VLOOKUP(D1036,Catalog!$B$2:$C$4102,2,FALSE()),"")</f>
        <v/>
      </c>
      <c r="I1036" s="7" t="str">
        <f aca="false">HLOOKUP(C1036,Regions!$B$1:$S$2,2,FALSE())</f>
        <v>EU</v>
      </c>
      <c r="J1036" s="7" t="n">
        <f aca="false">E1036*F1036</f>
        <v>204</v>
      </c>
      <c r="K1036" s="8" t="str">
        <f aca="false">IF(H1036="","",1-F1036/H1036)</f>
        <v/>
      </c>
    </row>
    <row r="1037" customFormat="false" ht="15" hidden="false" customHeight="false" outlineLevel="0" collapsed="false">
      <c r="A1037" s="0" t="s">
        <v>682</v>
      </c>
      <c r="B1037" s="6" t="n">
        <v>40884.6361111111</v>
      </c>
      <c r="C1037" s="0" t="s">
        <v>683</v>
      </c>
      <c r="D1037" s="0" t="s">
        <v>701</v>
      </c>
      <c r="E1037" s="0" t="n">
        <v>72</v>
      </c>
      <c r="F1037" s="0" t="n">
        <v>1.04</v>
      </c>
      <c r="G1037" s="7" t="str">
        <f aca="false">_xlfn.XLOOKUP(D1037,Catalog!$B$2:$B$4102,Catalog!$A$2:$A$4102,"NOT IN CATALOG")</f>
        <v>NOT IN CATALOG</v>
      </c>
      <c r="H1037" s="7" t="str">
        <f aca="false">_xlfn.IFNA(VLOOKUP(D1037,Catalog!$B$2:$C$4102,2,FALSE()),"")</f>
        <v/>
      </c>
      <c r="I1037" s="7" t="str">
        <f aca="false">HLOOKUP(C1037,Regions!$B$1:$S$2,2,FALSE())</f>
        <v>EU</v>
      </c>
      <c r="J1037" s="7" t="n">
        <f aca="false">E1037*F1037</f>
        <v>74.88</v>
      </c>
      <c r="K1037" s="8" t="str">
        <f aca="false">IF(H1037="","",1-F1037/H1037)</f>
        <v/>
      </c>
    </row>
    <row r="1038" customFormat="false" ht="15" hidden="false" customHeight="false" outlineLevel="0" collapsed="false">
      <c r="A1038" s="0" t="s">
        <v>682</v>
      </c>
      <c r="B1038" s="6" t="n">
        <v>40884.6361111111</v>
      </c>
      <c r="C1038" s="0" t="s">
        <v>683</v>
      </c>
      <c r="D1038" s="0" t="s">
        <v>702</v>
      </c>
      <c r="E1038" s="0" t="n">
        <v>144</v>
      </c>
      <c r="F1038" s="0" t="n">
        <v>1.45</v>
      </c>
      <c r="G1038" s="7" t="str">
        <f aca="false">_xlfn.XLOOKUP(D1038,Catalog!$B$2:$B$4102,Catalog!$A$2:$A$4102,"NOT IN CATALOG")</f>
        <v>NOT IN CATALOG</v>
      </c>
      <c r="H1038" s="7" t="str">
        <f aca="false">_xlfn.IFNA(VLOOKUP(D1038,Catalog!$B$2:$C$4102,2,FALSE()),"")</f>
        <v/>
      </c>
      <c r="I1038" s="7" t="str">
        <f aca="false">HLOOKUP(C1038,Regions!$B$1:$S$2,2,FALSE())</f>
        <v>EU</v>
      </c>
      <c r="J1038" s="7" t="n">
        <f aca="false">E1038*F1038</f>
        <v>208.8</v>
      </c>
      <c r="K1038" s="8" t="str">
        <f aca="false">IF(H1038="","",1-F1038/H1038)</f>
        <v/>
      </c>
    </row>
    <row r="1039" customFormat="false" ht="15" hidden="false" customHeight="false" outlineLevel="0" collapsed="false">
      <c r="A1039" s="0" t="s">
        <v>682</v>
      </c>
      <c r="B1039" s="6" t="n">
        <v>40884.6361111111</v>
      </c>
      <c r="C1039" s="0" t="s">
        <v>683</v>
      </c>
      <c r="D1039" s="0" t="s">
        <v>703</v>
      </c>
      <c r="E1039" s="0" t="n">
        <v>96</v>
      </c>
      <c r="F1039" s="0" t="n">
        <v>0.39</v>
      </c>
      <c r="G1039" s="7" t="str">
        <f aca="false">_xlfn.XLOOKUP(D1039,Catalog!$B$2:$B$4102,Catalog!$A$2:$A$4102,"NOT IN CATALOG")</f>
        <v>SCOTTIE DOGS BABY BIB</v>
      </c>
      <c r="H1039" s="7" t="n">
        <f aca="false">_xlfn.IFNA(VLOOKUP(D1039,Catalog!$B$2:$C$4102,2,FALSE()),"")</f>
        <v>0.85</v>
      </c>
      <c r="I1039" s="7" t="str">
        <f aca="false">HLOOKUP(C1039,Regions!$B$1:$S$2,2,FALSE())</f>
        <v>EU</v>
      </c>
      <c r="J1039" s="7" t="n">
        <f aca="false">E1039*F1039</f>
        <v>37.44</v>
      </c>
      <c r="K1039" s="8" t="n">
        <f aca="false">IF(H1039="","",1-F1039/H1039)</f>
        <v>0.541176470588235</v>
      </c>
    </row>
    <row r="1040" customFormat="false" ht="15" hidden="false" customHeight="false" outlineLevel="0" collapsed="false">
      <c r="A1040" s="0" t="s">
        <v>682</v>
      </c>
      <c r="B1040" s="6" t="n">
        <v>40884.6361111111</v>
      </c>
      <c r="C1040" s="0" t="s">
        <v>683</v>
      </c>
      <c r="D1040" s="0" t="s">
        <v>704</v>
      </c>
      <c r="E1040" s="0" t="n">
        <v>16</v>
      </c>
      <c r="F1040" s="0" t="n">
        <v>7.5</v>
      </c>
      <c r="G1040" s="7" t="str">
        <f aca="false">_xlfn.XLOOKUP(D1040,Catalog!$B$2:$B$4102,Catalog!$A$2:$A$4102,"NOT IN CATALOG")</f>
        <v>NOT IN CATALOG</v>
      </c>
      <c r="H1040" s="7" t="str">
        <f aca="false">_xlfn.IFNA(VLOOKUP(D1040,Catalog!$B$2:$C$4102,2,FALSE()),"")</f>
        <v/>
      </c>
      <c r="I1040" s="7" t="str">
        <f aca="false">HLOOKUP(C1040,Regions!$B$1:$S$2,2,FALSE())</f>
        <v>EU</v>
      </c>
      <c r="J1040" s="7" t="n">
        <f aca="false">E1040*F1040</f>
        <v>120</v>
      </c>
      <c r="K1040" s="8" t="str">
        <f aca="false">IF(H1040="","",1-F1040/H1040)</f>
        <v/>
      </c>
    </row>
    <row r="1041" customFormat="false" ht="15" hidden="false" customHeight="false" outlineLevel="0" collapsed="false">
      <c r="A1041" s="0" t="s">
        <v>682</v>
      </c>
      <c r="B1041" s="6" t="n">
        <v>40884.6361111111</v>
      </c>
      <c r="C1041" s="0" t="s">
        <v>683</v>
      </c>
      <c r="D1041" s="0" t="s">
        <v>101</v>
      </c>
      <c r="E1041" s="0" t="n">
        <v>16</v>
      </c>
      <c r="F1041" s="0" t="n">
        <v>7.5</v>
      </c>
      <c r="G1041" s="7" t="str">
        <f aca="false">_xlfn.XLOOKUP(D1041,Catalog!$B$2:$B$4102,Catalog!$A$2:$A$4102,"NOT IN CATALOG")</f>
        <v>NOT IN CATALOG</v>
      </c>
      <c r="H1041" s="7" t="str">
        <f aca="false">_xlfn.IFNA(VLOOKUP(D1041,Catalog!$B$2:$C$4102,2,FALSE()),"")</f>
        <v/>
      </c>
      <c r="I1041" s="7" t="str">
        <f aca="false">HLOOKUP(C1041,Regions!$B$1:$S$2,2,FALSE())</f>
        <v>EU</v>
      </c>
      <c r="J1041" s="7" t="n">
        <f aca="false">E1041*F1041</f>
        <v>120</v>
      </c>
      <c r="K1041" s="8" t="str">
        <f aca="false">IF(H1041="","",1-F1041/H1041)</f>
        <v/>
      </c>
    </row>
    <row r="1042" customFormat="false" ht="15" hidden="false" customHeight="false" outlineLevel="0" collapsed="false">
      <c r="A1042" s="0" t="s">
        <v>682</v>
      </c>
      <c r="B1042" s="6" t="n">
        <v>40884.6361111111</v>
      </c>
      <c r="C1042" s="0" t="s">
        <v>683</v>
      </c>
      <c r="D1042" s="0" t="s">
        <v>705</v>
      </c>
      <c r="E1042" s="0" t="n">
        <v>96</v>
      </c>
      <c r="F1042" s="0" t="n">
        <v>1.25</v>
      </c>
      <c r="G1042" s="7" t="str">
        <f aca="false">_xlfn.XLOOKUP(D1042,Catalog!$B$2:$B$4102,Catalog!$A$2:$A$4102,"NOT IN CATALOG")</f>
        <v>RED SPOT CERAMIC DRAWER KNOB</v>
      </c>
      <c r="H1042" s="7" t="n">
        <f aca="false">_xlfn.IFNA(VLOOKUP(D1042,Catalog!$B$2:$C$4102,2,FALSE()),"")</f>
        <v>1.25</v>
      </c>
      <c r="I1042" s="7" t="str">
        <f aca="false">HLOOKUP(C1042,Regions!$B$1:$S$2,2,FALSE())</f>
        <v>EU</v>
      </c>
      <c r="J1042" s="7" t="n">
        <f aca="false">E1042*F1042</f>
        <v>120</v>
      </c>
      <c r="K1042" s="8" t="n">
        <f aca="false">IF(H1042="","",1-F1042/H1042)</f>
        <v>0</v>
      </c>
    </row>
    <row r="1043" customFormat="false" ht="15" hidden="false" customHeight="false" outlineLevel="0" collapsed="false">
      <c r="A1043" s="0" t="s">
        <v>682</v>
      </c>
      <c r="B1043" s="6" t="n">
        <v>40884.6361111111</v>
      </c>
      <c r="C1043" s="0" t="s">
        <v>683</v>
      </c>
      <c r="D1043" s="0" t="s">
        <v>83</v>
      </c>
      <c r="E1043" s="0" t="n">
        <v>24</v>
      </c>
      <c r="F1043" s="0" t="n">
        <v>1.65</v>
      </c>
      <c r="G1043" s="7" t="str">
        <f aca="false">_xlfn.XLOOKUP(D1043,Catalog!$B$2:$B$4102,Catalog!$A$2:$A$4102,"NOT IN CATALOG")</f>
        <v>RED TOADSTOOL LED NIGHT LIGHT</v>
      </c>
      <c r="H1043" s="7" t="n">
        <f aca="false">_xlfn.IFNA(VLOOKUP(D1043,Catalog!$B$2:$C$4102,2,FALSE()),"")</f>
        <v>1.65</v>
      </c>
      <c r="I1043" s="7" t="str">
        <f aca="false">HLOOKUP(C1043,Regions!$B$1:$S$2,2,FALSE())</f>
        <v>EU</v>
      </c>
      <c r="J1043" s="7" t="n">
        <f aca="false">E1043*F1043</f>
        <v>39.6</v>
      </c>
      <c r="K1043" s="8" t="n">
        <f aca="false">IF(H1043="","",1-F1043/H1043)</f>
        <v>0</v>
      </c>
    </row>
    <row r="1044" customFormat="false" ht="15" hidden="false" customHeight="false" outlineLevel="0" collapsed="false">
      <c r="A1044" s="0" t="s">
        <v>682</v>
      </c>
      <c r="B1044" s="6" t="n">
        <v>40884.6361111111</v>
      </c>
      <c r="C1044" s="0" t="s">
        <v>683</v>
      </c>
      <c r="D1044" s="0" t="s">
        <v>519</v>
      </c>
      <c r="E1044" s="0" t="n">
        <v>72</v>
      </c>
      <c r="F1044" s="0" t="n">
        <v>2.1</v>
      </c>
      <c r="G1044" s="7" t="str">
        <f aca="false">_xlfn.XLOOKUP(D1044,Catalog!$B$2:$B$4102,Catalog!$A$2:$A$4102,"NOT IN CATALOG")</f>
        <v>GUMBALL COAT RACK</v>
      </c>
      <c r="H1044" s="7" t="n">
        <f aca="false">_xlfn.IFNA(VLOOKUP(D1044,Catalog!$B$2:$C$4102,2,FALSE()),"")</f>
        <v>2.55</v>
      </c>
      <c r="I1044" s="7" t="str">
        <f aca="false">HLOOKUP(C1044,Regions!$B$1:$S$2,2,FALSE())</f>
        <v>EU</v>
      </c>
      <c r="J1044" s="7" t="n">
        <f aca="false">E1044*F1044</f>
        <v>151.2</v>
      </c>
      <c r="K1044" s="8" t="n">
        <f aca="false">IF(H1044="","",1-F1044/H1044)</f>
        <v>0.176470588235294</v>
      </c>
    </row>
    <row r="1045" customFormat="false" ht="15" hidden="false" customHeight="false" outlineLevel="0" collapsed="false">
      <c r="A1045" s="0" t="s">
        <v>682</v>
      </c>
      <c r="B1045" s="6" t="n">
        <v>40884.6361111111</v>
      </c>
      <c r="C1045" s="0" t="s">
        <v>683</v>
      </c>
      <c r="D1045" s="0" t="s">
        <v>706</v>
      </c>
      <c r="E1045" s="0" t="n">
        <v>4</v>
      </c>
      <c r="F1045" s="0" t="n">
        <v>8.5</v>
      </c>
      <c r="G1045" s="7" t="str">
        <f aca="false">_xlfn.XLOOKUP(D1045,Catalog!$B$2:$B$4102,Catalog!$A$2:$A$4102,"NOT IN CATALOG")</f>
        <v>WHITE WOOD GARDEN PLANT LADDER</v>
      </c>
      <c r="H1045" s="7" t="n">
        <f aca="false">_xlfn.IFNA(VLOOKUP(D1045,Catalog!$B$2:$C$4102,2,FALSE()),"")</f>
        <v>9.95</v>
      </c>
      <c r="I1045" s="7" t="str">
        <f aca="false">HLOOKUP(C1045,Regions!$B$1:$S$2,2,FALSE())</f>
        <v>EU</v>
      </c>
      <c r="J1045" s="7" t="n">
        <f aca="false">E1045*F1045</f>
        <v>34</v>
      </c>
      <c r="K1045" s="8" t="n">
        <f aca="false">IF(H1045="","",1-F1045/H1045)</f>
        <v>0.14572864321608</v>
      </c>
    </row>
    <row r="1046" customFormat="false" ht="15" hidden="false" customHeight="false" outlineLevel="0" collapsed="false">
      <c r="A1046" s="0" t="s">
        <v>682</v>
      </c>
      <c r="B1046" s="6" t="n">
        <v>40884.6361111111</v>
      </c>
      <c r="C1046" s="0" t="s">
        <v>683</v>
      </c>
      <c r="D1046" s="0" t="s">
        <v>707</v>
      </c>
      <c r="E1046" s="0" t="n">
        <v>144</v>
      </c>
      <c r="F1046" s="0" t="n">
        <v>0.36</v>
      </c>
      <c r="G1046" s="7" t="str">
        <f aca="false">_xlfn.XLOOKUP(D1046,Catalog!$B$2:$B$4102,Catalog!$A$2:$A$4102,"NOT IN CATALOG")</f>
        <v>PACK OF 12 TRADITIONAL CRAYONS</v>
      </c>
      <c r="H1046" s="7" t="n">
        <f aca="false">_xlfn.IFNA(VLOOKUP(D1046,Catalog!$B$2:$C$4102,2,FALSE()),"")</f>
        <v>0.42</v>
      </c>
      <c r="I1046" s="7" t="str">
        <f aca="false">HLOOKUP(C1046,Regions!$B$1:$S$2,2,FALSE())</f>
        <v>EU</v>
      </c>
      <c r="J1046" s="7" t="n">
        <f aca="false">E1046*F1046</f>
        <v>51.84</v>
      </c>
      <c r="K1046" s="8" t="n">
        <f aca="false">IF(H1046="","",1-F1046/H1046)</f>
        <v>0.142857142857143</v>
      </c>
    </row>
    <row r="1047" customFormat="false" ht="15" hidden="false" customHeight="false" outlineLevel="0" collapsed="false">
      <c r="A1047" s="0" t="s">
        <v>682</v>
      </c>
      <c r="B1047" s="6" t="n">
        <v>40884.6361111111</v>
      </c>
      <c r="C1047" s="0" t="s">
        <v>683</v>
      </c>
      <c r="D1047" s="0" t="s">
        <v>708</v>
      </c>
      <c r="E1047" s="0" t="n">
        <v>72</v>
      </c>
      <c r="F1047" s="0" t="n">
        <v>1.06</v>
      </c>
      <c r="G1047" s="7" t="str">
        <f aca="false">_xlfn.XLOOKUP(D1047,Catalog!$B$2:$B$4102,Catalog!$A$2:$A$4102,"NOT IN CATALOG")</f>
        <v>HAPPY STENCIL CRAFT</v>
      </c>
      <c r="H1047" s="7" t="n">
        <f aca="false">_xlfn.IFNA(VLOOKUP(D1047,Catalog!$B$2:$C$4102,2,FALSE()),"")</f>
        <v>1.25</v>
      </c>
      <c r="I1047" s="7" t="str">
        <f aca="false">HLOOKUP(C1047,Regions!$B$1:$S$2,2,FALSE())</f>
        <v>EU</v>
      </c>
      <c r="J1047" s="7" t="n">
        <f aca="false">E1047*F1047</f>
        <v>76.32</v>
      </c>
      <c r="K1047" s="8" t="n">
        <f aca="false">IF(H1047="","",1-F1047/H1047)</f>
        <v>0.152</v>
      </c>
    </row>
    <row r="1048" customFormat="false" ht="15" hidden="false" customHeight="false" outlineLevel="0" collapsed="false">
      <c r="A1048" s="0" t="s">
        <v>682</v>
      </c>
      <c r="B1048" s="6" t="n">
        <v>40884.6361111111</v>
      </c>
      <c r="C1048" s="0" t="s">
        <v>683</v>
      </c>
      <c r="D1048" s="0" t="s">
        <v>489</v>
      </c>
      <c r="E1048" s="0" t="n">
        <v>4</v>
      </c>
      <c r="F1048" s="0" t="n">
        <v>14.95</v>
      </c>
      <c r="G1048" s="7" t="str">
        <f aca="false">_xlfn.XLOOKUP(D1048,Catalog!$B$2:$B$4102,Catalog!$A$2:$A$4102,"NOT IN CATALOG")</f>
        <v>BREAD BIN DINER STYLE RED</v>
      </c>
      <c r="H1048" s="7" t="n">
        <f aca="false">_xlfn.IFNA(VLOOKUP(D1048,Catalog!$B$2:$C$4102,2,FALSE()),"")</f>
        <v>16.95</v>
      </c>
      <c r="I1048" s="7" t="str">
        <f aca="false">HLOOKUP(C1048,Regions!$B$1:$S$2,2,FALSE())</f>
        <v>EU</v>
      </c>
      <c r="J1048" s="7" t="n">
        <f aca="false">E1048*F1048</f>
        <v>59.8</v>
      </c>
      <c r="K1048" s="8" t="n">
        <f aca="false">IF(H1048="","",1-F1048/H1048)</f>
        <v>0.117994100294985</v>
      </c>
    </row>
    <row r="1049" customFormat="false" ht="15" hidden="false" customHeight="false" outlineLevel="0" collapsed="false">
      <c r="A1049" s="0" t="s">
        <v>682</v>
      </c>
      <c r="B1049" s="6" t="n">
        <v>40884.6361111111</v>
      </c>
      <c r="C1049" s="0" t="s">
        <v>683</v>
      </c>
      <c r="D1049" s="0" t="s">
        <v>681</v>
      </c>
      <c r="E1049" s="0" t="n">
        <v>120</v>
      </c>
      <c r="F1049" s="0" t="n">
        <v>1.85</v>
      </c>
      <c r="G1049" s="7" t="str">
        <f aca="false">_xlfn.XLOOKUP(D1049,Catalog!$B$2:$B$4102,Catalog!$A$2:$A$4102,"NOT IN CATALOG")</f>
        <v>NOT IN CATALOG</v>
      </c>
      <c r="H1049" s="7" t="str">
        <f aca="false">_xlfn.IFNA(VLOOKUP(D1049,Catalog!$B$2:$C$4102,2,FALSE()),"")</f>
        <v/>
      </c>
      <c r="I1049" s="7" t="str">
        <f aca="false">HLOOKUP(C1049,Regions!$B$1:$S$2,2,FALSE())</f>
        <v>EU</v>
      </c>
      <c r="J1049" s="7" t="n">
        <f aca="false">E1049*F1049</f>
        <v>222</v>
      </c>
      <c r="K1049" s="8" t="str">
        <f aca="false">IF(H1049="","",1-F1049/H1049)</f>
        <v/>
      </c>
    </row>
    <row r="1050" customFormat="false" ht="15" hidden="false" customHeight="false" outlineLevel="0" collapsed="false">
      <c r="A1050" s="0" t="s">
        <v>682</v>
      </c>
      <c r="B1050" s="6" t="n">
        <v>40884.6361111111</v>
      </c>
      <c r="C1050" s="0" t="s">
        <v>683</v>
      </c>
      <c r="D1050" s="0" t="s">
        <v>74</v>
      </c>
      <c r="E1050" s="0" t="n">
        <v>48</v>
      </c>
      <c r="F1050" s="0" t="n">
        <v>1.45</v>
      </c>
      <c r="G1050" s="7" t="str">
        <f aca="false">_xlfn.XLOOKUP(D1050,Catalog!$B$2:$B$4102,Catalog!$A$2:$A$4102,"NOT IN CATALOG")</f>
        <v>NOT IN CATALOG</v>
      </c>
      <c r="H1050" s="7" t="str">
        <f aca="false">_xlfn.IFNA(VLOOKUP(D1050,Catalog!$B$2:$C$4102,2,FALSE()),"")</f>
        <v/>
      </c>
      <c r="I1050" s="7" t="str">
        <f aca="false">HLOOKUP(C1050,Regions!$B$1:$S$2,2,FALSE())</f>
        <v>EU</v>
      </c>
      <c r="J1050" s="7" t="n">
        <f aca="false">E1050*F1050</f>
        <v>69.6</v>
      </c>
      <c r="K1050" s="8" t="str">
        <f aca="false">IF(H1050="","",1-F1050/H1050)</f>
        <v/>
      </c>
    </row>
    <row r="1051" customFormat="false" ht="15" hidden="false" customHeight="false" outlineLevel="0" collapsed="false">
      <c r="A1051" s="0" t="s">
        <v>682</v>
      </c>
      <c r="B1051" s="6" t="n">
        <v>40884.6361111111</v>
      </c>
      <c r="C1051" s="0" t="s">
        <v>683</v>
      </c>
      <c r="D1051" s="0" t="s">
        <v>72</v>
      </c>
      <c r="E1051" s="0" t="n">
        <v>48</v>
      </c>
      <c r="F1051" s="0" t="n">
        <v>1.45</v>
      </c>
      <c r="G1051" s="7" t="str">
        <f aca="false">_xlfn.XLOOKUP(D1051,Catalog!$B$2:$B$4102,Catalog!$A$2:$A$4102,"NOT IN CATALOG")</f>
        <v>NOT IN CATALOG</v>
      </c>
      <c r="H1051" s="7" t="str">
        <f aca="false">_xlfn.IFNA(VLOOKUP(D1051,Catalog!$B$2:$C$4102,2,FALSE()),"")</f>
        <v/>
      </c>
      <c r="I1051" s="7" t="str">
        <f aca="false">HLOOKUP(C1051,Regions!$B$1:$S$2,2,FALSE())</f>
        <v>EU</v>
      </c>
      <c r="J1051" s="7" t="n">
        <f aca="false">E1051*F1051</f>
        <v>69.6</v>
      </c>
      <c r="K1051" s="8" t="str">
        <f aca="false">IF(H1051="","",1-F1051/H1051)</f>
        <v/>
      </c>
    </row>
    <row r="1052" customFormat="false" ht="15" hidden="false" customHeight="false" outlineLevel="0" collapsed="false">
      <c r="A1052" s="0" t="s">
        <v>682</v>
      </c>
      <c r="B1052" s="6" t="n">
        <v>40884.6361111111</v>
      </c>
      <c r="C1052" s="0" t="s">
        <v>683</v>
      </c>
      <c r="D1052" s="0" t="s">
        <v>228</v>
      </c>
      <c r="E1052" s="0" t="n">
        <v>100</v>
      </c>
      <c r="F1052" s="0" t="n">
        <v>1.45</v>
      </c>
      <c r="G1052" s="7" t="str">
        <f aca="false">_xlfn.XLOOKUP(D1052,Catalog!$B$2:$B$4102,Catalog!$A$2:$A$4102,"NOT IN CATALOG")</f>
        <v>NOT IN CATALOG</v>
      </c>
      <c r="H1052" s="7" t="str">
        <f aca="false">_xlfn.IFNA(VLOOKUP(D1052,Catalog!$B$2:$C$4102,2,FALSE()),"")</f>
        <v/>
      </c>
      <c r="I1052" s="7" t="str">
        <f aca="false">HLOOKUP(C1052,Regions!$B$1:$S$2,2,FALSE())</f>
        <v>EU</v>
      </c>
      <c r="J1052" s="7" t="n">
        <f aca="false">E1052*F1052</f>
        <v>145</v>
      </c>
      <c r="K1052" s="8" t="str">
        <f aca="false">IF(H1052="","",1-F1052/H1052)</f>
        <v/>
      </c>
    </row>
    <row r="1053" customFormat="false" ht="15" hidden="false" customHeight="false" outlineLevel="0" collapsed="false">
      <c r="A1053" s="0" t="s">
        <v>682</v>
      </c>
      <c r="B1053" s="6" t="n">
        <v>40884.6361111111</v>
      </c>
      <c r="C1053" s="0" t="s">
        <v>683</v>
      </c>
      <c r="D1053" s="0" t="s">
        <v>266</v>
      </c>
      <c r="E1053" s="0" t="n">
        <v>144</v>
      </c>
      <c r="F1053" s="0" t="n">
        <v>1.05</v>
      </c>
      <c r="G1053" s="7" t="str">
        <f aca="false">_xlfn.XLOOKUP(D1053,Catalog!$B$2:$B$4102,Catalog!$A$2:$A$4102,"NOT IN CATALOG")</f>
        <v>NOT IN CATALOG</v>
      </c>
      <c r="H1053" s="7" t="str">
        <f aca="false">_xlfn.IFNA(VLOOKUP(D1053,Catalog!$B$2:$C$4102,2,FALSE()),"")</f>
        <v/>
      </c>
      <c r="I1053" s="7" t="str">
        <f aca="false">HLOOKUP(C1053,Regions!$B$1:$S$2,2,FALSE())</f>
        <v>EU</v>
      </c>
      <c r="J1053" s="7" t="n">
        <f aca="false">E1053*F1053</f>
        <v>151.2</v>
      </c>
      <c r="K1053" s="8" t="str">
        <f aca="false">IF(H1053="","",1-F1053/H1053)</f>
        <v/>
      </c>
    </row>
    <row r="1054" customFormat="false" ht="15" hidden="false" customHeight="false" outlineLevel="0" collapsed="false">
      <c r="A1054" s="0" t="s">
        <v>682</v>
      </c>
      <c r="B1054" s="6" t="n">
        <v>40884.6361111111</v>
      </c>
      <c r="C1054" s="0" t="s">
        <v>683</v>
      </c>
      <c r="D1054" s="0" t="s">
        <v>303</v>
      </c>
      <c r="E1054" s="0" t="n">
        <v>96</v>
      </c>
      <c r="F1054" s="0" t="n">
        <v>1.85</v>
      </c>
      <c r="G1054" s="7" t="str">
        <f aca="false">_xlfn.XLOOKUP(D1054,Catalog!$B$2:$B$4102,Catalog!$A$2:$A$4102,"NOT IN CATALOG")</f>
        <v>HAND WARMER BIRD DESIGN</v>
      </c>
      <c r="H1054" s="7" t="n">
        <f aca="false">_xlfn.IFNA(VLOOKUP(D1054,Catalog!$B$2:$C$4102,2,FALSE()),"")</f>
        <v>2.1</v>
      </c>
      <c r="I1054" s="7" t="str">
        <f aca="false">HLOOKUP(C1054,Regions!$B$1:$S$2,2,FALSE())</f>
        <v>EU</v>
      </c>
      <c r="J1054" s="7" t="n">
        <f aca="false">E1054*F1054</f>
        <v>177.6</v>
      </c>
      <c r="K1054" s="8" t="n">
        <f aca="false">IF(H1054="","",1-F1054/H1054)</f>
        <v>0.119047619047619</v>
      </c>
    </row>
    <row r="1055" customFormat="false" ht="15" hidden="false" customHeight="false" outlineLevel="0" collapsed="false">
      <c r="A1055" s="0" t="s">
        <v>682</v>
      </c>
      <c r="B1055" s="6" t="n">
        <v>40884.6361111111</v>
      </c>
      <c r="C1055" s="0" t="s">
        <v>683</v>
      </c>
      <c r="D1055" s="0" t="s">
        <v>82</v>
      </c>
      <c r="E1055" s="0" t="n">
        <v>1440</v>
      </c>
      <c r="F1055" s="0" t="n">
        <v>1.79</v>
      </c>
      <c r="G1055" s="7" t="str">
        <f aca="false">_xlfn.XLOOKUP(D1055,Catalog!$B$2:$B$4102,Catalog!$A$2:$A$4102,"NOT IN CATALOG")</f>
        <v>NOT IN CATALOG</v>
      </c>
      <c r="H1055" s="7" t="str">
        <f aca="false">_xlfn.IFNA(VLOOKUP(D1055,Catalog!$B$2:$C$4102,2,FALSE()),"")</f>
        <v/>
      </c>
      <c r="I1055" s="7" t="str">
        <f aca="false">HLOOKUP(C1055,Regions!$B$1:$S$2,2,FALSE())</f>
        <v>EU</v>
      </c>
      <c r="J1055" s="7" t="n">
        <f aca="false">E1055*F1055</f>
        <v>2577.6</v>
      </c>
      <c r="K1055" s="8" t="str">
        <f aca="false">IF(H1055="","",1-F1055/H1055)</f>
        <v/>
      </c>
    </row>
    <row r="1056" customFormat="false" ht="15" hidden="false" customHeight="false" outlineLevel="0" collapsed="false">
      <c r="A1056" s="0" t="s">
        <v>682</v>
      </c>
      <c r="B1056" s="6" t="n">
        <v>40884.6361111111</v>
      </c>
      <c r="C1056" s="0" t="s">
        <v>683</v>
      </c>
      <c r="D1056" s="0" t="s">
        <v>584</v>
      </c>
      <c r="E1056" s="0" t="n">
        <v>96</v>
      </c>
      <c r="F1056" s="0" t="n">
        <v>0.19</v>
      </c>
      <c r="G1056" s="7" t="str">
        <f aca="false">_xlfn.XLOOKUP(D1056,Catalog!$B$2:$B$4102,Catalog!$A$2:$A$4102,"NOT IN CATALOG")</f>
        <v>PARTY PIZZA DISH RED RETROSPOT</v>
      </c>
      <c r="H1056" s="7" t="n">
        <f aca="false">_xlfn.IFNA(VLOOKUP(D1056,Catalog!$B$2:$C$4102,2,FALSE()),"")</f>
        <v>0.85</v>
      </c>
      <c r="I1056" s="7" t="str">
        <f aca="false">HLOOKUP(C1056,Regions!$B$1:$S$2,2,FALSE())</f>
        <v>EU</v>
      </c>
      <c r="J1056" s="7" t="n">
        <f aca="false">E1056*F1056</f>
        <v>18.24</v>
      </c>
      <c r="K1056" s="8" t="n">
        <f aca="false">IF(H1056="","",1-F1056/H1056)</f>
        <v>0.776470588235294</v>
      </c>
    </row>
    <row r="1057" customFormat="false" ht="15" hidden="false" customHeight="false" outlineLevel="0" collapsed="false">
      <c r="A1057" s="0" t="s">
        <v>709</v>
      </c>
      <c r="B1057" s="6" t="n">
        <v>40884.6381944444</v>
      </c>
      <c r="C1057" s="0" t="s">
        <v>683</v>
      </c>
      <c r="D1057" s="0" t="s">
        <v>267</v>
      </c>
      <c r="E1057" s="0" t="n">
        <v>72</v>
      </c>
      <c r="F1057" s="0" t="n">
        <v>1.45</v>
      </c>
      <c r="G1057" s="7" t="str">
        <f aca="false">_xlfn.XLOOKUP(D1057,Catalog!$B$2:$B$4102,Catalog!$A$2:$A$4102,"NOT IN CATALOG")</f>
        <v>WOODEN SCHOOL COLOURING SET</v>
      </c>
      <c r="H1057" s="7" t="n">
        <f aca="false">_xlfn.IFNA(VLOOKUP(D1057,Catalog!$B$2:$C$4102,2,FALSE()),"")</f>
        <v>1.65</v>
      </c>
      <c r="I1057" s="7" t="str">
        <f aca="false">HLOOKUP(C1057,Regions!$B$1:$S$2,2,FALSE())</f>
        <v>EU</v>
      </c>
      <c r="J1057" s="7" t="n">
        <f aca="false">E1057*F1057</f>
        <v>104.4</v>
      </c>
      <c r="K1057" s="8" t="n">
        <f aca="false">IF(H1057="","",1-F1057/H1057)</f>
        <v>0.121212121212121</v>
      </c>
    </row>
    <row r="1058" customFormat="false" ht="15" hidden="false" customHeight="false" outlineLevel="0" collapsed="false">
      <c r="A1058" s="0" t="s">
        <v>709</v>
      </c>
      <c r="B1058" s="6" t="n">
        <v>40884.6381944444</v>
      </c>
      <c r="C1058" s="0" t="s">
        <v>683</v>
      </c>
      <c r="D1058" s="0" t="s">
        <v>710</v>
      </c>
      <c r="E1058" s="0" t="n">
        <v>16</v>
      </c>
      <c r="F1058" s="0" t="n">
        <v>5.95</v>
      </c>
      <c r="G1058" s="7" t="str">
        <f aca="false">_xlfn.XLOOKUP(D1058,Catalog!$B$2:$B$4102,Catalog!$A$2:$A$4102,"NOT IN CATALOG")</f>
        <v>SWEETHEART RECIPE BOOK STAND</v>
      </c>
      <c r="H1058" s="7" t="n">
        <f aca="false">_xlfn.IFNA(VLOOKUP(D1058,Catalog!$B$2:$C$4102,2,FALSE()),"")</f>
        <v>6.75</v>
      </c>
      <c r="I1058" s="7" t="str">
        <f aca="false">HLOOKUP(C1058,Regions!$B$1:$S$2,2,FALSE())</f>
        <v>EU</v>
      </c>
      <c r="J1058" s="7" t="n">
        <f aca="false">E1058*F1058</f>
        <v>95.2</v>
      </c>
      <c r="K1058" s="8" t="n">
        <f aca="false">IF(H1058="","",1-F1058/H1058)</f>
        <v>0.118518518518518</v>
      </c>
    </row>
    <row r="1059" customFormat="false" ht="15" hidden="false" customHeight="false" outlineLevel="0" collapsed="false">
      <c r="A1059" s="0" t="s">
        <v>709</v>
      </c>
      <c r="B1059" s="6" t="n">
        <v>40884.6381944444</v>
      </c>
      <c r="C1059" s="0" t="s">
        <v>683</v>
      </c>
      <c r="D1059" s="0" t="s">
        <v>711</v>
      </c>
      <c r="E1059" s="0" t="n">
        <v>12</v>
      </c>
      <c r="F1059" s="0" t="n">
        <v>6.65</v>
      </c>
      <c r="G1059" s="7" t="str">
        <f aca="false">_xlfn.XLOOKUP(D1059,Catalog!$B$2:$B$4102,Catalog!$A$2:$A$4102,"NOT IN CATALOG")</f>
        <v>NOT IN CATALOG</v>
      </c>
      <c r="H1059" s="7" t="str">
        <f aca="false">_xlfn.IFNA(VLOOKUP(D1059,Catalog!$B$2:$C$4102,2,FALSE()),"")</f>
        <v/>
      </c>
      <c r="I1059" s="7" t="str">
        <f aca="false">HLOOKUP(C1059,Regions!$B$1:$S$2,2,FALSE())</f>
        <v>EU</v>
      </c>
      <c r="J1059" s="7" t="n">
        <f aca="false">E1059*F1059</f>
        <v>79.8</v>
      </c>
      <c r="K1059" s="8" t="str">
        <f aca="false">IF(H1059="","",1-F1059/H1059)</f>
        <v/>
      </c>
    </row>
    <row r="1060" customFormat="false" ht="15" hidden="false" customHeight="false" outlineLevel="0" collapsed="false">
      <c r="A1060" s="0" t="s">
        <v>709</v>
      </c>
      <c r="B1060" s="6" t="n">
        <v>40884.6381944444</v>
      </c>
      <c r="C1060" s="0" t="s">
        <v>683</v>
      </c>
      <c r="D1060" s="0" t="s">
        <v>676</v>
      </c>
      <c r="E1060" s="0" t="n">
        <v>16</v>
      </c>
      <c r="F1060" s="0" t="n">
        <v>6.65</v>
      </c>
      <c r="G1060" s="7" t="str">
        <f aca="false">_xlfn.XLOOKUP(D1060,Catalog!$B$2:$B$4102,Catalog!$A$2:$A$4102,"NOT IN CATALOG")</f>
        <v>NOT IN CATALOG</v>
      </c>
      <c r="H1060" s="7" t="str">
        <f aca="false">_xlfn.IFNA(VLOOKUP(D1060,Catalog!$B$2:$C$4102,2,FALSE()),"")</f>
        <v/>
      </c>
      <c r="I1060" s="7" t="str">
        <f aca="false">HLOOKUP(C1060,Regions!$B$1:$S$2,2,FALSE())</f>
        <v>EU</v>
      </c>
      <c r="J1060" s="7" t="n">
        <f aca="false">E1060*F1060</f>
        <v>106.4</v>
      </c>
      <c r="K1060" s="8" t="str">
        <f aca="false">IF(H1060="","",1-F1060/H1060)</f>
        <v/>
      </c>
    </row>
    <row r="1061" customFormat="false" ht="15" hidden="false" customHeight="false" outlineLevel="0" collapsed="false">
      <c r="A1061" s="0" t="s">
        <v>709</v>
      </c>
      <c r="B1061" s="6" t="n">
        <v>40884.6381944444</v>
      </c>
      <c r="C1061" s="0" t="s">
        <v>683</v>
      </c>
      <c r="D1061" s="0" t="s">
        <v>168</v>
      </c>
      <c r="E1061" s="0" t="n">
        <v>96</v>
      </c>
      <c r="F1061" s="0" t="n">
        <v>0.72</v>
      </c>
      <c r="G1061" s="7" t="str">
        <f aca="false">_xlfn.XLOOKUP(D1061,Catalog!$B$2:$B$4102,Catalog!$A$2:$A$4102,"NOT IN CATALOG")</f>
        <v>PACK OF 20 NAPKINS RED APPLES</v>
      </c>
      <c r="H1061" s="7" t="n">
        <f aca="false">_xlfn.IFNA(VLOOKUP(D1061,Catalog!$B$2:$C$4102,2,FALSE()),"")</f>
        <v>0.85</v>
      </c>
      <c r="I1061" s="7" t="str">
        <f aca="false">HLOOKUP(C1061,Regions!$B$1:$S$2,2,FALSE())</f>
        <v>EU</v>
      </c>
      <c r="J1061" s="7" t="n">
        <f aca="false">E1061*F1061</f>
        <v>69.12</v>
      </c>
      <c r="K1061" s="8" t="n">
        <f aca="false">IF(H1061="","",1-F1061/H1061)</f>
        <v>0.152941176470588</v>
      </c>
    </row>
    <row r="1062" customFormat="false" ht="15" hidden="false" customHeight="false" outlineLevel="0" collapsed="false">
      <c r="A1062" s="0" t="s">
        <v>709</v>
      </c>
      <c r="B1062" s="6" t="n">
        <v>40884.6381944444</v>
      </c>
      <c r="C1062" s="0" t="s">
        <v>683</v>
      </c>
      <c r="D1062" s="0" t="s">
        <v>178</v>
      </c>
      <c r="E1062" s="0" t="n">
        <v>96</v>
      </c>
      <c r="F1062" s="0" t="n">
        <v>0.72</v>
      </c>
      <c r="G1062" s="7" t="str">
        <f aca="false">_xlfn.XLOOKUP(D1062,Catalog!$B$2:$B$4102,Catalog!$A$2:$A$4102,"NOT IN CATALOG")</f>
        <v>PACK OF 20 NAPKINS PANTRY DESIGN</v>
      </c>
      <c r="H1062" s="7" t="n">
        <f aca="false">_xlfn.IFNA(VLOOKUP(D1062,Catalog!$B$2:$C$4102,2,FALSE()),"")</f>
        <v>0.85</v>
      </c>
      <c r="I1062" s="7" t="str">
        <f aca="false">HLOOKUP(C1062,Regions!$B$1:$S$2,2,FALSE())</f>
        <v>EU</v>
      </c>
      <c r="J1062" s="7" t="n">
        <f aca="false">E1062*F1062</f>
        <v>69.12</v>
      </c>
      <c r="K1062" s="8" t="n">
        <f aca="false">IF(H1062="","",1-F1062/H1062)</f>
        <v>0.152941176470588</v>
      </c>
    </row>
    <row r="1063" customFormat="false" ht="15" hidden="false" customHeight="false" outlineLevel="0" collapsed="false">
      <c r="A1063" s="0" t="s">
        <v>709</v>
      </c>
      <c r="B1063" s="6" t="n">
        <v>40884.6381944444</v>
      </c>
      <c r="C1063" s="0" t="s">
        <v>683</v>
      </c>
      <c r="D1063" s="0" t="s">
        <v>308</v>
      </c>
      <c r="E1063" s="0" t="n">
        <v>72</v>
      </c>
      <c r="F1063" s="0" t="n">
        <v>0.36</v>
      </c>
      <c r="G1063" s="7" t="str">
        <f aca="false">_xlfn.XLOOKUP(D1063,Catalog!$B$2:$B$4102,Catalog!$A$2:$A$4102,"NOT IN CATALOG")</f>
        <v>SPACEBOY BIRTHDAY CARD</v>
      </c>
      <c r="H1063" s="7" t="n">
        <f aca="false">_xlfn.IFNA(VLOOKUP(D1063,Catalog!$B$2:$C$4102,2,FALSE()),"")</f>
        <v>0.42</v>
      </c>
      <c r="I1063" s="7" t="str">
        <f aca="false">HLOOKUP(C1063,Regions!$B$1:$S$2,2,FALSE())</f>
        <v>EU</v>
      </c>
      <c r="J1063" s="7" t="n">
        <f aca="false">E1063*F1063</f>
        <v>25.92</v>
      </c>
      <c r="K1063" s="8" t="n">
        <f aca="false">IF(H1063="","",1-F1063/H1063)</f>
        <v>0.142857142857143</v>
      </c>
    </row>
    <row r="1064" customFormat="false" ht="15" hidden="false" customHeight="false" outlineLevel="0" collapsed="false">
      <c r="A1064" s="0" t="s">
        <v>709</v>
      </c>
      <c r="B1064" s="6" t="n">
        <v>40884.6381944444</v>
      </c>
      <c r="C1064" s="0" t="s">
        <v>683</v>
      </c>
      <c r="D1064" s="0" t="s">
        <v>170</v>
      </c>
      <c r="E1064" s="0" t="n">
        <v>72</v>
      </c>
      <c r="F1064" s="0" t="n">
        <v>0.36</v>
      </c>
      <c r="G1064" s="7" t="str">
        <f aca="false">_xlfn.XLOOKUP(D1064,Catalog!$B$2:$B$4102,Catalog!$A$2:$A$4102,"NOT IN CATALOG")</f>
        <v>CARD DOLLY GIRL</v>
      </c>
      <c r="H1064" s="7" t="n">
        <f aca="false">_xlfn.IFNA(VLOOKUP(D1064,Catalog!$B$2:$C$4102,2,FALSE()),"")</f>
        <v>0.42</v>
      </c>
      <c r="I1064" s="7" t="str">
        <f aca="false">HLOOKUP(C1064,Regions!$B$1:$S$2,2,FALSE())</f>
        <v>EU</v>
      </c>
      <c r="J1064" s="7" t="n">
        <f aca="false">E1064*F1064</f>
        <v>25.92</v>
      </c>
      <c r="K1064" s="8" t="n">
        <f aca="false">IF(H1064="","",1-F1064/H1064)</f>
        <v>0.142857142857143</v>
      </c>
    </row>
    <row r="1065" customFormat="false" ht="15" hidden="false" customHeight="false" outlineLevel="0" collapsed="false">
      <c r="A1065" s="0" t="s">
        <v>712</v>
      </c>
      <c r="B1065" s="6" t="n">
        <v>40884.6548611111</v>
      </c>
      <c r="C1065" s="0" t="s">
        <v>29</v>
      </c>
      <c r="D1065" s="0" t="s">
        <v>83</v>
      </c>
      <c r="E1065" s="0" t="n">
        <v>60</v>
      </c>
      <c r="F1065" s="0" t="n">
        <v>1.65</v>
      </c>
      <c r="G1065" s="7" t="str">
        <f aca="false">_xlfn.XLOOKUP(D1065,Catalog!$B$2:$B$4102,Catalog!$A$2:$A$4102,"NOT IN CATALOG")</f>
        <v>RED TOADSTOOL LED NIGHT LIGHT</v>
      </c>
      <c r="H1065" s="7" t="n">
        <f aca="false">_xlfn.IFNA(VLOOKUP(D1065,Catalog!$B$2:$C$4102,2,FALSE()),"")</f>
        <v>1.65</v>
      </c>
      <c r="I1065" s="7" t="str">
        <f aca="false">HLOOKUP(C1065,Regions!$B$1:$S$2,2,FALSE())</f>
        <v>EU</v>
      </c>
      <c r="J1065" s="7" t="n">
        <f aca="false">E1065*F1065</f>
        <v>99</v>
      </c>
      <c r="K1065" s="8" t="n">
        <f aca="false">IF(H1065="","",1-F1065/H1065)</f>
        <v>0</v>
      </c>
    </row>
    <row r="1066" customFormat="false" ht="15" hidden="false" customHeight="false" outlineLevel="0" collapsed="false">
      <c r="A1066" s="0" t="s">
        <v>712</v>
      </c>
      <c r="B1066" s="6" t="n">
        <v>40884.6548611111</v>
      </c>
      <c r="C1066" s="0" t="s">
        <v>29</v>
      </c>
      <c r="D1066" s="0" t="s">
        <v>31</v>
      </c>
      <c r="E1066" s="0" t="n">
        <v>48</v>
      </c>
      <c r="F1066" s="0" t="n">
        <v>1.25</v>
      </c>
      <c r="G1066" s="7" t="str">
        <f aca="false">_xlfn.XLOOKUP(D1066,Catalog!$B$2:$B$4102,Catalog!$A$2:$A$4102,"NOT IN CATALOG")</f>
        <v>STRAWBERRY CERAMIC TRINKET BOX</v>
      </c>
      <c r="H1066" s="7" t="n">
        <f aca="false">_xlfn.IFNA(VLOOKUP(D1066,Catalog!$B$2:$C$4102,2,FALSE()),"")</f>
        <v>1.25</v>
      </c>
      <c r="I1066" s="7" t="str">
        <f aca="false">HLOOKUP(C1066,Regions!$B$1:$S$2,2,FALSE())</f>
        <v>EU</v>
      </c>
      <c r="J1066" s="7" t="n">
        <f aca="false">E1066*F1066</f>
        <v>60</v>
      </c>
      <c r="K1066" s="8" t="n">
        <f aca="false">IF(H1066="","",1-F1066/H1066)</f>
        <v>0</v>
      </c>
    </row>
    <row r="1067" customFormat="false" ht="15" hidden="false" customHeight="false" outlineLevel="0" collapsed="false">
      <c r="A1067" s="0" t="s">
        <v>712</v>
      </c>
      <c r="B1067" s="6" t="n">
        <v>40884.6548611111</v>
      </c>
      <c r="C1067" s="0" t="s">
        <v>29</v>
      </c>
      <c r="D1067" s="0" t="s">
        <v>54</v>
      </c>
      <c r="E1067" s="0" t="n">
        <v>64</v>
      </c>
      <c r="F1067" s="0" t="n">
        <v>10.95</v>
      </c>
      <c r="G1067" s="7" t="str">
        <f aca="false">_xlfn.XLOOKUP(D1067,Catalog!$B$2:$B$4102,Catalog!$A$2:$A$4102,"NOT IN CATALOG")</f>
        <v>REGENCY CAKESTAND 3 TIER</v>
      </c>
      <c r="H1067" s="7" t="n">
        <f aca="false">_xlfn.IFNA(VLOOKUP(D1067,Catalog!$B$2:$C$4102,2,FALSE()),"")</f>
        <v>12.75</v>
      </c>
      <c r="I1067" s="7" t="str">
        <f aca="false">HLOOKUP(C1067,Regions!$B$1:$S$2,2,FALSE())</f>
        <v>EU</v>
      </c>
      <c r="J1067" s="7" t="n">
        <f aca="false">E1067*F1067</f>
        <v>700.8</v>
      </c>
      <c r="K1067" s="8" t="n">
        <f aca="false">IF(H1067="","",1-F1067/H1067)</f>
        <v>0.141176470588235</v>
      </c>
    </row>
    <row r="1068" customFormat="false" ht="15" hidden="false" customHeight="false" outlineLevel="0" collapsed="false">
      <c r="A1068" s="0" t="s">
        <v>712</v>
      </c>
      <c r="B1068" s="6" t="n">
        <v>40884.6548611111</v>
      </c>
      <c r="C1068" s="0" t="s">
        <v>29</v>
      </c>
      <c r="D1068" s="0" t="s">
        <v>243</v>
      </c>
      <c r="E1068" s="0" t="n">
        <v>24</v>
      </c>
      <c r="F1068" s="0" t="n">
        <v>1.65</v>
      </c>
      <c r="G1068" s="7" t="str">
        <f aca="false">_xlfn.XLOOKUP(D1068,Catalog!$B$2:$B$4102,Catalog!$A$2:$A$4102,"NOT IN CATALOG")</f>
        <v>PLASTERS IN TIN WOODLAND ANIMALS</v>
      </c>
      <c r="H1068" s="7" t="n">
        <f aca="false">_xlfn.IFNA(VLOOKUP(D1068,Catalog!$B$2:$C$4102,2,FALSE()),"")</f>
        <v>1.65</v>
      </c>
      <c r="I1068" s="7" t="str">
        <f aca="false">HLOOKUP(C1068,Regions!$B$1:$S$2,2,FALSE())</f>
        <v>EU</v>
      </c>
      <c r="J1068" s="7" t="n">
        <f aca="false">E1068*F1068</f>
        <v>39.6</v>
      </c>
      <c r="K1068" s="8" t="n">
        <f aca="false">IF(H1068="","",1-F1068/H1068)</f>
        <v>0</v>
      </c>
    </row>
    <row r="1069" customFormat="false" ht="15" hidden="false" customHeight="false" outlineLevel="0" collapsed="false">
      <c r="A1069" s="0" t="s">
        <v>712</v>
      </c>
      <c r="B1069" s="6" t="n">
        <v>40884.6548611111</v>
      </c>
      <c r="C1069" s="0" t="s">
        <v>29</v>
      </c>
      <c r="D1069" s="0" t="s">
        <v>151</v>
      </c>
      <c r="E1069" s="0" t="n">
        <v>24</v>
      </c>
      <c r="F1069" s="0" t="n">
        <v>1.65</v>
      </c>
      <c r="G1069" s="7" t="str">
        <f aca="false">_xlfn.XLOOKUP(D1069,Catalog!$B$2:$B$4102,Catalog!$A$2:$A$4102,"NOT IN CATALOG")</f>
        <v>PLASTERS IN TIN CIRCUS PARADE</v>
      </c>
      <c r="H1069" s="7" t="n">
        <f aca="false">_xlfn.IFNA(VLOOKUP(D1069,Catalog!$B$2:$C$4102,2,FALSE()),"")</f>
        <v>1.65</v>
      </c>
      <c r="I1069" s="7" t="str">
        <f aca="false">HLOOKUP(C1069,Regions!$B$1:$S$2,2,FALSE())</f>
        <v>EU</v>
      </c>
      <c r="J1069" s="7" t="n">
        <f aca="false">E1069*F1069</f>
        <v>39.6</v>
      </c>
      <c r="K1069" s="8" t="n">
        <f aca="false">IF(H1069="","",1-F1069/H1069)</f>
        <v>0</v>
      </c>
    </row>
    <row r="1070" customFormat="false" ht="15" hidden="false" customHeight="false" outlineLevel="0" collapsed="false">
      <c r="A1070" s="0" t="s">
        <v>712</v>
      </c>
      <c r="B1070" s="6" t="n">
        <v>40884.6548611111</v>
      </c>
      <c r="C1070" s="0" t="s">
        <v>29</v>
      </c>
      <c r="D1070" s="0" t="s">
        <v>713</v>
      </c>
      <c r="E1070" s="0" t="n">
        <v>36</v>
      </c>
      <c r="F1070" s="0" t="n">
        <v>1.65</v>
      </c>
      <c r="G1070" s="7" t="str">
        <f aca="false">_xlfn.XLOOKUP(D1070,Catalog!$B$2:$B$4102,Catalog!$A$2:$A$4102,"NOT IN CATALOG")</f>
        <v>TRADITIONAL KNITTING NANCY</v>
      </c>
      <c r="H1070" s="7" t="n">
        <f aca="false">_xlfn.IFNA(VLOOKUP(D1070,Catalog!$B$2:$C$4102,2,FALSE()),"")</f>
        <v>1.45</v>
      </c>
      <c r="I1070" s="7" t="str">
        <f aca="false">HLOOKUP(C1070,Regions!$B$1:$S$2,2,FALSE())</f>
        <v>EU</v>
      </c>
      <c r="J1070" s="7" t="n">
        <f aca="false">E1070*F1070</f>
        <v>59.4</v>
      </c>
      <c r="K1070" s="8" t="n">
        <f aca="false">IF(H1070="","",1-F1070/H1070)</f>
        <v>-0.137931034482759</v>
      </c>
    </row>
    <row r="1071" customFormat="false" ht="15" hidden="false" customHeight="false" outlineLevel="0" collapsed="false">
      <c r="A1071" s="0" t="s">
        <v>712</v>
      </c>
      <c r="B1071" s="6" t="n">
        <v>40884.6548611111</v>
      </c>
      <c r="C1071" s="0" t="s">
        <v>29</v>
      </c>
      <c r="D1071" s="0" t="s">
        <v>89</v>
      </c>
      <c r="E1071" s="0" t="n">
        <v>48</v>
      </c>
      <c r="F1071" s="0" t="n">
        <v>0.42</v>
      </c>
      <c r="G1071" s="7" t="str">
        <f aca="false">_xlfn.XLOOKUP(D1071,Catalog!$B$2:$B$4102,Catalog!$A$2:$A$4102,"NOT IN CATALOG")</f>
        <v>LIPSTICK PEN RED</v>
      </c>
      <c r="H1071" s="7" t="n">
        <f aca="false">_xlfn.IFNA(VLOOKUP(D1071,Catalog!$B$2:$C$4102,2,FALSE()),"")</f>
        <v>0.42</v>
      </c>
      <c r="I1071" s="7" t="str">
        <f aca="false">HLOOKUP(C1071,Regions!$B$1:$S$2,2,FALSE())</f>
        <v>EU</v>
      </c>
      <c r="J1071" s="7" t="n">
        <f aca="false">E1071*F1071</f>
        <v>20.16</v>
      </c>
      <c r="K1071" s="8" t="n">
        <f aca="false">IF(H1071="","",1-F1071/H1071)</f>
        <v>0</v>
      </c>
    </row>
    <row r="1072" customFormat="false" ht="15" hidden="false" customHeight="false" outlineLevel="0" collapsed="false">
      <c r="A1072" s="0" t="s">
        <v>712</v>
      </c>
      <c r="B1072" s="6" t="n">
        <v>40884.6548611111</v>
      </c>
      <c r="C1072" s="0" t="s">
        <v>29</v>
      </c>
      <c r="D1072" s="0" t="s">
        <v>65</v>
      </c>
      <c r="E1072" s="0" t="n">
        <v>16</v>
      </c>
      <c r="F1072" s="0" t="n">
        <v>3.75</v>
      </c>
      <c r="G1072" s="7" t="str">
        <f aca="false">_xlfn.XLOOKUP(D1072,Catalog!$B$2:$B$4102,Catalog!$A$2:$A$4102,"NOT IN CATALOG")</f>
        <v>ALARM CLOCK BAKELIKE PINK</v>
      </c>
      <c r="H1072" s="7" t="n">
        <f aca="false">_xlfn.IFNA(VLOOKUP(D1072,Catalog!$B$2:$C$4102,2,FALSE()),"")</f>
        <v>3.75</v>
      </c>
      <c r="I1072" s="7" t="str">
        <f aca="false">HLOOKUP(C1072,Regions!$B$1:$S$2,2,FALSE())</f>
        <v>EU</v>
      </c>
      <c r="J1072" s="7" t="n">
        <f aca="false">E1072*F1072</f>
        <v>60</v>
      </c>
      <c r="K1072" s="8" t="n">
        <f aca="false">IF(H1072="","",1-F1072/H1072)</f>
        <v>0</v>
      </c>
    </row>
    <row r="1073" customFormat="false" ht="15" hidden="false" customHeight="false" outlineLevel="0" collapsed="false">
      <c r="A1073" s="0" t="s">
        <v>712</v>
      </c>
      <c r="B1073" s="6" t="n">
        <v>40884.6548611111</v>
      </c>
      <c r="C1073" s="0" t="s">
        <v>29</v>
      </c>
      <c r="D1073" s="0" t="s">
        <v>565</v>
      </c>
      <c r="E1073" s="0" t="n">
        <v>24</v>
      </c>
      <c r="F1073" s="0" t="n">
        <v>1.45</v>
      </c>
      <c r="G1073" s="7" t="str">
        <f aca="false">_xlfn.XLOOKUP(D1073,Catalog!$B$2:$B$4102,Catalog!$A$2:$A$4102,"NOT IN CATALOG")</f>
        <v>JAM MAKING SET PRINTED</v>
      </c>
      <c r="H1073" s="7" t="n">
        <f aca="false">_xlfn.IFNA(VLOOKUP(D1073,Catalog!$B$2:$C$4102,2,FALSE()),"")</f>
        <v>1.45</v>
      </c>
      <c r="I1073" s="7" t="str">
        <f aca="false">HLOOKUP(C1073,Regions!$B$1:$S$2,2,FALSE())</f>
        <v>EU</v>
      </c>
      <c r="J1073" s="7" t="n">
        <f aca="false">E1073*F1073</f>
        <v>34.8</v>
      </c>
      <c r="K1073" s="8" t="n">
        <f aca="false">IF(H1073="","",1-F1073/H1073)</f>
        <v>0</v>
      </c>
    </row>
    <row r="1074" customFormat="false" ht="15" hidden="false" customHeight="false" outlineLevel="0" collapsed="false">
      <c r="A1074" s="0" t="s">
        <v>712</v>
      </c>
      <c r="B1074" s="6" t="n">
        <v>40884.6548611111</v>
      </c>
      <c r="C1074" s="0" t="s">
        <v>29</v>
      </c>
      <c r="D1074" s="0" t="s">
        <v>232</v>
      </c>
      <c r="E1074" s="0" t="n">
        <v>24</v>
      </c>
      <c r="F1074" s="0" t="n">
        <v>2.08</v>
      </c>
      <c r="G1074" s="7" t="str">
        <f aca="false">_xlfn.XLOOKUP(D1074,Catalog!$B$2:$B$4102,Catalog!$A$2:$A$4102,"NOT IN CATALOG")</f>
        <v>NOT IN CATALOG</v>
      </c>
      <c r="H1074" s="7" t="str">
        <f aca="false">_xlfn.IFNA(VLOOKUP(D1074,Catalog!$B$2:$C$4102,2,FALSE()),"")</f>
        <v/>
      </c>
      <c r="I1074" s="7" t="str">
        <f aca="false">HLOOKUP(C1074,Regions!$B$1:$S$2,2,FALSE())</f>
        <v>EU</v>
      </c>
      <c r="J1074" s="7" t="n">
        <f aca="false">E1074*F1074</f>
        <v>49.92</v>
      </c>
      <c r="K1074" s="8" t="str">
        <f aca="false">IF(H1074="","",1-F1074/H1074)</f>
        <v/>
      </c>
    </row>
    <row r="1075" customFormat="false" ht="15" hidden="false" customHeight="false" outlineLevel="0" collapsed="false">
      <c r="A1075" s="0" t="s">
        <v>712</v>
      </c>
      <c r="B1075" s="6" t="n">
        <v>40884.6548611111</v>
      </c>
      <c r="C1075" s="0" t="s">
        <v>29</v>
      </c>
      <c r="D1075" s="0" t="s">
        <v>453</v>
      </c>
      <c r="E1075" s="0" t="n">
        <v>32</v>
      </c>
      <c r="F1075" s="0" t="n">
        <v>0.83</v>
      </c>
      <c r="G1075" s="7" t="str">
        <f aca="false">_xlfn.XLOOKUP(D1075,Catalog!$B$2:$B$4102,Catalog!$A$2:$A$4102,"NOT IN CATALOG")</f>
        <v>NOT IN CATALOG</v>
      </c>
      <c r="H1075" s="7" t="str">
        <f aca="false">_xlfn.IFNA(VLOOKUP(D1075,Catalog!$B$2:$C$4102,2,FALSE()),"")</f>
        <v/>
      </c>
      <c r="I1075" s="7" t="str">
        <f aca="false">HLOOKUP(C1075,Regions!$B$1:$S$2,2,FALSE())</f>
        <v>EU</v>
      </c>
      <c r="J1075" s="7" t="n">
        <f aca="false">E1075*F1075</f>
        <v>26.56</v>
      </c>
      <c r="K1075" s="8" t="str">
        <f aca="false">IF(H1075="","",1-F1075/H1075)</f>
        <v/>
      </c>
    </row>
    <row r="1076" customFormat="false" ht="15" hidden="false" customHeight="false" outlineLevel="0" collapsed="false">
      <c r="A1076" s="0" t="s">
        <v>712</v>
      </c>
      <c r="B1076" s="6" t="n">
        <v>40884.6548611111</v>
      </c>
      <c r="C1076" s="0" t="s">
        <v>29</v>
      </c>
      <c r="D1076" s="0" t="s">
        <v>571</v>
      </c>
      <c r="E1076" s="0" t="n">
        <v>16</v>
      </c>
      <c r="F1076" s="0" t="n">
        <v>0.83</v>
      </c>
      <c r="G1076" s="7" t="str">
        <f aca="false">_xlfn.XLOOKUP(D1076,Catalog!$B$2:$B$4102,Catalog!$A$2:$A$4102,"NOT IN CATALOG")</f>
        <v>NOT IN CATALOG</v>
      </c>
      <c r="H1076" s="7" t="str">
        <f aca="false">_xlfn.IFNA(VLOOKUP(D1076,Catalog!$B$2:$C$4102,2,FALSE()),"")</f>
        <v/>
      </c>
      <c r="I1076" s="7" t="str">
        <f aca="false">HLOOKUP(C1076,Regions!$B$1:$S$2,2,FALSE())</f>
        <v>EU</v>
      </c>
      <c r="J1076" s="7" t="n">
        <f aca="false">E1076*F1076</f>
        <v>13.28</v>
      </c>
      <c r="K1076" s="8" t="str">
        <f aca="false">IF(H1076="","",1-F1076/H1076)</f>
        <v/>
      </c>
    </row>
    <row r="1077" customFormat="false" ht="15" hidden="false" customHeight="false" outlineLevel="0" collapsed="false">
      <c r="A1077" s="0" t="s">
        <v>712</v>
      </c>
      <c r="B1077" s="6" t="n">
        <v>40884.6548611111</v>
      </c>
      <c r="C1077" s="0" t="s">
        <v>29</v>
      </c>
      <c r="D1077" s="0" t="s">
        <v>70</v>
      </c>
      <c r="E1077" s="0" t="n">
        <v>4</v>
      </c>
      <c r="F1077" s="0" t="n">
        <v>4.15</v>
      </c>
      <c r="G1077" s="7" t="str">
        <f aca="false">_xlfn.XLOOKUP(D1077,Catalog!$B$2:$B$4102,Catalog!$A$2:$A$4102,"NOT IN CATALOG")</f>
        <v>NOT IN CATALOG</v>
      </c>
      <c r="H1077" s="7" t="str">
        <f aca="false">_xlfn.IFNA(VLOOKUP(D1077,Catalog!$B$2:$C$4102,2,FALSE()),"")</f>
        <v/>
      </c>
      <c r="I1077" s="7" t="str">
        <f aca="false">HLOOKUP(C1077,Regions!$B$1:$S$2,2,FALSE())</f>
        <v>EU</v>
      </c>
      <c r="J1077" s="7" t="n">
        <f aca="false">E1077*F1077</f>
        <v>16.6</v>
      </c>
      <c r="K1077" s="8" t="str">
        <f aca="false">IF(H1077="","",1-F1077/H1077)</f>
        <v/>
      </c>
    </row>
    <row r="1078" customFormat="false" ht="15" hidden="false" customHeight="false" outlineLevel="0" collapsed="false">
      <c r="A1078" s="0" t="s">
        <v>712</v>
      </c>
      <c r="B1078" s="6" t="n">
        <v>40884.6548611111</v>
      </c>
      <c r="C1078" s="0" t="s">
        <v>29</v>
      </c>
      <c r="D1078" s="0" t="s">
        <v>261</v>
      </c>
      <c r="E1078" s="0" t="n">
        <v>24</v>
      </c>
      <c r="F1078" s="0" t="n">
        <v>1.45</v>
      </c>
      <c r="G1078" s="7" t="str">
        <f aca="false">_xlfn.XLOOKUP(D1078,Catalog!$B$2:$B$4102,Catalog!$A$2:$A$4102,"NOT IN CATALOG")</f>
        <v>NOT IN CATALOG</v>
      </c>
      <c r="H1078" s="7" t="str">
        <f aca="false">_xlfn.IFNA(VLOOKUP(D1078,Catalog!$B$2:$C$4102,2,FALSE()),"")</f>
        <v/>
      </c>
      <c r="I1078" s="7" t="str">
        <f aca="false">HLOOKUP(C1078,Regions!$B$1:$S$2,2,FALSE())</f>
        <v>EU</v>
      </c>
      <c r="J1078" s="7" t="n">
        <f aca="false">E1078*F1078</f>
        <v>34.8</v>
      </c>
      <c r="K1078" s="8" t="str">
        <f aca="false">IF(H1078="","",1-F1078/H1078)</f>
        <v/>
      </c>
    </row>
    <row r="1079" customFormat="false" ht="15" hidden="false" customHeight="false" outlineLevel="0" collapsed="false">
      <c r="A1079" s="0" t="s">
        <v>712</v>
      </c>
      <c r="B1079" s="6" t="n">
        <v>40884.6548611111</v>
      </c>
      <c r="C1079" s="0" t="s">
        <v>29</v>
      </c>
      <c r="D1079" s="0" t="s">
        <v>714</v>
      </c>
      <c r="E1079" s="0" t="n">
        <v>24</v>
      </c>
      <c r="F1079" s="0" t="n">
        <v>1.45</v>
      </c>
      <c r="G1079" s="7" t="str">
        <f aca="false">_xlfn.XLOOKUP(D1079,Catalog!$B$2:$B$4102,Catalog!$A$2:$A$4102,"NOT IN CATALOG")</f>
        <v>NOT IN CATALOG</v>
      </c>
      <c r="H1079" s="7" t="str">
        <f aca="false">_xlfn.IFNA(VLOOKUP(D1079,Catalog!$B$2:$C$4102,2,FALSE()),"")</f>
        <v/>
      </c>
      <c r="I1079" s="7" t="str">
        <f aca="false">HLOOKUP(C1079,Regions!$B$1:$S$2,2,FALSE())</f>
        <v>EU</v>
      </c>
      <c r="J1079" s="7" t="n">
        <f aca="false">E1079*F1079</f>
        <v>34.8</v>
      </c>
      <c r="K1079" s="8" t="str">
        <f aca="false">IF(H1079="","",1-F1079/H1079)</f>
        <v/>
      </c>
    </row>
    <row r="1080" customFormat="false" ht="15" hidden="false" customHeight="false" outlineLevel="0" collapsed="false">
      <c r="A1080" s="0" t="s">
        <v>712</v>
      </c>
      <c r="B1080" s="6" t="n">
        <v>40884.6548611111</v>
      </c>
      <c r="C1080" s="0" t="s">
        <v>29</v>
      </c>
      <c r="D1080" s="0" t="s">
        <v>112</v>
      </c>
      <c r="E1080" s="0" t="n">
        <v>12</v>
      </c>
      <c r="F1080" s="0" t="n">
        <v>2.49</v>
      </c>
      <c r="G1080" s="7" t="str">
        <f aca="false">_xlfn.XLOOKUP(D1080,Catalog!$B$2:$B$4102,Catalog!$A$2:$A$4102,"NOT IN CATALOG")</f>
        <v>NOT IN CATALOG</v>
      </c>
      <c r="H1080" s="7" t="str">
        <f aca="false">_xlfn.IFNA(VLOOKUP(D1080,Catalog!$B$2:$C$4102,2,FALSE()),"")</f>
        <v/>
      </c>
      <c r="I1080" s="7" t="str">
        <f aca="false">HLOOKUP(C1080,Regions!$B$1:$S$2,2,FALSE())</f>
        <v>EU</v>
      </c>
      <c r="J1080" s="7" t="n">
        <f aca="false">E1080*F1080</f>
        <v>29.88</v>
      </c>
      <c r="K1080" s="8" t="str">
        <f aca="false">IF(H1080="","",1-F1080/H1080)</f>
        <v/>
      </c>
    </row>
    <row r="1081" customFormat="false" ht="15" hidden="false" customHeight="false" outlineLevel="0" collapsed="false">
      <c r="A1081" s="0" t="s">
        <v>712</v>
      </c>
      <c r="B1081" s="6" t="n">
        <v>40884.6548611111</v>
      </c>
      <c r="C1081" s="0" t="s">
        <v>29</v>
      </c>
      <c r="D1081" s="0" t="s">
        <v>715</v>
      </c>
      <c r="E1081" s="0" t="n">
        <v>40</v>
      </c>
      <c r="F1081" s="0" t="n">
        <v>0.83</v>
      </c>
      <c r="G1081" s="7" t="str">
        <f aca="false">_xlfn.XLOOKUP(D1081,Catalog!$B$2:$B$4102,Catalog!$A$2:$A$4102,"NOT IN CATALOG")</f>
        <v>NOT IN CATALOG</v>
      </c>
      <c r="H1081" s="7" t="str">
        <f aca="false">_xlfn.IFNA(VLOOKUP(D1081,Catalog!$B$2:$C$4102,2,FALSE()),"")</f>
        <v/>
      </c>
      <c r="I1081" s="7" t="str">
        <f aca="false">HLOOKUP(C1081,Regions!$B$1:$S$2,2,FALSE())</f>
        <v>EU</v>
      </c>
      <c r="J1081" s="7" t="n">
        <f aca="false">E1081*F1081</f>
        <v>33.2</v>
      </c>
      <c r="K1081" s="8" t="str">
        <f aca="false">IF(H1081="","",1-F1081/H1081)</f>
        <v/>
      </c>
    </row>
    <row r="1082" customFormat="false" ht="15" hidden="false" customHeight="false" outlineLevel="0" collapsed="false">
      <c r="A1082" s="0" t="s">
        <v>712</v>
      </c>
      <c r="B1082" s="6" t="n">
        <v>40884.6548611111</v>
      </c>
      <c r="C1082" s="0" t="s">
        <v>29</v>
      </c>
      <c r="D1082" s="0" t="s">
        <v>716</v>
      </c>
      <c r="E1082" s="0" t="n">
        <v>42</v>
      </c>
      <c r="F1082" s="0" t="n">
        <v>2.08</v>
      </c>
      <c r="G1082" s="7" t="str">
        <f aca="false">_xlfn.XLOOKUP(D1082,Catalog!$B$2:$B$4102,Catalog!$A$2:$A$4102,"NOT IN CATALOG")</f>
        <v>NOT IN CATALOG</v>
      </c>
      <c r="H1082" s="7" t="str">
        <f aca="false">_xlfn.IFNA(VLOOKUP(D1082,Catalog!$B$2:$C$4102,2,FALSE()),"")</f>
        <v/>
      </c>
      <c r="I1082" s="7" t="str">
        <f aca="false">HLOOKUP(C1082,Regions!$B$1:$S$2,2,FALSE())</f>
        <v>EU</v>
      </c>
      <c r="J1082" s="7" t="n">
        <f aca="false">E1082*F1082</f>
        <v>87.36</v>
      </c>
      <c r="K1082" s="8" t="str">
        <f aca="false">IF(H1082="","",1-F1082/H1082)</f>
        <v/>
      </c>
    </row>
    <row r="1083" customFormat="false" ht="15" hidden="false" customHeight="false" outlineLevel="0" collapsed="false">
      <c r="A1083" s="0" t="s">
        <v>712</v>
      </c>
      <c r="B1083" s="6" t="n">
        <v>40884.6548611111</v>
      </c>
      <c r="C1083" s="0" t="s">
        <v>29</v>
      </c>
      <c r="D1083" s="0" t="s">
        <v>717</v>
      </c>
      <c r="E1083" s="0" t="n">
        <v>3</v>
      </c>
      <c r="F1083" s="0" t="n">
        <v>4.95</v>
      </c>
      <c r="G1083" s="7" t="str">
        <f aca="false">_xlfn.XLOOKUP(D1083,Catalog!$B$2:$B$4102,Catalog!$A$2:$A$4102,"NOT IN CATALOG")</f>
        <v>NOT IN CATALOG</v>
      </c>
      <c r="H1083" s="7" t="str">
        <f aca="false">_xlfn.IFNA(VLOOKUP(D1083,Catalog!$B$2:$C$4102,2,FALSE()),"")</f>
        <v/>
      </c>
      <c r="I1083" s="7" t="str">
        <f aca="false">HLOOKUP(C1083,Regions!$B$1:$S$2,2,FALSE())</f>
        <v>EU</v>
      </c>
      <c r="J1083" s="7" t="n">
        <f aca="false">E1083*F1083</f>
        <v>14.85</v>
      </c>
      <c r="K1083" s="8" t="str">
        <f aca="false">IF(H1083="","",1-F1083/H1083)</f>
        <v/>
      </c>
    </row>
    <row r="1084" customFormat="false" ht="15" hidden="false" customHeight="false" outlineLevel="0" collapsed="false">
      <c r="A1084" s="0" t="s">
        <v>712</v>
      </c>
      <c r="B1084" s="6" t="n">
        <v>40884.6548611111</v>
      </c>
      <c r="C1084" s="0" t="s">
        <v>29</v>
      </c>
      <c r="D1084" s="0" t="s">
        <v>295</v>
      </c>
      <c r="E1084" s="0" t="n">
        <v>24</v>
      </c>
      <c r="F1084" s="0" t="n">
        <v>0.65</v>
      </c>
      <c r="G1084" s="7" t="str">
        <f aca="false">_xlfn.XLOOKUP(D1084,Catalog!$B$2:$B$4102,Catalog!$A$2:$A$4102,"NOT IN CATALOG")</f>
        <v>NOT IN CATALOG</v>
      </c>
      <c r="H1084" s="7" t="str">
        <f aca="false">_xlfn.IFNA(VLOOKUP(D1084,Catalog!$B$2:$C$4102,2,FALSE()),"")</f>
        <v/>
      </c>
      <c r="I1084" s="7" t="str">
        <f aca="false">HLOOKUP(C1084,Regions!$B$1:$S$2,2,FALSE())</f>
        <v>EU</v>
      </c>
      <c r="J1084" s="7" t="n">
        <f aca="false">E1084*F1084</f>
        <v>15.6</v>
      </c>
      <c r="K1084" s="8" t="str">
        <f aca="false">IF(H1084="","",1-F1084/H1084)</f>
        <v/>
      </c>
    </row>
    <row r="1085" customFormat="false" ht="15" hidden="false" customHeight="false" outlineLevel="0" collapsed="false">
      <c r="A1085" s="0" t="s">
        <v>712</v>
      </c>
      <c r="B1085" s="6" t="n">
        <v>40884.6548611111</v>
      </c>
      <c r="C1085" s="0" t="s">
        <v>29</v>
      </c>
      <c r="D1085" s="0" t="s">
        <v>718</v>
      </c>
      <c r="E1085" s="0" t="n">
        <v>24</v>
      </c>
      <c r="F1085" s="0" t="n">
        <v>1.25</v>
      </c>
      <c r="G1085" s="7" t="str">
        <f aca="false">_xlfn.XLOOKUP(D1085,Catalog!$B$2:$B$4102,Catalog!$A$2:$A$4102,"NOT IN CATALOG")</f>
        <v>NOT IN CATALOG</v>
      </c>
      <c r="H1085" s="7" t="str">
        <f aca="false">_xlfn.IFNA(VLOOKUP(D1085,Catalog!$B$2:$C$4102,2,FALSE()),"")</f>
        <v/>
      </c>
      <c r="I1085" s="7" t="str">
        <f aca="false">HLOOKUP(C1085,Regions!$B$1:$S$2,2,FALSE())</f>
        <v>EU</v>
      </c>
      <c r="J1085" s="7" t="n">
        <f aca="false">E1085*F1085</f>
        <v>30</v>
      </c>
      <c r="K1085" s="8" t="str">
        <f aca="false">IF(H1085="","",1-F1085/H1085)</f>
        <v/>
      </c>
    </row>
    <row r="1086" customFormat="false" ht="15" hidden="false" customHeight="false" outlineLevel="0" collapsed="false">
      <c r="A1086" s="0" t="s">
        <v>712</v>
      </c>
      <c r="B1086" s="6" t="n">
        <v>40884.6548611111</v>
      </c>
      <c r="C1086" s="0" t="s">
        <v>29</v>
      </c>
      <c r="D1086" s="0" t="s">
        <v>719</v>
      </c>
      <c r="E1086" s="0" t="n">
        <v>12</v>
      </c>
      <c r="F1086" s="0" t="n">
        <v>1.25</v>
      </c>
      <c r="G1086" s="7" t="str">
        <f aca="false">_xlfn.XLOOKUP(D1086,Catalog!$B$2:$B$4102,Catalog!$A$2:$A$4102,"NOT IN CATALOG")</f>
        <v>NOT IN CATALOG</v>
      </c>
      <c r="H1086" s="7" t="str">
        <f aca="false">_xlfn.IFNA(VLOOKUP(D1086,Catalog!$B$2:$C$4102,2,FALSE()),"")</f>
        <v/>
      </c>
      <c r="I1086" s="7" t="str">
        <f aca="false">HLOOKUP(C1086,Regions!$B$1:$S$2,2,FALSE())</f>
        <v>EU</v>
      </c>
      <c r="J1086" s="7" t="n">
        <f aca="false">E1086*F1086</f>
        <v>15</v>
      </c>
      <c r="K1086" s="8" t="str">
        <f aca="false">IF(H1086="","",1-F1086/H1086)</f>
        <v/>
      </c>
    </row>
    <row r="1087" customFormat="false" ht="15" hidden="false" customHeight="false" outlineLevel="0" collapsed="false">
      <c r="A1087" s="0" t="s">
        <v>712</v>
      </c>
      <c r="B1087" s="6" t="n">
        <v>40884.6548611111</v>
      </c>
      <c r="C1087" s="0" t="s">
        <v>29</v>
      </c>
      <c r="D1087" s="0" t="s">
        <v>210</v>
      </c>
      <c r="E1087" s="0" t="n">
        <v>10</v>
      </c>
      <c r="F1087" s="0" t="n">
        <v>6.25</v>
      </c>
      <c r="G1087" s="7" t="str">
        <f aca="false">_xlfn.XLOOKUP(D1087,Catalog!$B$2:$B$4102,Catalog!$A$2:$A$4102,"NOT IN CATALOG")</f>
        <v>NOT IN CATALOG</v>
      </c>
      <c r="H1087" s="7" t="str">
        <f aca="false">_xlfn.IFNA(VLOOKUP(D1087,Catalog!$B$2:$C$4102,2,FALSE()),"")</f>
        <v/>
      </c>
      <c r="I1087" s="7" t="str">
        <f aca="false">HLOOKUP(C1087,Regions!$B$1:$S$2,2,FALSE())</f>
        <v>EU</v>
      </c>
      <c r="J1087" s="7" t="n">
        <f aca="false">E1087*F1087</f>
        <v>62.5</v>
      </c>
      <c r="K1087" s="8" t="str">
        <f aca="false">IF(H1087="","",1-F1087/H1087)</f>
        <v/>
      </c>
    </row>
    <row r="1088" customFormat="false" ht="15" hidden="false" customHeight="false" outlineLevel="0" collapsed="false">
      <c r="A1088" s="0" t="s">
        <v>712</v>
      </c>
      <c r="B1088" s="6" t="n">
        <v>40884.6548611111</v>
      </c>
      <c r="C1088" s="0" t="s">
        <v>29</v>
      </c>
      <c r="D1088" s="0" t="s">
        <v>247</v>
      </c>
      <c r="E1088" s="0" t="n">
        <v>12</v>
      </c>
      <c r="F1088" s="0" t="n">
        <v>1.25</v>
      </c>
      <c r="G1088" s="7" t="str">
        <f aca="false">_xlfn.XLOOKUP(D1088,Catalog!$B$2:$B$4102,Catalog!$A$2:$A$4102,"NOT IN CATALOG")</f>
        <v>NOT IN CATALOG</v>
      </c>
      <c r="H1088" s="7" t="str">
        <f aca="false">_xlfn.IFNA(VLOOKUP(D1088,Catalog!$B$2:$C$4102,2,FALSE()),"")</f>
        <v/>
      </c>
      <c r="I1088" s="7" t="str">
        <f aca="false">HLOOKUP(C1088,Regions!$B$1:$S$2,2,FALSE())</f>
        <v>EU</v>
      </c>
      <c r="J1088" s="7" t="n">
        <f aca="false">E1088*F1088</f>
        <v>15</v>
      </c>
      <c r="K1088" s="8" t="str">
        <f aca="false">IF(H1088="","",1-F1088/H1088)</f>
        <v/>
      </c>
    </row>
    <row r="1089" customFormat="false" ht="15" hidden="false" customHeight="false" outlineLevel="0" collapsed="false">
      <c r="A1089" s="0" t="s">
        <v>712</v>
      </c>
      <c r="B1089" s="6" t="n">
        <v>40884.6548611111</v>
      </c>
      <c r="C1089" s="0" t="s">
        <v>29</v>
      </c>
      <c r="D1089" s="0" t="s">
        <v>508</v>
      </c>
      <c r="E1089" s="0" t="n">
        <v>4</v>
      </c>
      <c r="F1089" s="0" t="n">
        <v>4.15</v>
      </c>
      <c r="G1089" s="7" t="str">
        <f aca="false">_xlfn.XLOOKUP(D1089,Catalog!$B$2:$B$4102,Catalog!$A$2:$A$4102,"NOT IN CATALOG")</f>
        <v>NOT IN CATALOG</v>
      </c>
      <c r="H1089" s="7" t="str">
        <f aca="false">_xlfn.IFNA(VLOOKUP(D1089,Catalog!$B$2:$C$4102,2,FALSE()),"")</f>
        <v/>
      </c>
      <c r="I1089" s="7" t="str">
        <f aca="false">HLOOKUP(C1089,Regions!$B$1:$S$2,2,FALSE())</f>
        <v>EU</v>
      </c>
      <c r="J1089" s="7" t="n">
        <f aca="false">E1089*F1089</f>
        <v>16.6</v>
      </c>
      <c r="K1089" s="8" t="str">
        <f aca="false">IF(H1089="","",1-F1089/H1089)</f>
        <v/>
      </c>
    </row>
    <row r="1090" customFormat="false" ht="15" hidden="false" customHeight="false" outlineLevel="0" collapsed="false">
      <c r="A1090" s="0" t="s">
        <v>712</v>
      </c>
      <c r="B1090" s="6" t="n">
        <v>40884.6548611111</v>
      </c>
      <c r="C1090" s="0" t="s">
        <v>29</v>
      </c>
      <c r="D1090" s="0" t="s">
        <v>506</v>
      </c>
      <c r="E1090" s="0" t="n">
        <v>4</v>
      </c>
      <c r="F1090" s="0" t="n">
        <v>4.15</v>
      </c>
      <c r="G1090" s="7" t="str">
        <f aca="false">_xlfn.XLOOKUP(D1090,Catalog!$B$2:$B$4102,Catalog!$A$2:$A$4102,"NOT IN CATALOG")</f>
        <v>NOT IN CATALOG</v>
      </c>
      <c r="H1090" s="7" t="str">
        <f aca="false">_xlfn.IFNA(VLOOKUP(D1090,Catalog!$B$2:$C$4102,2,FALSE()),"")</f>
        <v/>
      </c>
      <c r="I1090" s="7" t="str">
        <f aca="false">HLOOKUP(C1090,Regions!$B$1:$S$2,2,FALSE())</f>
        <v>EU</v>
      </c>
      <c r="J1090" s="7" t="n">
        <f aca="false">E1090*F1090</f>
        <v>16.6</v>
      </c>
      <c r="K1090" s="8" t="str">
        <f aca="false">IF(H1090="","",1-F1090/H1090)</f>
        <v/>
      </c>
    </row>
    <row r="1091" customFormat="false" ht="15" hidden="false" customHeight="false" outlineLevel="0" collapsed="false">
      <c r="A1091" s="0" t="s">
        <v>712</v>
      </c>
      <c r="B1091" s="6" t="n">
        <v>40884.6548611111</v>
      </c>
      <c r="C1091" s="0" t="s">
        <v>29</v>
      </c>
      <c r="D1091" s="0" t="s">
        <v>322</v>
      </c>
      <c r="E1091" s="0" t="n">
        <v>24</v>
      </c>
      <c r="F1091" s="0" t="n">
        <v>0.83</v>
      </c>
      <c r="G1091" s="7" t="str">
        <f aca="false">_xlfn.XLOOKUP(D1091,Catalog!$B$2:$B$4102,Catalog!$A$2:$A$4102,"NOT IN CATALOG")</f>
        <v>NOT IN CATALOG</v>
      </c>
      <c r="H1091" s="7" t="str">
        <f aca="false">_xlfn.IFNA(VLOOKUP(D1091,Catalog!$B$2:$C$4102,2,FALSE()),"")</f>
        <v/>
      </c>
      <c r="I1091" s="7" t="str">
        <f aca="false">HLOOKUP(C1091,Regions!$B$1:$S$2,2,FALSE())</f>
        <v>EU</v>
      </c>
      <c r="J1091" s="7" t="n">
        <f aca="false">E1091*F1091</f>
        <v>19.92</v>
      </c>
      <c r="K1091" s="8" t="str">
        <f aca="false">IF(H1091="","",1-F1091/H1091)</f>
        <v/>
      </c>
    </row>
    <row r="1092" customFormat="false" ht="15" hidden="false" customHeight="false" outlineLevel="0" collapsed="false">
      <c r="A1092" s="0" t="s">
        <v>712</v>
      </c>
      <c r="B1092" s="6" t="n">
        <v>40884.6548611111</v>
      </c>
      <c r="C1092" s="0" t="s">
        <v>29</v>
      </c>
      <c r="D1092" s="0" t="s">
        <v>720</v>
      </c>
      <c r="E1092" s="0" t="n">
        <v>24</v>
      </c>
      <c r="F1092" s="0" t="n">
        <v>0.83</v>
      </c>
      <c r="G1092" s="7" t="str">
        <f aca="false">_xlfn.XLOOKUP(D1092,Catalog!$B$2:$B$4102,Catalog!$A$2:$A$4102,"NOT IN CATALOG")</f>
        <v>NOT IN CATALOG</v>
      </c>
      <c r="H1092" s="7" t="str">
        <f aca="false">_xlfn.IFNA(VLOOKUP(D1092,Catalog!$B$2:$C$4102,2,FALSE()),"")</f>
        <v/>
      </c>
      <c r="I1092" s="7" t="str">
        <f aca="false">HLOOKUP(C1092,Regions!$B$1:$S$2,2,FALSE())</f>
        <v>EU</v>
      </c>
      <c r="J1092" s="7" t="n">
        <f aca="false">E1092*F1092</f>
        <v>19.92</v>
      </c>
      <c r="K1092" s="8" t="str">
        <f aca="false">IF(H1092="","",1-F1092/H1092)</f>
        <v/>
      </c>
    </row>
    <row r="1093" customFormat="false" ht="15" hidden="false" customHeight="false" outlineLevel="0" collapsed="false">
      <c r="A1093" s="0" t="s">
        <v>712</v>
      </c>
      <c r="B1093" s="6" t="n">
        <v>40884.6548611111</v>
      </c>
      <c r="C1093" s="0" t="s">
        <v>29</v>
      </c>
      <c r="D1093" s="0" t="s">
        <v>323</v>
      </c>
      <c r="E1093" s="0" t="n">
        <v>24</v>
      </c>
      <c r="F1093" s="0" t="n">
        <v>0.83</v>
      </c>
      <c r="G1093" s="7" t="str">
        <f aca="false">_xlfn.XLOOKUP(D1093,Catalog!$B$2:$B$4102,Catalog!$A$2:$A$4102,"NOT IN CATALOG")</f>
        <v>NOT IN CATALOG</v>
      </c>
      <c r="H1093" s="7" t="str">
        <f aca="false">_xlfn.IFNA(VLOOKUP(D1093,Catalog!$B$2:$C$4102,2,FALSE()),"")</f>
        <v/>
      </c>
      <c r="I1093" s="7" t="str">
        <f aca="false">HLOOKUP(C1093,Regions!$B$1:$S$2,2,FALSE())</f>
        <v>EU</v>
      </c>
      <c r="J1093" s="7" t="n">
        <f aca="false">E1093*F1093</f>
        <v>19.92</v>
      </c>
      <c r="K1093" s="8" t="str">
        <f aca="false">IF(H1093="","",1-F1093/H1093)</f>
        <v/>
      </c>
    </row>
    <row r="1094" customFormat="false" ht="15" hidden="false" customHeight="false" outlineLevel="0" collapsed="false">
      <c r="A1094" s="0" t="s">
        <v>712</v>
      </c>
      <c r="B1094" s="6" t="n">
        <v>40884.6548611111</v>
      </c>
      <c r="C1094" s="0" t="s">
        <v>29</v>
      </c>
      <c r="D1094" s="0" t="s">
        <v>236</v>
      </c>
      <c r="E1094" s="0" t="n">
        <v>24</v>
      </c>
      <c r="F1094" s="0" t="n">
        <v>3.75</v>
      </c>
      <c r="G1094" s="7" t="str">
        <f aca="false">_xlfn.XLOOKUP(D1094,Catalog!$B$2:$B$4102,Catalog!$A$2:$A$4102,"NOT IN CATALOG")</f>
        <v>NOT IN CATALOG</v>
      </c>
      <c r="H1094" s="7" t="str">
        <f aca="false">_xlfn.IFNA(VLOOKUP(D1094,Catalog!$B$2:$C$4102,2,FALSE()),"")</f>
        <v/>
      </c>
      <c r="I1094" s="7" t="str">
        <f aca="false">HLOOKUP(C1094,Regions!$B$1:$S$2,2,FALSE())</f>
        <v>EU</v>
      </c>
      <c r="J1094" s="7" t="n">
        <f aca="false">E1094*F1094</f>
        <v>90</v>
      </c>
      <c r="K1094" s="8" t="str">
        <f aca="false">IF(H1094="","",1-F1094/H1094)</f>
        <v/>
      </c>
    </row>
    <row r="1095" customFormat="false" ht="15" hidden="false" customHeight="false" outlineLevel="0" collapsed="false">
      <c r="A1095" s="0" t="s">
        <v>712</v>
      </c>
      <c r="B1095" s="6" t="n">
        <v>40884.6548611111</v>
      </c>
      <c r="C1095" s="0" t="s">
        <v>29</v>
      </c>
      <c r="D1095" s="0" t="s">
        <v>214</v>
      </c>
      <c r="E1095" s="0" t="n">
        <v>12</v>
      </c>
      <c r="F1095" s="0" t="n">
        <v>4.95</v>
      </c>
      <c r="G1095" s="7" t="str">
        <f aca="false">_xlfn.XLOOKUP(D1095,Catalog!$B$2:$B$4102,Catalog!$A$2:$A$4102,"NOT IN CATALOG")</f>
        <v>NOT IN CATALOG</v>
      </c>
      <c r="H1095" s="7" t="str">
        <f aca="false">_xlfn.IFNA(VLOOKUP(D1095,Catalog!$B$2:$C$4102,2,FALSE()),"")</f>
        <v/>
      </c>
      <c r="I1095" s="7" t="str">
        <f aca="false">HLOOKUP(C1095,Regions!$B$1:$S$2,2,FALSE())</f>
        <v>EU</v>
      </c>
      <c r="J1095" s="7" t="n">
        <f aca="false">E1095*F1095</f>
        <v>59.4</v>
      </c>
      <c r="K1095" s="8" t="str">
        <f aca="false">IF(H1095="","",1-F1095/H1095)</f>
        <v/>
      </c>
    </row>
    <row r="1096" customFormat="false" ht="15" hidden="false" customHeight="false" outlineLevel="0" collapsed="false">
      <c r="A1096" s="0" t="s">
        <v>712</v>
      </c>
      <c r="B1096" s="6" t="n">
        <v>40884.6548611111</v>
      </c>
      <c r="C1096" s="0" t="s">
        <v>29</v>
      </c>
      <c r="D1096" s="0" t="s">
        <v>721</v>
      </c>
      <c r="E1096" s="0" t="n">
        <v>72</v>
      </c>
      <c r="F1096" s="0" t="n">
        <v>0.85</v>
      </c>
      <c r="G1096" s="7" t="str">
        <f aca="false">_xlfn.XLOOKUP(D1096,Catalog!$B$2:$B$4102,Catalog!$A$2:$A$4102,"NOT IN CATALOG")</f>
        <v>MAGIC SHEEP WOOL GROWING FROM PAPER</v>
      </c>
      <c r="H1096" s="7" t="n">
        <f aca="false">_xlfn.IFNA(VLOOKUP(D1096,Catalog!$B$2:$C$4102,2,FALSE()),"")</f>
        <v>2.55</v>
      </c>
      <c r="I1096" s="7" t="str">
        <f aca="false">HLOOKUP(C1096,Regions!$B$1:$S$2,2,FALSE())</f>
        <v>EU</v>
      </c>
      <c r="J1096" s="7" t="n">
        <f aca="false">E1096*F1096</f>
        <v>61.2</v>
      </c>
      <c r="K1096" s="8" t="n">
        <f aca="false">IF(H1096="","",1-F1096/H1096)</f>
        <v>0.666666666666667</v>
      </c>
    </row>
    <row r="1097" customFormat="false" ht="15" hidden="false" customHeight="false" outlineLevel="0" collapsed="false">
      <c r="A1097" s="0" t="s">
        <v>712</v>
      </c>
      <c r="B1097" s="6" t="n">
        <v>40884.6548611111</v>
      </c>
      <c r="C1097" s="0" t="s">
        <v>29</v>
      </c>
      <c r="D1097" s="0" t="s">
        <v>209</v>
      </c>
      <c r="E1097" s="0" t="n">
        <v>6</v>
      </c>
      <c r="F1097" s="0" t="n">
        <v>2.08</v>
      </c>
      <c r="G1097" s="7" t="str">
        <f aca="false">_xlfn.XLOOKUP(D1097,Catalog!$B$2:$B$4102,Catalog!$A$2:$A$4102,"NOT IN CATALOG")</f>
        <v>NOT IN CATALOG</v>
      </c>
      <c r="H1097" s="7" t="str">
        <f aca="false">_xlfn.IFNA(VLOOKUP(D1097,Catalog!$B$2:$C$4102,2,FALSE()),"")</f>
        <v/>
      </c>
      <c r="I1097" s="7" t="str">
        <f aca="false">HLOOKUP(C1097,Regions!$B$1:$S$2,2,FALSE())</f>
        <v>EU</v>
      </c>
      <c r="J1097" s="7" t="n">
        <f aca="false">E1097*F1097</f>
        <v>12.48</v>
      </c>
      <c r="K1097" s="8" t="str">
        <f aca="false">IF(H1097="","",1-F1097/H1097)</f>
        <v/>
      </c>
    </row>
    <row r="1098" customFormat="false" ht="15" hidden="false" customHeight="false" outlineLevel="0" collapsed="false">
      <c r="A1098" s="0" t="s">
        <v>712</v>
      </c>
      <c r="B1098" s="6" t="n">
        <v>40884.6548611111</v>
      </c>
      <c r="C1098" s="0" t="s">
        <v>29</v>
      </c>
      <c r="D1098" s="0" t="s">
        <v>534</v>
      </c>
      <c r="E1098" s="0" t="n">
        <v>8</v>
      </c>
      <c r="F1098" s="0" t="n">
        <v>1.95</v>
      </c>
      <c r="G1098" s="7" t="str">
        <f aca="false">_xlfn.XLOOKUP(D1098,Catalog!$B$2:$B$4102,Catalog!$A$2:$A$4102,"NOT IN CATALOG")</f>
        <v>NOT IN CATALOG</v>
      </c>
      <c r="H1098" s="7" t="str">
        <f aca="false">_xlfn.IFNA(VLOOKUP(D1098,Catalog!$B$2:$C$4102,2,FALSE()),"")</f>
        <v/>
      </c>
      <c r="I1098" s="7" t="str">
        <f aca="false">HLOOKUP(C1098,Regions!$B$1:$S$2,2,FALSE())</f>
        <v>EU</v>
      </c>
      <c r="J1098" s="7" t="n">
        <f aca="false">E1098*F1098</f>
        <v>15.6</v>
      </c>
      <c r="K1098" s="8" t="str">
        <f aca="false">IF(H1098="","",1-F1098/H1098)</f>
        <v/>
      </c>
    </row>
    <row r="1099" customFormat="false" ht="15" hidden="false" customHeight="false" outlineLevel="0" collapsed="false">
      <c r="A1099" s="0" t="s">
        <v>712</v>
      </c>
      <c r="B1099" s="6" t="n">
        <v>40884.6548611111</v>
      </c>
      <c r="C1099" s="0" t="s">
        <v>29</v>
      </c>
      <c r="D1099" s="0" t="s">
        <v>563</v>
      </c>
      <c r="E1099" s="0" t="n">
        <v>8</v>
      </c>
      <c r="F1099" s="0" t="n">
        <v>1.95</v>
      </c>
      <c r="G1099" s="7" t="str">
        <f aca="false">_xlfn.XLOOKUP(D1099,Catalog!$B$2:$B$4102,Catalog!$A$2:$A$4102,"NOT IN CATALOG")</f>
        <v>NOT IN CATALOG</v>
      </c>
      <c r="H1099" s="7" t="str">
        <f aca="false">_xlfn.IFNA(VLOOKUP(D1099,Catalog!$B$2:$C$4102,2,FALSE()),"")</f>
        <v/>
      </c>
      <c r="I1099" s="7" t="str">
        <f aca="false">HLOOKUP(C1099,Regions!$B$1:$S$2,2,FALSE())</f>
        <v>EU</v>
      </c>
      <c r="J1099" s="7" t="n">
        <f aca="false">E1099*F1099</f>
        <v>15.6</v>
      </c>
      <c r="K1099" s="8" t="str">
        <f aca="false">IF(H1099="","",1-F1099/H1099)</f>
        <v/>
      </c>
    </row>
    <row r="1100" customFormat="false" ht="15" hidden="false" customHeight="false" outlineLevel="0" collapsed="false">
      <c r="A1100" s="0" t="s">
        <v>712</v>
      </c>
      <c r="B1100" s="6" t="n">
        <v>40884.6548611111</v>
      </c>
      <c r="C1100" s="0" t="s">
        <v>29</v>
      </c>
      <c r="D1100" s="0" t="s">
        <v>477</v>
      </c>
      <c r="E1100" s="0" t="n">
        <v>8</v>
      </c>
      <c r="F1100" s="0" t="n">
        <v>1.95</v>
      </c>
      <c r="G1100" s="7" t="str">
        <f aca="false">_xlfn.XLOOKUP(D1100,Catalog!$B$2:$B$4102,Catalog!$A$2:$A$4102,"NOT IN CATALOG")</f>
        <v>NOT IN CATALOG</v>
      </c>
      <c r="H1100" s="7" t="str">
        <f aca="false">_xlfn.IFNA(VLOOKUP(D1100,Catalog!$B$2:$C$4102,2,FALSE()),"")</f>
        <v/>
      </c>
      <c r="I1100" s="7" t="str">
        <f aca="false">HLOOKUP(C1100,Regions!$B$1:$S$2,2,FALSE())</f>
        <v>EU</v>
      </c>
      <c r="J1100" s="7" t="n">
        <f aca="false">E1100*F1100</f>
        <v>15.6</v>
      </c>
      <c r="K1100" s="8" t="str">
        <f aca="false">IF(H1100="","",1-F1100/H1100)</f>
        <v/>
      </c>
    </row>
    <row r="1101" customFormat="false" ht="15" hidden="false" customHeight="false" outlineLevel="0" collapsed="false">
      <c r="A1101" s="0" t="s">
        <v>712</v>
      </c>
      <c r="B1101" s="6" t="n">
        <v>40884.6548611111</v>
      </c>
      <c r="C1101" s="0" t="s">
        <v>29</v>
      </c>
      <c r="D1101" s="0" t="s">
        <v>82</v>
      </c>
      <c r="E1101" s="0" t="n">
        <v>24</v>
      </c>
      <c r="F1101" s="0" t="n">
        <v>1.79</v>
      </c>
      <c r="G1101" s="7" t="str">
        <f aca="false">_xlfn.XLOOKUP(D1101,Catalog!$B$2:$B$4102,Catalog!$A$2:$A$4102,"NOT IN CATALOG")</f>
        <v>NOT IN CATALOG</v>
      </c>
      <c r="H1101" s="7" t="str">
        <f aca="false">_xlfn.IFNA(VLOOKUP(D1101,Catalog!$B$2:$C$4102,2,FALSE()),"")</f>
        <v/>
      </c>
      <c r="I1101" s="7" t="str">
        <f aca="false">HLOOKUP(C1101,Regions!$B$1:$S$2,2,FALSE())</f>
        <v>EU</v>
      </c>
      <c r="J1101" s="7" t="n">
        <f aca="false">E1101*F1101</f>
        <v>42.96</v>
      </c>
      <c r="K1101" s="8" t="str">
        <f aca="false">IF(H1101="","",1-F1101/H1101)</f>
        <v/>
      </c>
    </row>
    <row r="1102" customFormat="false" ht="15" hidden="false" customHeight="false" outlineLevel="0" collapsed="false">
      <c r="A1102" s="0" t="s">
        <v>712</v>
      </c>
      <c r="B1102" s="6" t="n">
        <v>40884.6548611111</v>
      </c>
      <c r="C1102" s="0" t="s">
        <v>29</v>
      </c>
      <c r="D1102" s="0" t="s">
        <v>39</v>
      </c>
      <c r="E1102" s="0" t="n">
        <v>1</v>
      </c>
      <c r="F1102" s="0" t="n">
        <v>240</v>
      </c>
      <c r="G1102" s="7" t="str">
        <f aca="false">_xlfn.XLOOKUP(D1102,Catalog!$B$2:$B$4102,Catalog!$A$2:$A$4102,"NOT IN CATALOG")</f>
        <v>POSTAGE</v>
      </c>
      <c r="H1102" s="7" t="n">
        <f aca="false">_xlfn.IFNA(VLOOKUP(D1102,Catalog!$B$2:$C$4102,2,FALSE()),"")</f>
        <v>18</v>
      </c>
      <c r="I1102" s="7" t="str">
        <f aca="false">HLOOKUP(C1102,Regions!$B$1:$S$2,2,FALSE())</f>
        <v>EU</v>
      </c>
      <c r="J1102" s="7" t="n">
        <f aca="false">E1102*F1102</f>
        <v>240</v>
      </c>
      <c r="K1102" s="8" t="n">
        <f aca="false">IF(H1102="","",1-F1102/H1102)</f>
        <v>-12.3333333333333</v>
      </c>
    </row>
    <row r="1103" customFormat="false" ht="15" hidden="false" customHeight="false" outlineLevel="0" collapsed="false">
      <c r="A1103" s="0" t="s">
        <v>722</v>
      </c>
      <c r="B1103" s="6" t="n">
        <v>40884.6611111111</v>
      </c>
      <c r="C1103" s="0" t="s">
        <v>723</v>
      </c>
      <c r="D1103" s="0" t="s">
        <v>724</v>
      </c>
      <c r="E1103" s="0" t="n">
        <v>12</v>
      </c>
      <c r="F1103" s="0" t="n">
        <v>1.45</v>
      </c>
      <c r="G1103" s="7" t="str">
        <f aca="false">_xlfn.XLOOKUP(D1103,Catalog!$B$2:$B$4102,Catalog!$A$2:$A$4102,"NOT IN CATALOG")</f>
        <v>NOT IN CATALOG</v>
      </c>
      <c r="H1103" s="7" t="str">
        <f aca="false">_xlfn.IFNA(VLOOKUP(D1103,Catalog!$B$2:$C$4102,2,FALSE()),"")</f>
        <v/>
      </c>
      <c r="I1103" s="7" t="str">
        <f aca="false">HLOOKUP(C1103,Regions!$B$1:$S$2,2,FALSE())</f>
        <v>Non-EU</v>
      </c>
      <c r="J1103" s="7" t="n">
        <f aca="false">E1103*F1103</f>
        <v>17.4</v>
      </c>
      <c r="K1103" s="8" t="str">
        <f aca="false">IF(H1103="","",1-F1103/H1103)</f>
        <v/>
      </c>
    </row>
    <row r="1104" customFormat="false" ht="15" hidden="false" customHeight="false" outlineLevel="0" collapsed="false">
      <c r="A1104" s="0" t="s">
        <v>722</v>
      </c>
      <c r="B1104" s="6" t="n">
        <v>40884.6611111111</v>
      </c>
      <c r="C1104" s="0" t="s">
        <v>723</v>
      </c>
      <c r="D1104" s="0" t="s">
        <v>209</v>
      </c>
      <c r="E1104" s="0" t="n">
        <v>6</v>
      </c>
      <c r="F1104" s="0" t="n">
        <v>2.08</v>
      </c>
      <c r="G1104" s="7" t="str">
        <f aca="false">_xlfn.XLOOKUP(D1104,Catalog!$B$2:$B$4102,Catalog!$A$2:$A$4102,"NOT IN CATALOG")</f>
        <v>NOT IN CATALOG</v>
      </c>
      <c r="H1104" s="7" t="str">
        <f aca="false">_xlfn.IFNA(VLOOKUP(D1104,Catalog!$B$2:$C$4102,2,FALSE()),"")</f>
        <v/>
      </c>
      <c r="I1104" s="7" t="str">
        <f aca="false">HLOOKUP(C1104,Regions!$B$1:$S$2,2,FALSE())</f>
        <v>Non-EU</v>
      </c>
      <c r="J1104" s="7" t="n">
        <f aca="false">E1104*F1104</f>
        <v>12.48</v>
      </c>
      <c r="K1104" s="8" t="str">
        <f aca="false">IF(H1104="","",1-F1104/H1104)</f>
        <v/>
      </c>
    </row>
    <row r="1105" customFormat="false" ht="15" hidden="false" customHeight="false" outlineLevel="0" collapsed="false">
      <c r="A1105" s="0" t="s">
        <v>722</v>
      </c>
      <c r="B1105" s="6" t="n">
        <v>40884.6611111111</v>
      </c>
      <c r="C1105" s="0" t="s">
        <v>723</v>
      </c>
      <c r="D1105" s="0" t="s">
        <v>725</v>
      </c>
      <c r="E1105" s="0" t="n">
        <v>24</v>
      </c>
      <c r="F1105" s="0" t="n">
        <v>1.25</v>
      </c>
      <c r="G1105" s="7" t="str">
        <f aca="false">_xlfn.XLOOKUP(D1105,Catalog!$B$2:$B$4102,Catalog!$A$2:$A$4102,"NOT IN CATALOG")</f>
        <v>BOOM BOX SPEAKER BOYS</v>
      </c>
      <c r="H1105" s="7" t="n">
        <f aca="false">_xlfn.IFNA(VLOOKUP(D1105,Catalog!$B$2:$C$4102,2,FALSE()),"")</f>
        <v>5.95</v>
      </c>
      <c r="I1105" s="7" t="str">
        <f aca="false">HLOOKUP(C1105,Regions!$B$1:$S$2,2,FALSE())</f>
        <v>Non-EU</v>
      </c>
      <c r="J1105" s="7" t="n">
        <f aca="false">E1105*F1105</f>
        <v>30</v>
      </c>
      <c r="K1105" s="8" t="n">
        <f aca="false">IF(H1105="","",1-F1105/H1105)</f>
        <v>0.789915966386555</v>
      </c>
    </row>
    <row r="1106" customFormat="false" ht="15" hidden="false" customHeight="false" outlineLevel="0" collapsed="false">
      <c r="A1106" s="0" t="s">
        <v>722</v>
      </c>
      <c r="B1106" s="6" t="n">
        <v>40884.6611111111</v>
      </c>
      <c r="C1106" s="0" t="s">
        <v>723</v>
      </c>
      <c r="D1106" s="0" t="s">
        <v>726</v>
      </c>
      <c r="E1106" s="0" t="n">
        <v>24</v>
      </c>
      <c r="F1106" s="0" t="n">
        <v>0.85</v>
      </c>
      <c r="G1106" s="7" t="str">
        <f aca="false">_xlfn.XLOOKUP(D1106,Catalog!$B$2:$B$4102,Catalog!$A$2:$A$4102,"NOT IN CATALOG")</f>
        <v>PINK NEW BAROQUECANDLESTICK CANDLE</v>
      </c>
      <c r="H1106" s="7" t="n">
        <f aca="false">_xlfn.IFNA(VLOOKUP(D1106,Catalog!$B$2:$C$4102,2,FALSE()),"")</f>
        <v>2.95</v>
      </c>
      <c r="I1106" s="7" t="str">
        <f aca="false">HLOOKUP(C1106,Regions!$B$1:$S$2,2,FALSE())</f>
        <v>Non-EU</v>
      </c>
      <c r="J1106" s="7" t="n">
        <f aca="false">E1106*F1106</f>
        <v>20.4</v>
      </c>
      <c r="K1106" s="8" t="n">
        <f aca="false">IF(H1106="","",1-F1106/H1106)</f>
        <v>0.711864406779661</v>
      </c>
    </row>
    <row r="1107" customFormat="false" ht="15" hidden="false" customHeight="false" outlineLevel="0" collapsed="false">
      <c r="A1107" s="0" t="s">
        <v>722</v>
      </c>
      <c r="B1107" s="6" t="n">
        <v>40884.6611111111</v>
      </c>
      <c r="C1107" s="0" t="s">
        <v>723</v>
      </c>
      <c r="D1107" s="0" t="s">
        <v>83</v>
      </c>
      <c r="E1107" s="0" t="n">
        <v>24</v>
      </c>
      <c r="F1107" s="0" t="n">
        <v>1.65</v>
      </c>
      <c r="G1107" s="7" t="str">
        <f aca="false">_xlfn.XLOOKUP(D1107,Catalog!$B$2:$B$4102,Catalog!$A$2:$A$4102,"NOT IN CATALOG")</f>
        <v>RED TOADSTOOL LED NIGHT LIGHT</v>
      </c>
      <c r="H1107" s="7" t="n">
        <f aca="false">_xlfn.IFNA(VLOOKUP(D1107,Catalog!$B$2:$C$4102,2,FALSE()),"")</f>
        <v>1.65</v>
      </c>
      <c r="I1107" s="7" t="str">
        <f aca="false">HLOOKUP(C1107,Regions!$B$1:$S$2,2,FALSE())</f>
        <v>Non-EU</v>
      </c>
      <c r="J1107" s="7" t="n">
        <f aca="false">E1107*F1107</f>
        <v>39.6</v>
      </c>
      <c r="K1107" s="8" t="n">
        <f aca="false">IF(H1107="","",1-F1107/H1107)</f>
        <v>0</v>
      </c>
    </row>
    <row r="1108" customFormat="false" ht="15" hidden="false" customHeight="false" outlineLevel="0" collapsed="false">
      <c r="A1108" s="0" t="s">
        <v>722</v>
      </c>
      <c r="B1108" s="6" t="n">
        <v>40884.6611111111</v>
      </c>
      <c r="C1108" s="0" t="s">
        <v>723</v>
      </c>
      <c r="D1108" s="0" t="s">
        <v>82</v>
      </c>
      <c r="E1108" s="0" t="n">
        <v>24</v>
      </c>
      <c r="F1108" s="0" t="n">
        <v>1.79</v>
      </c>
      <c r="G1108" s="7" t="str">
        <f aca="false">_xlfn.XLOOKUP(D1108,Catalog!$B$2:$B$4102,Catalog!$A$2:$A$4102,"NOT IN CATALOG")</f>
        <v>NOT IN CATALOG</v>
      </c>
      <c r="H1108" s="7" t="str">
        <f aca="false">_xlfn.IFNA(VLOOKUP(D1108,Catalog!$B$2:$C$4102,2,FALSE()),"")</f>
        <v/>
      </c>
      <c r="I1108" s="7" t="str">
        <f aca="false">HLOOKUP(C1108,Regions!$B$1:$S$2,2,FALSE())</f>
        <v>Non-EU</v>
      </c>
      <c r="J1108" s="7" t="n">
        <f aca="false">E1108*F1108</f>
        <v>42.96</v>
      </c>
      <c r="K1108" s="8" t="str">
        <f aca="false">IF(H1108="","",1-F1108/H1108)</f>
        <v/>
      </c>
    </row>
    <row r="1109" customFormat="false" ht="15" hidden="false" customHeight="false" outlineLevel="0" collapsed="false">
      <c r="A1109" s="0" t="s">
        <v>722</v>
      </c>
      <c r="B1109" s="6" t="n">
        <v>40884.6611111111</v>
      </c>
      <c r="C1109" s="0" t="s">
        <v>723</v>
      </c>
      <c r="D1109" s="0" t="s">
        <v>361</v>
      </c>
      <c r="E1109" s="0" t="n">
        <v>10</v>
      </c>
      <c r="F1109" s="0" t="n">
        <v>0.85</v>
      </c>
      <c r="G1109" s="7" t="str">
        <f aca="false">_xlfn.XLOOKUP(D1109,Catalog!$B$2:$B$4102,Catalog!$A$2:$A$4102,"NOT IN CATALOG")</f>
        <v>WOODLAND CHARLOTTE BAG</v>
      </c>
      <c r="H1109" s="7" t="n">
        <f aca="false">_xlfn.IFNA(VLOOKUP(D1109,Catalog!$B$2:$C$4102,2,FALSE()),"")</f>
        <v>0.85</v>
      </c>
      <c r="I1109" s="7" t="str">
        <f aca="false">HLOOKUP(C1109,Regions!$B$1:$S$2,2,FALSE())</f>
        <v>Non-EU</v>
      </c>
      <c r="J1109" s="7" t="n">
        <f aca="false">E1109*F1109</f>
        <v>8.5</v>
      </c>
      <c r="K1109" s="8" t="n">
        <f aca="false">IF(H1109="","",1-F1109/H1109)</f>
        <v>0</v>
      </c>
    </row>
    <row r="1110" customFormat="false" ht="15" hidden="false" customHeight="false" outlineLevel="0" collapsed="false">
      <c r="A1110" s="0" t="s">
        <v>722</v>
      </c>
      <c r="B1110" s="6" t="n">
        <v>40884.6611111111</v>
      </c>
      <c r="C1110" s="0" t="s">
        <v>723</v>
      </c>
      <c r="D1110" s="0" t="s">
        <v>727</v>
      </c>
      <c r="E1110" s="0" t="n">
        <v>12</v>
      </c>
      <c r="F1110" s="0" t="n">
        <v>1.95</v>
      </c>
      <c r="G1110" s="7" t="str">
        <f aca="false">_xlfn.XLOOKUP(D1110,Catalog!$B$2:$B$4102,Catalog!$A$2:$A$4102,"NOT IN CATALOG")</f>
        <v>PINK GOOSE FEATHER TREE 60CM</v>
      </c>
      <c r="H1110" s="7" t="n">
        <f aca="false">_xlfn.IFNA(VLOOKUP(D1110,Catalog!$B$2:$C$4102,2,FALSE()),"")</f>
        <v>1.95</v>
      </c>
      <c r="I1110" s="7" t="str">
        <f aca="false">HLOOKUP(C1110,Regions!$B$1:$S$2,2,FALSE())</f>
        <v>Non-EU</v>
      </c>
      <c r="J1110" s="7" t="n">
        <f aca="false">E1110*F1110</f>
        <v>23.4</v>
      </c>
      <c r="K1110" s="8" t="n">
        <f aca="false">IF(H1110="","",1-F1110/H1110)</f>
        <v>0</v>
      </c>
    </row>
    <row r="1111" customFormat="false" ht="15" hidden="false" customHeight="false" outlineLevel="0" collapsed="false">
      <c r="A1111" s="0" t="s">
        <v>722</v>
      </c>
      <c r="B1111" s="6" t="n">
        <v>40884.6611111111</v>
      </c>
      <c r="C1111" s="0" t="s">
        <v>723</v>
      </c>
      <c r="D1111" s="0" t="s">
        <v>728</v>
      </c>
      <c r="E1111" s="0" t="n">
        <v>16</v>
      </c>
      <c r="F1111" s="0" t="n">
        <v>0.83</v>
      </c>
      <c r="G1111" s="7" t="str">
        <f aca="false">_xlfn.XLOOKUP(D1111,Catalog!$B$2:$B$4102,Catalog!$A$2:$A$4102,"NOT IN CATALOG")</f>
        <v>NOT IN CATALOG</v>
      </c>
      <c r="H1111" s="7" t="str">
        <f aca="false">_xlfn.IFNA(VLOOKUP(D1111,Catalog!$B$2:$C$4102,2,FALSE()),"")</f>
        <v/>
      </c>
      <c r="I1111" s="7" t="str">
        <f aca="false">HLOOKUP(C1111,Regions!$B$1:$S$2,2,FALSE())</f>
        <v>Non-EU</v>
      </c>
      <c r="J1111" s="7" t="n">
        <f aca="false">E1111*F1111</f>
        <v>13.28</v>
      </c>
      <c r="K1111" s="8" t="str">
        <f aca="false">IF(H1111="","",1-F1111/H1111)</f>
        <v/>
      </c>
    </row>
    <row r="1112" customFormat="false" ht="15" hidden="false" customHeight="false" outlineLevel="0" collapsed="false">
      <c r="A1112" s="0" t="s">
        <v>722</v>
      </c>
      <c r="B1112" s="6" t="n">
        <v>40884.6611111111</v>
      </c>
      <c r="C1112" s="0" t="s">
        <v>723</v>
      </c>
      <c r="D1112" s="0" t="s">
        <v>729</v>
      </c>
      <c r="E1112" s="0" t="n">
        <v>20</v>
      </c>
      <c r="F1112" s="0" t="n">
        <v>0.42</v>
      </c>
      <c r="G1112" s="7" t="str">
        <f aca="false">_xlfn.XLOOKUP(D1112,Catalog!$B$2:$B$4102,Catalog!$A$2:$A$4102,"NOT IN CATALOG")</f>
        <v>NOT IN CATALOG</v>
      </c>
      <c r="H1112" s="7" t="str">
        <f aca="false">_xlfn.IFNA(VLOOKUP(D1112,Catalog!$B$2:$C$4102,2,FALSE()),"")</f>
        <v/>
      </c>
      <c r="I1112" s="7" t="str">
        <f aca="false">HLOOKUP(C1112,Regions!$B$1:$S$2,2,FALSE())</f>
        <v>Non-EU</v>
      </c>
      <c r="J1112" s="7" t="n">
        <f aca="false">E1112*F1112</f>
        <v>8.4</v>
      </c>
      <c r="K1112" s="8" t="str">
        <f aca="false">IF(H1112="","",1-F1112/H1112)</f>
        <v/>
      </c>
    </row>
    <row r="1113" customFormat="false" ht="15" hidden="false" customHeight="false" outlineLevel="0" collapsed="false">
      <c r="A1113" s="0" t="s">
        <v>722</v>
      </c>
      <c r="B1113" s="6" t="n">
        <v>40884.6611111111</v>
      </c>
      <c r="C1113" s="0" t="s">
        <v>723</v>
      </c>
      <c r="D1113" s="0" t="s">
        <v>246</v>
      </c>
      <c r="E1113" s="0" t="n">
        <v>20</v>
      </c>
      <c r="F1113" s="0" t="n">
        <v>0.42</v>
      </c>
      <c r="G1113" s="7" t="str">
        <f aca="false">_xlfn.XLOOKUP(D1113,Catalog!$B$2:$B$4102,Catalog!$A$2:$A$4102,"NOT IN CATALOG")</f>
        <v>NOT IN CATALOG</v>
      </c>
      <c r="H1113" s="7" t="str">
        <f aca="false">_xlfn.IFNA(VLOOKUP(D1113,Catalog!$B$2:$C$4102,2,FALSE()),"")</f>
        <v/>
      </c>
      <c r="I1113" s="7" t="str">
        <f aca="false">HLOOKUP(C1113,Regions!$B$1:$S$2,2,FALSE())</f>
        <v>Non-EU</v>
      </c>
      <c r="J1113" s="7" t="n">
        <f aca="false">E1113*F1113</f>
        <v>8.4</v>
      </c>
      <c r="K1113" s="8" t="str">
        <f aca="false">IF(H1113="","",1-F1113/H1113)</f>
        <v/>
      </c>
    </row>
    <row r="1114" customFormat="false" ht="15" hidden="false" customHeight="false" outlineLevel="0" collapsed="false">
      <c r="A1114" s="0" t="s">
        <v>730</v>
      </c>
      <c r="B1114" s="6" t="n">
        <v>40884.6638888889</v>
      </c>
      <c r="C1114" s="0" t="s">
        <v>180</v>
      </c>
      <c r="D1114" s="0" t="s">
        <v>731</v>
      </c>
      <c r="E1114" s="0" t="n">
        <v>12</v>
      </c>
      <c r="F1114" s="0" t="n">
        <v>0.79</v>
      </c>
      <c r="G1114" s="7" t="str">
        <f aca="false">_xlfn.XLOOKUP(D1114,Catalog!$B$2:$B$4102,Catalog!$A$2:$A$4102,"NOT IN CATALOG")</f>
        <v>GOLD PHOTO FRAME</v>
      </c>
      <c r="H1114" s="7" t="n">
        <f aca="false">_xlfn.IFNA(VLOOKUP(D1114,Catalog!$B$2:$C$4102,2,FALSE()),"")</f>
        <v>2.1</v>
      </c>
      <c r="I1114" s="7" t="str">
        <f aca="false">HLOOKUP(C1114,Regions!$B$1:$S$2,2,FALSE())</f>
        <v>EU</v>
      </c>
      <c r="J1114" s="7" t="n">
        <f aca="false">E1114*F1114</f>
        <v>9.48</v>
      </c>
      <c r="K1114" s="8" t="n">
        <f aca="false">IF(H1114="","",1-F1114/H1114)</f>
        <v>0.623809523809524</v>
      </c>
    </row>
    <row r="1115" customFormat="false" ht="15" hidden="false" customHeight="false" outlineLevel="0" collapsed="false">
      <c r="A1115" s="0" t="s">
        <v>730</v>
      </c>
      <c r="B1115" s="6" t="n">
        <v>40884.6638888889</v>
      </c>
      <c r="C1115" s="0" t="s">
        <v>180</v>
      </c>
      <c r="D1115" s="0" t="s">
        <v>326</v>
      </c>
      <c r="E1115" s="0" t="n">
        <v>8</v>
      </c>
      <c r="F1115" s="0" t="n">
        <v>1.95</v>
      </c>
      <c r="G1115" s="7" t="str">
        <f aca="false">_xlfn.XLOOKUP(D1115,Catalog!$B$2:$B$4102,Catalog!$A$2:$A$4102,"NOT IN CATALOG")</f>
        <v>ROSE CARAVAN DOORSTOP</v>
      </c>
      <c r="H1115" s="7" t="n">
        <f aca="false">_xlfn.IFNA(VLOOKUP(D1115,Catalog!$B$2:$C$4102,2,FALSE()),"")</f>
        <v>6.75</v>
      </c>
      <c r="I1115" s="7" t="str">
        <f aca="false">HLOOKUP(C1115,Regions!$B$1:$S$2,2,FALSE())</f>
        <v>EU</v>
      </c>
      <c r="J1115" s="7" t="n">
        <f aca="false">E1115*F1115</f>
        <v>15.6</v>
      </c>
      <c r="K1115" s="8" t="n">
        <f aca="false">IF(H1115="","",1-F1115/H1115)</f>
        <v>0.711111111111111</v>
      </c>
    </row>
    <row r="1116" customFormat="false" ht="15" hidden="false" customHeight="false" outlineLevel="0" collapsed="false">
      <c r="A1116" s="0" t="s">
        <v>730</v>
      </c>
      <c r="B1116" s="6" t="n">
        <v>40884.6638888889</v>
      </c>
      <c r="C1116" s="0" t="s">
        <v>180</v>
      </c>
      <c r="D1116" s="0" t="s">
        <v>582</v>
      </c>
      <c r="E1116" s="0" t="n">
        <v>12</v>
      </c>
      <c r="F1116" s="0" t="n">
        <v>1.95</v>
      </c>
      <c r="G1116" s="7" t="str">
        <f aca="false">_xlfn.XLOOKUP(D1116,Catalog!$B$2:$B$4102,Catalog!$A$2:$A$4102,"NOT IN CATALOG")</f>
        <v>LARGE CAKE TOWEL, CHOCOLATE SPOTS</v>
      </c>
      <c r="H1116" s="7" t="n">
        <f aca="false">_xlfn.IFNA(VLOOKUP(D1116,Catalog!$B$2:$C$4102,2,FALSE()),"")</f>
        <v>6.75</v>
      </c>
      <c r="I1116" s="7" t="str">
        <f aca="false">HLOOKUP(C1116,Regions!$B$1:$S$2,2,FALSE())</f>
        <v>EU</v>
      </c>
      <c r="J1116" s="7" t="n">
        <f aca="false">E1116*F1116</f>
        <v>23.4</v>
      </c>
      <c r="K1116" s="8" t="n">
        <f aca="false">IF(H1116="","",1-F1116/H1116)</f>
        <v>0.711111111111111</v>
      </c>
    </row>
    <row r="1117" customFormat="false" ht="15" hidden="false" customHeight="false" outlineLevel="0" collapsed="false">
      <c r="A1117" s="0" t="s">
        <v>730</v>
      </c>
      <c r="B1117" s="6" t="n">
        <v>40884.6638888889</v>
      </c>
      <c r="C1117" s="0" t="s">
        <v>180</v>
      </c>
      <c r="D1117" s="0" t="s">
        <v>732</v>
      </c>
      <c r="E1117" s="0" t="n">
        <v>8</v>
      </c>
      <c r="F1117" s="0" t="n">
        <v>1.95</v>
      </c>
      <c r="G1117" s="7" t="str">
        <f aca="false">_xlfn.XLOOKUP(D1117,Catalog!$B$2:$B$4102,Catalog!$A$2:$A$4102,"NOT IN CATALOG")</f>
        <v>GOLD FISHING GNOME</v>
      </c>
      <c r="H1117" s="7" t="n">
        <f aca="false">_xlfn.IFNA(VLOOKUP(D1117,Catalog!$B$2:$C$4102,2,FALSE()),"")</f>
        <v>6.95</v>
      </c>
      <c r="I1117" s="7" t="str">
        <f aca="false">HLOOKUP(C1117,Regions!$B$1:$S$2,2,FALSE())</f>
        <v>EU</v>
      </c>
      <c r="J1117" s="7" t="n">
        <f aca="false">E1117*F1117</f>
        <v>15.6</v>
      </c>
      <c r="K1117" s="8" t="n">
        <f aca="false">IF(H1117="","",1-F1117/H1117)</f>
        <v>0.719424460431655</v>
      </c>
    </row>
    <row r="1118" customFormat="false" ht="15" hidden="false" customHeight="false" outlineLevel="0" collapsed="false">
      <c r="A1118" s="0" t="s">
        <v>730</v>
      </c>
      <c r="B1118" s="6" t="n">
        <v>40884.6638888889</v>
      </c>
      <c r="C1118" s="0" t="s">
        <v>180</v>
      </c>
      <c r="D1118" s="0" t="s">
        <v>733</v>
      </c>
      <c r="E1118" s="0" t="n">
        <v>6</v>
      </c>
      <c r="F1118" s="0" t="n">
        <v>1.25</v>
      </c>
      <c r="G1118" s="7" t="str">
        <f aca="false">_xlfn.XLOOKUP(D1118,Catalog!$B$2:$B$4102,Catalog!$A$2:$A$4102,"NOT IN CATALOG")</f>
        <v>FRYING PAN RED POLKADOT</v>
      </c>
      <c r="H1118" s="7" t="n">
        <f aca="false">_xlfn.IFNA(VLOOKUP(D1118,Catalog!$B$2:$C$4102,2,FALSE()),"")</f>
        <v>4.25</v>
      </c>
      <c r="I1118" s="7" t="str">
        <f aca="false">HLOOKUP(C1118,Regions!$B$1:$S$2,2,FALSE())</f>
        <v>EU</v>
      </c>
      <c r="J1118" s="7" t="n">
        <f aca="false">E1118*F1118</f>
        <v>7.5</v>
      </c>
      <c r="K1118" s="8" t="n">
        <f aca="false">IF(H1118="","",1-F1118/H1118)</f>
        <v>0.705882352941176</v>
      </c>
    </row>
    <row r="1119" customFormat="false" ht="15" hidden="false" customHeight="false" outlineLevel="0" collapsed="false">
      <c r="A1119" s="0" t="s">
        <v>730</v>
      </c>
      <c r="B1119" s="6" t="n">
        <v>40884.6638888889</v>
      </c>
      <c r="C1119" s="0" t="s">
        <v>180</v>
      </c>
      <c r="D1119" s="0" t="s">
        <v>734</v>
      </c>
      <c r="E1119" s="0" t="n">
        <v>6</v>
      </c>
      <c r="F1119" s="0" t="n">
        <v>1.25</v>
      </c>
      <c r="G1119" s="7" t="str">
        <f aca="false">_xlfn.XLOOKUP(D1119,Catalog!$B$2:$B$4102,Catalog!$A$2:$A$4102,"NOT IN CATALOG")</f>
        <v>MILK PAN RED RETROSPOT</v>
      </c>
      <c r="H1119" s="7" t="n">
        <f aca="false">_xlfn.IFNA(VLOOKUP(D1119,Catalog!$B$2:$C$4102,2,FALSE()),"")</f>
        <v>3.75</v>
      </c>
      <c r="I1119" s="7" t="str">
        <f aca="false">HLOOKUP(C1119,Regions!$B$1:$S$2,2,FALSE())</f>
        <v>EU</v>
      </c>
      <c r="J1119" s="7" t="n">
        <f aca="false">E1119*F1119</f>
        <v>7.5</v>
      </c>
      <c r="K1119" s="8" t="n">
        <f aca="false">IF(H1119="","",1-F1119/H1119)</f>
        <v>0.666666666666667</v>
      </c>
    </row>
    <row r="1120" customFormat="false" ht="15" hidden="false" customHeight="false" outlineLevel="0" collapsed="false">
      <c r="A1120" s="0" t="s">
        <v>730</v>
      </c>
      <c r="B1120" s="6" t="n">
        <v>40884.6638888889</v>
      </c>
      <c r="C1120" s="0" t="s">
        <v>180</v>
      </c>
      <c r="D1120" s="0" t="s">
        <v>735</v>
      </c>
      <c r="E1120" s="0" t="n">
        <v>12</v>
      </c>
      <c r="F1120" s="0" t="n">
        <v>1.95</v>
      </c>
      <c r="G1120" s="7" t="str">
        <f aca="false">_xlfn.XLOOKUP(D1120,Catalog!$B$2:$B$4102,Catalog!$A$2:$A$4102,"NOT IN CATALOG")</f>
        <v>GROW YOUR OWN FLOWERS SET OF 3</v>
      </c>
      <c r="H1120" s="7" t="n">
        <f aca="false">_xlfn.IFNA(VLOOKUP(D1120,Catalog!$B$2:$C$4102,2,FALSE()),"")</f>
        <v>7.95</v>
      </c>
      <c r="I1120" s="7" t="str">
        <f aca="false">HLOOKUP(C1120,Regions!$B$1:$S$2,2,FALSE())</f>
        <v>EU</v>
      </c>
      <c r="J1120" s="7" t="n">
        <f aca="false">E1120*F1120</f>
        <v>23.4</v>
      </c>
      <c r="K1120" s="8" t="n">
        <f aca="false">IF(H1120="","",1-F1120/H1120)</f>
        <v>0.754716981132076</v>
      </c>
    </row>
    <row r="1121" customFormat="false" ht="15" hidden="false" customHeight="false" outlineLevel="0" collapsed="false">
      <c r="A1121" s="0" t="s">
        <v>730</v>
      </c>
      <c r="B1121" s="6" t="n">
        <v>40884.6638888889</v>
      </c>
      <c r="C1121" s="0" t="s">
        <v>180</v>
      </c>
      <c r="D1121" s="0" t="s">
        <v>736</v>
      </c>
      <c r="E1121" s="0" t="n">
        <v>12</v>
      </c>
      <c r="F1121" s="0" t="n">
        <v>0.79</v>
      </c>
      <c r="G1121" s="7" t="str">
        <f aca="false">_xlfn.XLOOKUP(D1121,Catalog!$B$2:$B$4102,Catalog!$A$2:$A$4102,"NOT IN CATALOG")</f>
        <v>SET OF 2 ROUND TINS DUTCH CHEESE</v>
      </c>
      <c r="H1121" s="7" t="n">
        <f aca="false">_xlfn.IFNA(VLOOKUP(D1121,Catalog!$B$2:$C$4102,2,FALSE()),"")</f>
        <v>2.95</v>
      </c>
      <c r="I1121" s="7" t="str">
        <f aca="false">HLOOKUP(C1121,Regions!$B$1:$S$2,2,FALSE())</f>
        <v>EU</v>
      </c>
      <c r="J1121" s="7" t="n">
        <f aca="false">E1121*F1121</f>
        <v>9.48</v>
      </c>
      <c r="K1121" s="8" t="n">
        <f aca="false">IF(H1121="","",1-F1121/H1121)</f>
        <v>0.732203389830509</v>
      </c>
    </row>
    <row r="1122" customFormat="false" ht="15" hidden="false" customHeight="false" outlineLevel="0" collapsed="false">
      <c r="A1122" s="0" t="s">
        <v>730</v>
      </c>
      <c r="B1122" s="6" t="n">
        <v>40884.6638888889</v>
      </c>
      <c r="C1122" s="0" t="s">
        <v>180</v>
      </c>
      <c r="D1122" s="0" t="s">
        <v>587</v>
      </c>
      <c r="E1122" s="0" t="n">
        <v>24</v>
      </c>
      <c r="F1122" s="0" t="n">
        <v>0.79</v>
      </c>
      <c r="G1122" s="7" t="str">
        <f aca="false">_xlfn.XLOOKUP(D1122,Catalog!$B$2:$B$4102,Catalog!$A$2:$A$4102,"NOT IN CATALOG")</f>
        <v>NOT IN CATALOG</v>
      </c>
      <c r="H1122" s="7" t="str">
        <f aca="false">_xlfn.IFNA(VLOOKUP(D1122,Catalog!$B$2:$C$4102,2,FALSE()),"")</f>
        <v/>
      </c>
      <c r="I1122" s="7" t="str">
        <f aca="false">HLOOKUP(C1122,Regions!$B$1:$S$2,2,FALSE())</f>
        <v>EU</v>
      </c>
      <c r="J1122" s="7" t="n">
        <f aca="false">E1122*F1122</f>
        <v>18.96</v>
      </c>
      <c r="K1122" s="8" t="str">
        <f aca="false">IF(H1122="","",1-F1122/H1122)</f>
        <v/>
      </c>
    </row>
    <row r="1123" customFormat="false" ht="15" hidden="false" customHeight="false" outlineLevel="0" collapsed="false">
      <c r="A1123" s="0" t="s">
        <v>730</v>
      </c>
      <c r="B1123" s="6" t="n">
        <v>40884.6638888889</v>
      </c>
      <c r="C1123" s="0" t="s">
        <v>180</v>
      </c>
      <c r="D1123" s="0" t="s">
        <v>208</v>
      </c>
      <c r="E1123" s="0" t="n">
        <v>12</v>
      </c>
      <c r="F1123" s="0" t="n">
        <v>2.1</v>
      </c>
      <c r="G1123" s="7" t="str">
        <f aca="false">_xlfn.XLOOKUP(D1123,Catalog!$B$2:$B$4102,Catalog!$A$2:$A$4102,"NOT IN CATALOG")</f>
        <v>I'M ON HOLIDAY METAL SIGN</v>
      </c>
      <c r="H1123" s="7" t="n">
        <f aca="false">_xlfn.IFNA(VLOOKUP(D1123,Catalog!$B$2:$C$4102,2,FALSE()),"")</f>
        <v>2.1</v>
      </c>
      <c r="I1123" s="7" t="str">
        <f aca="false">HLOOKUP(C1123,Regions!$B$1:$S$2,2,FALSE())</f>
        <v>EU</v>
      </c>
      <c r="J1123" s="7" t="n">
        <f aca="false">E1123*F1123</f>
        <v>25.2</v>
      </c>
      <c r="K1123" s="8" t="n">
        <f aca="false">IF(H1123="","",1-F1123/H1123)</f>
        <v>0</v>
      </c>
    </row>
    <row r="1124" customFormat="false" ht="15" hidden="false" customHeight="false" outlineLevel="0" collapsed="false">
      <c r="A1124" s="0" t="s">
        <v>730</v>
      </c>
      <c r="B1124" s="6" t="n">
        <v>40884.6638888889</v>
      </c>
      <c r="C1124" s="0" t="s">
        <v>180</v>
      </c>
      <c r="D1124" s="0" t="s">
        <v>202</v>
      </c>
      <c r="E1124" s="0" t="n">
        <v>12</v>
      </c>
      <c r="F1124" s="0" t="n">
        <v>2.08</v>
      </c>
      <c r="G1124" s="7" t="str">
        <f aca="false">_xlfn.XLOOKUP(D1124,Catalog!$B$2:$B$4102,Catalog!$A$2:$A$4102,"NOT IN CATALOG")</f>
        <v>COOK WITH WINE METAL SIGN</v>
      </c>
      <c r="H1124" s="7" t="n">
        <f aca="false">_xlfn.IFNA(VLOOKUP(D1124,Catalog!$B$2:$C$4102,2,FALSE()),"")</f>
        <v>1.95</v>
      </c>
      <c r="I1124" s="7" t="str">
        <f aca="false">HLOOKUP(C1124,Regions!$B$1:$S$2,2,FALSE())</f>
        <v>EU</v>
      </c>
      <c r="J1124" s="7" t="n">
        <f aca="false">E1124*F1124</f>
        <v>24.96</v>
      </c>
      <c r="K1124" s="8" t="n">
        <f aca="false">IF(H1124="","",1-F1124/H1124)</f>
        <v>-0.0666666666666667</v>
      </c>
    </row>
    <row r="1125" customFormat="false" ht="15" hidden="false" customHeight="false" outlineLevel="0" collapsed="false">
      <c r="A1125" s="0" t="s">
        <v>730</v>
      </c>
      <c r="B1125" s="6" t="n">
        <v>40884.6638888889</v>
      </c>
      <c r="C1125" s="0" t="s">
        <v>180</v>
      </c>
      <c r="D1125" s="0" t="s">
        <v>279</v>
      </c>
      <c r="E1125" s="0" t="n">
        <v>4</v>
      </c>
      <c r="F1125" s="0" t="n">
        <v>8.25</v>
      </c>
      <c r="G1125" s="7" t="str">
        <f aca="false">_xlfn.XLOOKUP(D1125,Catalog!$B$2:$B$4102,Catalog!$A$2:$A$4102,"NOT IN CATALOG")</f>
        <v>NOT IN CATALOG</v>
      </c>
      <c r="H1125" s="7" t="str">
        <f aca="false">_xlfn.IFNA(VLOOKUP(D1125,Catalog!$B$2:$C$4102,2,FALSE()),"")</f>
        <v/>
      </c>
      <c r="I1125" s="7" t="str">
        <f aca="false">HLOOKUP(C1125,Regions!$B$1:$S$2,2,FALSE())</f>
        <v>EU</v>
      </c>
      <c r="J1125" s="7" t="n">
        <f aca="false">E1125*F1125</f>
        <v>33</v>
      </c>
      <c r="K1125" s="8" t="str">
        <f aca="false">IF(H1125="","",1-F1125/H1125)</f>
        <v/>
      </c>
    </row>
    <row r="1126" customFormat="false" ht="15" hidden="false" customHeight="false" outlineLevel="0" collapsed="false">
      <c r="A1126" s="0" t="s">
        <v>730</v>
      </c>
      <c r="B1126" s="6" t="n">
        <v>40884.6638888889</v>
      </c>
      <c r="C1126" s="0" t="s">
        <v>180</v>
      </c>
      <c r="D1126" s="0" t="s">
        <v>737</v>
      </c>
      <c r="E1126" s="0" t="n">
        <v>2</v>
      </c>
      <c r="F1126" s="0" t="n">
        <v>8.25</v>
      </c>
      <c r="G1126" s="7" t="str">
        <f aca="false">_xlfn.XLOOKUP(D1126,Catalog!$B$2:$B$4102,Catalog!$A$2:$A$4102,"NOT IN CATALOG")</f>
        <v>DOORMAT AIRMAIL</v>
      </c>
      <c r="H1126" s="7" t="n">
        <f aca="false">_xlfn.IFNA(VLOOKUP(D1126,Catalog!$B$2:$C$4102,2,FALSE()),"")</f>
        <v>7.49</v>
      </c>
      <c r="I1126" s="7" t="str">
        <f aca="false">HLOOKUP(C1126,Regions!$B$1:$S$2,2,FALSE())</f>
        <v>EU</v>
      </c>
      <c r="J1126" s="7" t="n">
        <f aca="false">E1126*F1126</f>
        <v>16.5</v>
      </c>
      <c r="K1126" s="8" t="n">
        <f aca="false">IF(H1126="","",1-F1126/H1126)</f>
        <v>-0.101468624833111</v>
      </c>
    </row>
    <row r="1127" customFormat="false" ht="15" hidden="false" customHeight="false" outlineLevel="0" collapsed="false">
      <c r="A1127" s="0" t="s">
        <v>730</v>
      </c>
      <c r="B1127" s="6" t="n">
        <v>40884.6638888889</v>
      </c>
      <c r="C1127" s="0" t="s">
        <v>180</v>
      </c>
      <c r="D1127" s="0" t="s">
        <v>647</v>
      </c>
      <c r="E1127" s="0" t="n">
        <v>2</v>
      </c>
      <c r="F1127" s="0" t="n">
        <v>8.25</v>
      </c>
      <c r="G1127" s="7" t="str">
        <f aca="false">_xlfn.XLOOKUP(D1127,Catalog!$B$2:$B$4102,Catalog!$A$2:$A$4102,"NOT IN CATALOG")</f>
        <v>DOORMAT HOME SWEET HOME BLUE</v>
      </c>
      <c r="H1127" s="7" t="n">
        <f aca="false">_xlfn.IFNA(VLOOKUP(D1127,Catalog!$B$2:$C$4102,2,FALSE()),"")</f>
        <v>7.49</v>
      </c>
      <c r="I1127" s="7" t="str">
        <f aca="false">HLOOKUP(C1127,Regions!$B$1:$S$2,2,FALSE())</f>
        <v>EU</v>
      </c>
      <c r="J1127" s="7" t="n">
        <f aca="false">E1127*F1127</f>
        <v>16.5</v>
      </c>
      <c r="K1127" s="8" t="n">
        <f aca="false">IF(H1127="","",1-F1127/H1127)</f>
        <v>-0.101468624833111</v>
      </c>
    </row>
    <row r="1128" customFormat="false" ht="15" hidden="false" customHeight="false" outlineLevel="0" collapsed="false">
      <c r="A1128" s="0" t="s">
        <v>730</v>
      </c>
      <c r="B1128" s="6" t="n">
        <v>40884.6638888889</v>
      </c>
      <c r="C1128" s="0" t="s">
        <v>180</v>
      </c>
      <c r="D1128" s="0" t="s">
        <v>312</v>
      </c>
      <c r="E1128" s="0" t="n">
        <v>2</v>
      </c>
      <c r="F1128" s="0" t="n">
        <v>8.25</v>
      </c>
      <c r="G1128" s="7" t="str">
        <f aca="false">_xlfn.XLOOKUP(D1128,Catalog!$B$2:$B$4102,Catalog!$A$2:$A$4102,"NOT IN CATALOG")</f>
        <v>DOORMAT WELCOME TO OUR HOME</v>
      </c>
      <c r="H1128" s="7" t="n">
        <f aca="false">_xlfn.IFNA(VLOOKUP(D1128,Catalog!$B$2:$C$4102,2,FALSE()),"")</f>
        <v>7.95</v>
      </c>
      <c r="I1128" s="7" t="str">
        <f aca="false">HLOOKUP(C1128,Regions!$B$1:$S$2,2,FALSE())</f>
        <v>EU</v>
      </c>
      <c r="J1128" s="7" t="n">
        <f aca="false">E1128*F1128</f>
        <v>16.5</v>
      </c>
      <c r="K1128" s="8" t="n">
        <f aca="false">IF(H1128="","",1-F1128/H1128)</f>
        <v>-0.0377358490566038</v>
      </c>
    </row>
    <row r="1129" customFormat="false" ht="15" hidden="false" customHeight="false" outlineLevel="0" collapsed="false">
      <c r="A1129" s="0" t="s">
        <v>730</v>
      </c>
      <c r="B1129" s="6" t="n">
        <v>40884.6638888889</v>
      </c>
      <c r="C1129" s="0" t="s">
        <v>180</v>
      </c>
      <c r="D1129" s="0" t="s">
        <v>39</v>
      </c>
      <c r="E1129" s="0" t="n">
        <v>4</v>
      </c>
      <c r="F1129" s="0" t="n">
        <v>28</v>
      </c>
      <c r="G1129" s="7" t="str">
        <f aca="false">_xlfn.XLOOKUP(D1129,Catalog!$B$2:$B$4102,Catalog!$A$2:$A$4102,"NOT IN CATALOG")</f>
        <v>POSTAGE</v>
      </c>
      <c r="H1129" s="7" t="n">
        <f aca="false">_xlfn.IFNA(VLOOKUP(D1129,Catalog!$B$2:$C$4102,2,FALSE()),"")</f>
        <v>18</v>
      </c>
      <c r="I1129" s="7" t="str">
        <f aca="false">HLOOKUP(C1129,Regions!$B$1:$S$2,2,FALSE())</f>
        <v>EU</v>
      </c>
      <c r="J1129" s="7" t="n">
        <f aca="false">E1129*F1129</f>
        <v>112</v>
      </c>
      <c r="K1129" s="8" t="n">
        <f aca="false">IF(H1129="","",1-F1129/H1129)</f>
        <v>-0.555555555555556</v>
      </c>
    </row>
    <row r="1130" customFormat="false" ht="15" hidden="false" customHeight="false" outlineLevel="0" collapsed="false">
      <c r="A1130" s="0" t="s">
        <v>730</v>
      </c>
      <c r="B1130" s="6" t="n">
        <v>40884.6638888889</v>
      </c>
      <c r="C1130" s="0" t="s">
        <v>180</v>
      </c>
      <c r="D1130" s="0" t="s">
        <v>210</v>
      </c>
      <c r="E1130" s="0" t="n">
        <v>4</v>
      </c>
      <c r="F1130" s="0" t="n">
        <v>6.25</v>
      </c>
      <c r="G1130" s="7" t="str">
        <f aca="false">_xlfn.XLOOKUP(D1130,Catalog!$B$2:$B$4102,Catalog!$A$2:$A$4102,"NOT IN CATALOG")</f>
        <v>NOT IN CATALOG</v>
      </c>
      <c r="H1130" s="7" t="str">
        <f aca="false">_xlfn.IFNA(VLOOKUP(D1130,Catalog!$B$2:$C$4102,2,FALSE()),"")</f>
        <v/>
      </c>
      <c r="I1130" s="7" t="str">
        <f aca="false">HLOOKUP(C1130,Regions!$B$1:$S$2,2,FALSE())</f>
        <v>EU</v>
      </c>
      <c r="J1130" s="7" t="n">
        <f aca="false">E1130*F1130</f>
        <v>25</v>
      </c>
      <c r="K1130" s="8" t="str">
        <f aca="false">IF(H1130="","",1-F1130/H1130)</f>
        <v/>
      </c>
    </row>
    <row r="1131" customFormat="false" ht="15" hidden="false" customHeight="false" outlineLevel="0" collapsed="false">
      <c r="A1131" s="0" t="s">
        <v>738</v>
      </c>
      <c r="B1131" s="6" t="n">
        <v>40884.6833333333</v>
      </c>
      <c r="C1131" s="0" t="s">
        <v>29</v>
      </c>
      <c r="D1131" s="0" t="s">
        <v>733</v>
      </c>
      <c r="E1131" s="0" t="n">
        <v>6</v>
      </c>
      <c r="F1131" s="0" t="n">
        <v>1.25</v>
      </c>
      <c r="G1131" s="7" t="str">
        <f aca="false">_xlfn.XLOOKUP(D1131,Catalog!$B$2:$B$4102,Catalog!$A$2:$A$4102,"NOT IN CATALOG")</f>
        <v>FRYING PAN RED POLKADOT</v>
      </c>
      <c r="H1131" s="7" t="n">
        <f aca="false">_xlfn.IFNA(VLOOKUP(D1131,Catalog!$B$2:$C$4102,2,FALSE()),"")</f>
        <v>4.25</v>
      </c>
      <c r="I1131" s="7" t="str">
        <f aca="false">HLOOKUP(C1131,Regions!$B$1:$S$2,2,FALSE())</f>
        <v>EU</v>
      </c>
      <c r="J1131" s="7" t="n">
        <f aca="false">E1131*F1131</f>
        <v>7.5</v>
      </c>
      <c r="K1131" s="8" t="n">
        <f aca="false">IF(H1131="","",1-F1131/H1131)</f>
        <v>0.705882352941176</v>
      </c>
    </row>
    <row r="1132" customFormat="false" ht="15" hidden="false" customHeight="false" outlineLevel="0" collapsed="false">
      <c r="A1132" s="0" t="s">
        <v>738</v>
      </c>
      <c r="B1132" s="6" t="n">
        <v>40884.6833333333</v>
      </c>
      <c r="C1132" s="0" t="s">
        <v>29</v>
      </c>
      <c r="D1132" s="0" t="s">
        <v>739</v>
      </c>
      <c r="E1132" s="0" t="n">
        <v>6</v>
      </c>
      <c r="F1132" s="0" t="n">
        <v>1.25</v>
      </c>
      <c r="G1132" s="7" t="str">
        <f aca="false">_xlfn.XLOOKUP(D1132,Catalog!$B$2:$B$4102,Catalog!$A$2:$A$4102,"NOT IN CATALOG")</f>
        <v>FRYING PAN PINK POLKADOT</v>
      </c>
      <c r="H1132" s="7" t="n">
        <f aca="false">_xlfn.IFNA(VLOOKUP(D1132,Catalog!$B$2:$C$4102,2,FALSE()),"")</f>
        <v>4.25</v>
      </c>
      <c r="I1132" s="7" t="str">
        <f aca="false">HLOOKUP(C1132,Regions!$B$1:$S$2,2,FALSE())</f>
        <v>EU</v>
      </c>
      <c r="J1132" s="7" t="n">
        <f aca="false">E1132*F1132</f>
        <v>7.5</v>
      </c>
      <c r="K1132" s="8" t="n">
        <f aca="false">IF(H1132="","",1-F1132/H1132)</f>
        <v>0.705882352941176</v>
      </c>
    </row>
    <row r="1133" customFormat="false" ht="15" hidden="false" customHeight="false" outlineLevel="0" collapsed="false">
      <c r="A1133" s="0" t="s">
        <v>738</v>
      </c>
      <c r="B1133" s="6" t="n">
        <v>40884.6833333333</v>
      </c>
      <c r="C1133" s="0" t="s">
        <v>29</v>
      </c>
      <c r="D1133" s="0" t="s">
        <v>38</v>
      </c>
      <c r="E1133" s="0" t="n">
        <v>24</v>
      </c>
      <c r="F1133" s="0" t="n">
        <v>0.39</v>
      </c>
      <c r="G1133" s="7" t="str">
        <f aca="false">_xlfn.XLOOKUP(D1133,Catalog!$B$2:$B$4102,Catalog!$A$2:$A$4102,"NOT IN CATALOG")</f>
        <v>MAGNETS PACK OF 4 SWALLOWS</v>
      </c>
      <c r="H1133" s="7" t="n">
        <f aca="false">_xlfn.IFNA(VLOOKUP(D1133,Catalog!$B$2:$C$4102,2,FALSE()),"")</f>
        <v>1.25</v>
      </c>
      <c r="I1133" s="7" t="str">
        <f aca="false">HLOOKUP(C1133,Regions!$B$1:$S$2,2,FALSE())</f>
        <v>EU</v>
      </c>
      <c r="J1133" s="7" t="n">
        <f aca="false">E1133*F1133</f>
        <v>9.36</v>
      </c>
      <c r="K1133" s="8" t="n">
        <f aca="false">IF(H1133="","",1-F1133/H1133)</f>
        <v>0.688</v>
      </c>
    </row>
    <row r="1134" customFormat="false" ht="15" hidden="false" customHeight="false" outlineLevel="0" collapsed="false">
      <c r="A1134" s="0" t="s">
        <v>738</v>
      </c>
      <c r="B1134" s="6" t="n">
        <v>40884.6833333333</v>
      </c>
      <c r="C1134" s="0" t="s">
        <v>29</v>
      </c>
      <c r="D1134" s="0" t="s">
        <v>740</v>
      </c>
      <c r="E1134" s="0" t="n">
        <v>16</v>
      </c>
      <c r="F1134" s="0" t="n">
        <v>0.39</v>
      </c>
      <c r="G1134" s="7" t="str">
        <f aca="false">_xlfn.XLOOKUP(D1134,Catalog!$B$2:$B$4102,Catalog!$A$2:$A$4102,"NOT IN CATALOG")</f>
        <v>CERAMIC PLATE STRAWBERRY DESIGN</v>
      </c>
      <c r="H1134" s="7" t="n">
        <f aca="false">_xlfn.IFNA(VLOOKUP(D1134,Catalog!$B$2:$C$4102,2,FALSE()),"")</f>
        <v>1.49</v>
      </c>
      <c r="I1134" s="7" t="str">
        <f aca="false">HLOOKUP(C1134,Regions!$B$1:$S$2,2,FALSE())</f>
        <v>EU</v>
      </c>
      <c r="J1134" s="7" t="n">
        <f aca="false">E1134*F1134</f>
        <v>6.24</v>
      </c>
      <c r="K1134" s="8" t="n">
        <f aca="false">IF(H1134="","",1-F1134/H1134)</f>
        <v>0.738255033557047</v>
      </c>
    </row>
    <row r="1135" customFormat="false" ht="15" hidden="false" customHeight="false" outlineLevel="0" collapsed="false">
      <c r="A1135" s="0" t="s">
        <v>738</v>
      </c>
      <c r="B1135" s="6" t="n">
        <v>40884.6833333333</v>
      </c>
      <c r="C1135" s="0" t="s">
        <v>29</v>
      </c>
      <c r="D1135" s="0" t="s">
        <v>741</v>
      </c>
      <c r="E1135" s="0" t="n">
        <v>24</v>
      </c>
      <c r="F1135" s="0" t="n">
        <v>0.39</v>
      </c>
      <c r="G1135" s="7" t="str">
        <f aca="false">_xlfn.XLOOKUP(D1135,Catalog!$B$2:$B$4102,Catalog!$A$2:$A$4102,"NOT IN CATALOG")</f>
        <v>CERAMIC STRWBERRY DESIGN MUG</v>
      </c>
      <c r="H1135" s="7" t="n">
        <f aca="false">_xlfn.IFNA(VLOOKUP(D1135,Catalog!$B$2:$C$4102,2,FALSE()),"")</f>
        <v>1.49</v>
      </c>
      <c r="I1135" s="7" t="str">
        <f aca="false">HLOOKUP(C1135,Regions!$B$1:$S$2,2,FALSE())</f>
        <v>EU</v>
      </c>
      <c r="J1135" s="7" t="n">
        <f aca="false">E1135*F1135</f>
        <v>9.36</v>
      </c>
      <c r="K1135" s="8" t="n">
        <f aca="false">IF(H1135="","",1-F1135/H1135)</f>
        <v>0.738255033557047</v>
      </c>
    </row>
    <row r="1136" customFormat="false" ht="15" hidden="false" customHeight="false" outlineLevel="0" collapsed="false">
      <c r="A1136" s="0" t="s">
        <v>738</v>
      </c>
      <c r="B1136" s="6" t="n">
        <v>40884.6833333333</v>
      </c>
      <c r="C1136" s="0" t="s">
        <v>29</v>
      </c>
      <c r="D1136" s="0" t="s">
        <v>30</v>
      </c>
      <c r="E1136" s="0" t="n">
        <v>16</v>
      </c>
      <c r="F1136" s="0" t="n">
        <v>0.39</v>
      </c>
      <c r="G1136" s="7" t="str">
        <f aca="false">_xlfn.XLOOKUP(D1136,Catalog!$B$2:$B$4102,Catalog!$A$2:$A$4102,"NOT IN CATALOG")</f>
        <v>MINI CAKE STAND HANGING STRAWBERY</v>
      </c>
      <c r="H1136" s="7" t="n">
        <f aca="false">_xlfn.IFNA(VLOOKUP(D1136,Catalog!$B$2:$C$4102,2,FALSE()),"")</f>
        <v>1.65</v>
      </c>
      <c r="I1136" s="7" t="str">
        <f aca="false">HLOOKUP(C1136,Regions!$B$1:$S$2,2,FALSE())</f>
        <v>EU</v>
      </c>
      <c r="J1136" s="7" t="n">
        <f aca="false">E1136*F1136</f>
        <v>6.24</v>
      </c>
      <c r="K1136" s="8" t="n">
        <f aca="false">IF(H1136="","",1-F1136/H1136)</f>
        <v>0.763636363636364</v>
      </c>
    </row>
    <row r="1137" customFormat="false" ht="15" hidden="false" customHeight="false" outlineLevel="0" collapsed="false">
      <c r="A1137" s="0" t="s">
        <v>738</v>
      </c>
      <c r="B1137" s="6" t="n">
        <v>40884.6833333333</v>
      </c>
      <c r="C1137" s="0" t="s">
        <v>29</v>
      </c>
      <c r="D1137" s="0" t="s">
        <v>742</v>
      </c>
      <c r="E1137" s="0" t="n">
        <v>18</v>
      </c>
      <c r="F1137" s="0" t="n">
        <v>0.79</v>
      </c>
      <c r="G1137" s="7" t="str">
        <f aca="false">_xlfn.XLOOKUP(D1137,Catalog!$B$2:$B$4102,Catalog!$A$2:$A$4102,"NOT IN CATALOG")</f>
        <v>CERAMIC BOWL WITH STRAWBERRY DESIGN</v>
      </c>
      <c r="H1137" s="7" t="n">
        <f aca="false">_xlfn.IFNA(VLOOKUP(D1137,Catalog!$B$2:$C$4102,2,FALSE()),"")</f>
        <v>2.95</v>
      </c>
      <c r="I1137" s="7" t="str">
        <f aca="false">HLOOKUP(C1137,Regions!$B$1:$S$2,2,FALSE())</f>
        <v>EU</v>
      </c>
      <c r="J1137" s="7" t="n">
        <f aca="false">E1137*F1137</f>
        <v>14.22</v>
      </c>
      <c r="K1137" s="8" t="n">
        <f aca="false">IF(H1137="","",1-F1137/H1137)</f>
        <v>0.732203389830509</v>
      </c>
    </row>
    <row r="1138" customFormat="false" ht="15" hidden="false" customHeight="false" outlineLevel="0" collapsed="false">
      <c r="A1138" s="0" t="s">
        <v>738</v>
      </c>
      <c r="B1138" s="6" t="n">
        <v>40884.6833333333</v>
      </c>
      <c r="C1138" s="0" t="s">
        <v>29</v>
      </c>
      <c r="D1138" s="0" t="s">
        <v>331</v>
      </c>
      <c r="E1138" s="0" t="n">
        <v>12</v>
      </c>
      <c r="F1138" s="0" t="n">
        <v>0.79</v>
      </c>
      <c r="G1138" s="7" t="str">
        <f aca="false">_xlfn.XLOOKUP(D1138,Catalog!$B$2:$B$4102,Catalog!$A$2:$A$4102,"NOT IN CATALOG")</f>
        <v>PING MICROWAVE APRON</v>
      </c>
      <c r="H1138" s="7" t="n">
        <f aca="false">_xlfn.IFNA(VLOOKUP(D1138,Catalog!$B$2:$C$4102,2,FALSE()),"")</f>
        <v>5.06</v>
      </c>
      <c r="I1138" s="7" t="str">
        <f aca="false">HLOOKUP(C1138,Regions!$B$1:$S$2,2,FALSE())</f>
        <v>EU</v>
      </c>
      <c r="J1138" s="7" t="n">
        <f aca="false">E1138*F1138</f>
        <v>9.48</v>
      </c>
      <c r="K1138" s="8" t="n">
        <f aca="false">IF(H1138="","",1-F1138/H1138)</f>
        <v>0.843873517786561</v>
      </c>
    </row>
    <row r="1139" customFormat="false" ht="15" hidden="false" customHeight="false" outlineLevel="0" collapsed="false">
      <c r="A1139" s="0" t="s">
        <v>738</v>
      </c>
      <c r="B1139" s="6" t="n">
        <v>40884.6833333333</v>
      </c>
      <c r="C1139" s="0" t="s">
        <v>29</v>
      </c>
      <c r="D1139" s="0" t="s">
        <v>743</v>
      </c>
      <c r="E1139" s="0" t="n">
        <v>12</v>
      </c>
      <c r="F1139" s="0" t="n">
        <v>0.79</v>
      </c>
      <c r="G1139" s="7" t="str">
        <f aca="false">_xlfn.XLOOKUP(D1139,Catalog!$B$2:$B$4102,Catalog!$A$2:$A$4102,"NOT IN CATALOG")</f>
        <v>SET OF 2 TEA TOWELS PING MICROWAVE</v>
      </c>
      <c r="H1139" s="7" t="n">
        <f aca="false">_xlfn.IFNA(VLOOKUP(D1139,Catalog!$B$2:$C$4102,2,FALSE()),"")</f>
        <v>2.51</v>
      </c>
      <c r="I1139" s="7" t="str">
        <f aca="false">HLOOKUP(C1139,Regions!$B$1:$S$2,2,FALSE())</f>
        <v>EU</v>
      </c>
      <c r="J1139" s="7" t="n">
        <f aca="false">E1139*F1139</f>
        <v>9.48</v>
      </c>
      <c r="K1139" s="8" t="n">
        <f aca="false">IF(H1139="","",1-F1139/H1139)</f>
        <v>0.685258964143426</v>
      </c>
    </row>
    <row r="1140" customFormat="false" ht="15" hidden="false" customHeight="false" outlineLevel="0" collapsed="false">
      <c r="A1140" s="0" t="s">
        <v>738</v>
      </c>
      <c r="B1140" s="6" t="n">
        <v>40884.6833333333</v>
      </c>
      <c r="C1140" s="0" t="s">
        <v>29</v>
      </c>
      <c r="D1140" s="0" t="s">
        <v>39</v>
      </c>
      <c r="E1140" s="0" t="n">
        <v>4</v>
      </c>
      <c r="F1140" s="0" t="n">
        <v>18</v>
      </c>
      <c r="G1140" s="7" t="str">
        <f aca="false">_xlfn.XLOOKUP(D1140,Catalog!$B$2:$B$4102,Catalog!$A$2:$A$4102,"NOT IN CATALOG")</f>
        <v>POSTAGE</v>
      </c>
      <c r="H1140" s="7" t="n">
        <f aca="false">_xlfn.IFNA(VLOOKUP(D1140,Catalog!$B$2:$C$4102,2,FALSE()),"")</f>
        <v>18</v>
      </c>
      <c r="I1140" s="7" t="str">
        <f aca="false">HLOOKUP(C1140,Regions!$B$1:$S$2,2,FALSE())</f>
        <v>EU</v>
      </c>
      <c r="J1140" s="7" t="n">
        <f aca="false">E1140*F1140</f>
        <v>72</v>
      </c>
      <c r="K1140" s="8" t="n">
        <f aca="false">IF(H1140="","",1-F1140/H1140)</f>
        <v>0</v>
      </c>
    </row>
    <row r="1141" customFormat="false" ht="15" hidden="false" customHeight="false" outlineLevel="0" collapsed="false">
      <c r="A1141" s="0" t="s">
        <v>744</v>
      </c>
      <c r="B1141" s="6" t="n">
        <v>40884.6833333333</v>
      </c>
      <c r="C1141" s="0" t="s">
        <v>29</v>
      </c>
      <c r="D1141" s="0" t="s">
        <v>745</v>
      </c>
      <c r="E1141" s="0" t="n">
        <v>6</v>
      </c>
      <c r="F1141" s="0" t="n">
        <v>2.95</v>
      </c>
      <c r="G1141" s="7" t="str">
        <f aca="false">_xlfn.XLOOKUP(D1141,Catalog!$B$2:$B$4102,Catalog!$A$2:$A$4102,"NOT IN CATALOG")</f>
        <v>CAKE STAND LOVEBIRD 2 TIER PINK</v>
      </c>
      <c r="H1141" s="7" t="n">
        <f aca="false">_xlfn.IFNA(VLOOKUP(D1141,Catalog!$B$2:$C$4102,2,FALSE()),"")</f>
        <v>9.95</v>
      </c>
      <c r="I1141" s="7" t="str">
        <f aca="false">HLOOKUP(C1141,Regions!$B$1:$S$2,2,FALSE())</f>
        <v>EU</v>
      </c>
      <c r="J1141" s="7" t="n">
        <f aca="false">E1141*F1141</f>
        <v>17.7</v>
      </c>
      <c r="K1141" s="8" t="n">
        <f aca="false">IF(H1141="","",1-F1141/H1141)</f>
        <v>0.703517587939698</v>
      </c>
    </row>
    <row r="1142" customFormat="false" ht="15" hidden="false" customHeight="false" outlineLevel="0" collapsed="false">
      <c r="A1142" s="0" t="s">
        <v>744</v>
      </c>
      <c r="B1142" s="6" t="n">
        <v>40884.6833333333</v>
      </c>
      <c r="C1142" s="0" t="s">
        <v>29</v>
      </c>
      <c r="D1142" s="0" t="s">
        <v>746</v>
      </c>
      <c r="E1142" s="0" t="n">
        <v>8</v>
      </c>
      <c r="F1142" s="0" t="n">
        <v>1.95</v>
      </c>
      <c r="G1142" s="7" t="str">
        <f aca="false">_xlfn.XLOOKUP(D1142,Catalog!$B$2:$B$4102,Catalog!$A$2:$A$4102,"NOT IN CATALOG")</f>
        <v>SKULL DESIGN TV DINNER TRAY</v>
      </c>
      <c r="H1142" s="7" t="n">
        <f aca="false">_xlfn.IFNA(VLOOKUP(D1142,Catalog!$B$2:$C$4102,2,FALSE()),"")</f>
        <v>4.95</v>
      </c>
      <c r="I1142" s="7" t="str">
        <f aca="false">HLOOKUP(C1142,Regions!$B$1:$S$2,2,FALSE())</f>
        <v>EU</v>
      </c>
      <c r="J1142" s="7" t="n">
        <f aca="false">E1142*F1142</f>
        <v>15.6</v>
      </c>
      <c r="K1142" s="8" t="n">
        <f aca="false">IF(H1142="","",1-F1142/H1142)</f>
        <v>0.606060606060606</v>
      </c>
    </row>
    <row r="1143" customFormat="false" ht="15" hidden="false" customHeight="false" outlineLevel="0" collapsed="false">
      <c r="A1143" s="0" t="s">
        <v>744</v>
      </c>
      <c r="B1143" s="6" t="n">
        <v>40884.6833333333</v>
      </c>
      <c r="C1143" s="0" t="s">
        <v>29</v>
      </c>
      <c r="D1143" s="0" t="s">
        <v>747</v>
      </c>
      <c r="E1143" s="0" t="n">
        <v>2</v>
      </c>
      <c r="F1143" s="0" t="n">
        <v>9.95</v>
      </c>
      <c r="G1143" s="7" t="str">
        <f aca="false">_xlfn.XLOOKUP(D1143,Catalog!$B$2:$B$4102,Catalog!$A$2:$A$4102,"NOT IN CATALOG")</f>
        <v>SWEETHEART CAKESTAND 3 TIER</v>
      </c>
      <c r="H1143" s="7" t="n">
        <f aca="false">_xlfn.IFNA(VLOOKUP(D1143,Catalog!$B$2:$C$4102,2,FALSE()),"")</f>
        <v>9.95</v>
      </c>
      <c r="I1143" s="7" t="str">
        <f aca="false">HLOOKUP(C1143,Regions!$B$1:$S$2,2,FALSE())</f>
        <v>EU</v>
      </c>
      <c r="J1143" s="7" t="n">
        <f aca="false">E1143*F1143</f>
        <v>19.9</v>
      </c>
      <c r="K1143" s="8" t="n">
        <f aca="false">IF(H1143="","",1-F1143/H1143)</f>
        <v>0</v>
      </c>
    </row>
    <row r="1144" customFormat="false" ht="15" hidden="false" customHeight="false" outlineLevel="0" collapsed="false">
      <c r="A1144" s="0" t="s">
        <v>744</v>
      </c>
      <c r="B1144" s="6" t="n">
        <v>40884.6833333333</v>
      </c>
      <c r="C1144" s="0" t="s">
        <v>29</v>
      </c>
      <c r="D1144" s="0" t="s">
        <v>39</v>
      </c>
      <c r="E1144" s="0" t="n">
        <v>2</v>
      </c>
      <c r="F1144" s="0" t="n">
        <v>18</v>
      </c>
      <c r="G1144" s="7" t="str">
        <f aca="false">_xlfn.XLOOKUP(D1144,Catalog!$B$2:$B$4102,Catalog!$A$2:$A$4102,"NOT IN CATALOG")</f>
        <v>POSTAGE</v>
      </c>
      <c r="H1144" s="7" t="n">
        <f aca="false">_xlfn.IFNA(VLOOKUP(D1144,Catalog!$B$2:$C$4102,2,FALSE()),"")</f>
        <v>18</v>
      </c>
      <c r="I1144" s="7" t="str">
        <f aca="false">HLOOKUP(C1144,Regions!$B$1:$S$2,2,FALSE())</f>
        <v>EU</v>
      </c>
      <c r="J1144" s="7" t="n">
        <f aca="false">E1144*F1144</f>
        <v>36</v>
      </c>
      <c r="K1144" s="8" t="n">
        <f aca="false">IF(H1144="","",1-F1144/H1144)</f>
        <v>0</v>
      </c>
    </row>
    <row r="1145" customFormat="false" ht="15" hidden="false" customHeight="false" outlineLevel="0" collapsed="false">
      <c r="A1145" s="0" t="s">
        <v>744</v>
      </c>
      <c r="B1145" s="6" t="n">
        <v>40884.6833333333</v>
      </c>
      <c r="C1145" s="0" t="s">
        <v>29</v>
      </c>
      <c r="D1145" s="0" t="s">
        <v>748</v>
      </c>
      <c r="E1145" s="0" t="n">
        <v>6</v>
      </c>
      <c r="F1145" s="0" t="n">
        <v>2.95</v>
      </c>
      <c r="G1145" s="7" t="str">
        <f aca="false">_xlfn.XLOOKUP(D1145,Catalog!$B$2:$B$4102,Catalog!$A$2:$A$4102,"NOT IN CATALOG")</f>
        <v>CAKE STAND LOVEBIRD 2 TIER WHITE</v>
      </c>
      <c r="H1145" s="7" t="n">
        <f aca="false">_xlfn.IFNA(VLOOKUP(D1145,Catalog!$B$2:$C$4102,2,FALSE()),"")</f>
        <v>9.95</v>
      </c>
      <c r="I1145" s="7" t="str">
        <f aca="false">HLOOKUP(C1145,Regions!$B$1:$S$2,2,FALSE())</f>
        <v>EU</v>
      </c>
      <c r="J1145" s="7" t="n">
        <f aca="false">E1145*F1145</f>
        <v>17.7</v>
      </c>
      <c r="K1145" s="8" t="n">
        <f aca="false">IF(H1145="","",1-F1145/H1145)</f>
        <v>0.703517587939698</v>
      </c>
    </row>
    <row r="1146" customFormat="false" ht="15" hidden="false" customHeight="false" outlineLevel="0" collapsed="false">
      <c r="A1146" s="0" t="s">
        <v>749</v>
      </c>
      <c r="B1146" s="6" t="n">
        <v>40884.7118055556</v>
      </c>
      <c r="C1146" s="0" t="s">
        <v>524</v>
      </c>
      <c r="D1146" s="0" t="s">
        <v>538</v>
      </c>
      <c r="E1146" s="0" t="n">
        <v>4</v>
      </c>
      <c r="F1146" s="0" t="n">
        <v>1.69</v>
      </c>
      <c r="G1146" s="7" t="str">
        <f aca="false">_xlfn.XLOOKUP(D1146,Catalog!$B$2:$B$4102,Catalog!$A$2:$A$4102,"NOT IN CATALOG")</f>
        <v>VICTORIAN METAL POSTCARD SPRING</v>
      </c>
      <c r="H1146" s="7" t="n">
        <f aca="false">_xlfn.IFNA(VLOOKUP(D1146,Catalog!$B$2:$C$4102,2,FALSE()),"")</f>
        <v>1.69</v>
      </c>
      <c r="I1146" s="7" t="str">
        <f aca="false">HLOOKUP(C1146,Regions!$B$1:$S$2,2,FALSE())</f>
        <v>EU</v>
      </c>
      <c r="J1146" s="7" t="n">
        <f aca="false">E1146*F1146</f>
        <v>6.76</v>
      </c>
      <c r="K1146" s="8" t="n">
        <f aca="false">IF(H1146="","",1-F1146/H1146)</f>
        <v>0</v>
      </c>
    </row>
    <row r="1147" customFormat="false" ht="15" hidden="false" customHeight="false" outlineLevel="0" collapsed="false">
      <c r="A1147" s="0" t="s">
        <v>749</v>
      </c>
      <c r="B1147" s="6" t="n">
        <v>40884.7118055556</v>
      </c>
      <c r="C1147" s="0" t="s">
        <v>524</v>
      </c>
      <c r="D1147" s="0" t="s">
        <v>750</v>
      </c>
      <c r="E1147" s="0" t="n">
        <v>1</v>
      </c>
      <c r="F1147" s="0" t="n">
        <v>2.1</v>
      </c>
      <c r="G1147" s="7" t="str">
        <f aca="false">_xlfn.XLOOKUP(D1147,Catalog!$B$2:$B$4102,Catalog!$A$2:$A$4102,"NOT IN CATALOG")</f>
        <v>SET/6 PURPLE BUTTERFLY T-LIGHTS</v>
      </c>
      <c r="H1147" s="7" t="n">
        <f aca="false">_xlfn.IFNA(VLOOKUP(D1147,Catalog!$B$2:$C$4102,2,FALSE()),"")</f>
        <v>2.1</v>
      </c>
      <c r="I1147" s="7" t="str">
        <f aca="false">HLOOKUP(C1147,Regions!$B$1:$S$2,2,FALSE())</f>
        <v>EU</v>
      </c>
      <c r="J1147" s="7" t="n">
        <f aca="false">E1147*F1147</f>
        <v>2.1</v>
      </c>
      <c r="K1147" s="8" t="n">
        <f aca="false">IF(H1147="","",1-F1147/H1147)</f>
        <v>0</v>
      </c>
    </row>
    <row r="1148" customFormat="false" ht="15" hidden="false" customHeight="false" outlineLevel="0" collapsed="false">
      <c r="A1148" s="0" t="s">
        <v>749</v>
      </c>
      <c r="B1148" s="6" t="n">
        <v>40884.7118055556</v>
      </c>
      <c r="C1148" s="0" t="s">
        <v>524</v>
      </c>
      <c r="D1148" s="0" t="s">
        <v>751</v>
      </c>
      <c r="E1148" s="0" t="n">
        <v>4</v>
      </c>
      <c r="F1148" s="0" t="n">
        <v>1.25</v>
      </c>
      <c r="G1148" s="7" t="str">
        <f aca="false">_xlfn.XLOOKUP(D1148,Catalog!$B$2:$B$4102,Catalog!$A$2:$A$4102,"NOT IN CATALOG")</f>
        <v>3 WHITE CHOC MORRIS BOXED CANDLES</v>
      </c>
      <c r="H1148" s="7" t="n">
        <f aca="false">_xlfn.IFNA(VLOOKUP(D1148,Catalog!$B$2:$C$4102,2,FALSE()),"")</f>
        <v>4.25</v>
      </c>
      <c r="I1148" s="7" t="str">
        <f aca="false">HLOOKUP(C1148,Regions!$B$1:$S$2,2,FALSE())</f>
        <v>EU</v>
      </c>
      <c r="J1148" s="7" t="n">
        <f aca="false">E1148*F1148</f>
        <v>5</v>
      </c>
      <c r="K1148" s="8" t="n">
        <f aca="false">IF(H1148="","",1-F1148/H1148)</f>
        <v>0.705882352941176</v>
      </c>
    </row>
    <row r="1149" customFormat="false" ht="15" hidden="false" customHeight="false" outlineLevel="0" collapsed="false">
      <c r="A1149" s="0" t="s">
        <v>749</v>
      </c>
      <c r="B1149" s="6" t="n">
        <v>40884.7118055556</v>
      </c>
      <c r="C1149" s="0" t="s">
        <v>524</v>
      </c>
      <c r="D1149" s="0" t="s">
        <v>752</v>
      </c>
      <c r="E1149" s="0" t="n">
        <v>2</v>
      </c>
      <c r="F1149" s="0" t="n">
        <v>5.95</v>
      </c>
      <c r="G1149" s="7" t="str">
        <f aca="false">_xlfn.XLOOKUP(D1149,Catalog!$B$2:$B$4102,Catalog!$A$2:$A$4102,"NOT IN CATALOG")</f>
        <v>WHITE SOAP RACK WITH 2 BOTTLES</v>
      </c>
      <c r="H1149" s="7" t="n">
        <f aca="false">_xlfn.IFNA(VLOOKUP(D1149,Catalog!$B$2:$C$4102,2,FALSE()),"")</f>
        <v>5.95</v>
      </c>
      <c r="I1149" s="7" t="str">
        <f aca="false">HLOOKUP(C1149,Regions!$B$1:$S$2,2,FALSE())</f>
        <v>EU</v>
      </c>
      <c r="J1149" s="7" t="n">
        <f aca="false">E1149*F1149</f>
        <v>11.9</v>
      </c>
      <c r="K1149" s="8" t="n">
        <f aca="false">IF(H1149="","",1-F1149/H1149)</f>
        <v>0</v>
      </c>
    </row>
    <row r="1150" customFormat="false" ht="15" hidden="false" customHeight="false" outlineLevel="0" collapsed="false">
      <c r="A1150" s="0" t="s">
        <v>749</v>
      </c>
      <c r="B1150" s="6" t="n">
        <v>40884.7118055556</v>
      </c>
      <c r="C1150" s="0" t="s">
        <v>524</v>
      </c>
      <c r="D1150" s="0" t="s">
        <v>753</v>
      </c>
      <c r="E1150" s="0" t="n">
        <v>1</v>
      </c>
      <c r="F1150" s="0" t="n">
        <v>4.95</v>
      </c>
      <c r="G1150" s="7" t="str">
        <f aca="false">_xlfn.XLOOKUP(D1150,Catalog!$B$2:$B$4102,Catalog!$A$2:$A$4102,"NOT IN CATALOG")</f>
        <v>SET 3 RED SPOT TIN TEA,COFFEE,SUGAR</v>
      </c>
      <c r="H1150" s="7" t="n">
        <f aca="false">_xlfn.IFNA(VLOOKUP(D1150,Catalog!$B$2:$C$4102,2,FALSE()),"")</f>
        <v>4.95</v>
      </c>
      <c r="I1150" s="7" t="str">
        <f aca="false">HLOOKUP(C1150,Regions!$B$1:$S$2,2,FALSE())</f>
        <v>EU</v>
      </c>
      <c r="J1150" s="7" t="n">
        <f aca="false">E1150*F1150</f>
        <v>4.95</v>
      </c>
      <c r="K1150" s="8" t="n">
        <f aca="false">IF(H1150="","",1-F1150/H1150)</f>
        <v>0</v>
      </c>
    </row>
    <row r="1151" customFormat="false" ht="15" hidden="false" customHeight="false" outlineLevel="0" collapsed="false">
      <c r="A1151" s="0" t="s">
        <v>749</v>
      </c>
      <c r="B1151" s="6" t="n">
        <v>40884.7118055556</v>
      </c>
      <c r="C1151" s="0" t="s">
        <v>524</v>
      </c>
      <c r="D1151" s="0" t="s">
        <v>408</v>
      </c>
      <c r="E1151" s="0" t="n">
        <v>1</v>
      </c>
      <c r="F1151" s="0" t="n">
        <v>1.65</v>
      </c>
      <c r="G1151" s="7" t="str">
        <f aca="false">_xlfn.XLOOKUP(D1151,Catalog!$B$2:$B$4102,Catalog!$A$2:$A$4102,"NOT IN CATALOG")</f>
        <v>NOT IN CATALOG</v>
      </c>
      <c r="H1151" s="7" t="str">
        <f aca="false">_xlfn.IFNA(VLOOKUP(D1151,Catalog!$B$2:$C$4102,2,FALSE()),"")</f>
        <v/>
      </c>
      <c r="I1151" s="7" t="str">
        <f aca="false">HLOOKUP(C1151,Regions!$B$1:$S$2,2,FALSE())</f>
        <v>EU</v>
      </c>
      <c r="J1151" s="7" t="n">
        <f aca="false">E1151*F1151</f>
        <v>1.65</v>
      </c>
      <c r="K1151" s="8" t="str">
        <f aca="false">IF(H1151="","",1-F1151/H1151)</f>
        <v/>
      </c>
    </row>
    <row r="1152" customFormat="false" ht="15" hidden="false" customHeight="false" outlineLevel="0" collapsed="false">
      <c r="A1152" s="0" t="s">
        <v>749</v>
      </c>
      <c r="B1152" s="6" t="n">
        <v>40884.7118055556</v>
      </c>
      <c r="C1152" s="0" t="s">
        <v>524</v>
      </c>
      <c r="D1152" s="0" t="s">
        <v>754</v>
      </c>
      <c r="E1152" s="0" t="n">
        <v>1</v>
      </c>
      <c r="F1152" s="0" t="n">
        <v>1.65</v>
      </c>
      <c r="G1152" s="7" t="str">
        <f aca="false">_xlfn.XLOOKUP(D1152,Catalog!$B$2:$B$4102,Catalog!$A$2:$A$4102,"NOT IN CATALOG")</f>
        <v>HEART OF WICKER SMALL</v>
      </c>
      <c r="H1152" s="7" t="n">
        <f aca="false">_xlfn.IFNA(VLOOKUP(D1152,Catalog!$B$2:$C$4102,2,FALSE()),"")</f>
        <v>1.65</v>
      </c>
      <c r="I1152" s="7" t="str">
        <f aca="false">HLOOKUP(C1152,Regions!$B$1:$S$2,2,FALSE())</f>
        <v>EU</v>
      </c>
      <c r="J1152" s="7" t="n">
        <f aca="false">E1152*F1152</f>
        <v>1.65</v>
      </c>
      <c r="K1152" s="8" t="n">
        <f aca="false">IF(H1152="","",1-F1152/H1152)</f>
        <v>0</v>
      </c>
    </row>
    <row r="1153" customFormat="false" ht="15" hidden="false" customHeight="false" outlineLevel="0" collapsed="false">
      <c r="A1153" s="0" t="s">
        <v>749</v>
      </c>
      <c r="B1153" s="6" t="n">
        <v>40884.7118055556</v>
      </c>
      <c r="C1153" s="0" t="s">
        <v>524</v>
      </c>
      <c r="D1153" s="0" t="s">
        <v>755</v>
      </c>
      <c r="E1153" s="0" t="n">
        <v>2</v>
      </c>
      <c r="F1153" s="0" t="n">
        <v>0.65</v>
      </c>
      <c r="G1153" s="7" t="str">
        <f aca="false">_xlfn.XLOOKUP(D1153,Catalog!$B$2:$B$4102,Catalog!$A$2:$A$4102,"NOT IN CATALOG")</f>
        <v>STARS GIFT TAPE</v>
      </c>
      <c r="H1153" s="7" t="n">
        <f aca="false">_xlfn.IFNA(VLOOKUP(D1153,Catalog!$B$2:$C$4102,2,FALSE()),"")</f>
        <v>0.65</v>
      </c>
      <c r="I1153" s="7" t="str">
        <f aca="false">HLOOKUP(C1153,Regions!$B$1:$S$2,2,FALSE())</f>
        <v>EU</v>
      </c>
      <c r="J1153" s="7" t="n">
        <f aca="false">E1153*F1153</f>
        <v>1.3</v>
      </c>
      <c r="K1153" s="8" t="n">
        <f aca="false">IF(H1153="","",1-F1153/H1153)</f>
        <v>0</v>
      </c>
    </row>
    <row r="1154" customFormat="false" ht="15" hidden="false" customHeight="false" outlineLevel="0" collapsed="false">
      <c r="A1154" s="0" t="s">
        <v>749</v>
      </c>
      <c r="B1154" s="6" t="n">
        <v>40884.7118055556</v>
      </c>
      <c r="C1154" s="0" t="s">
        <v>524</v>
      </c>
      <c r="D1154" s="0" t="s">
        <v>371</v>
      </c>
      <c r="E1154" s="0" t="n">
        <v>2</v>
      </c>
      <c r="F1154" s="0" t="n">
        <v>0.65</v>
      </c>
      <c r="G1154" s="7" t="str">
        <f aca="false">_xlfn.XLOOKUP(D1154,Catalog!$B$2:$B$4102,Catalog!$A$2:$A$4102,"NOT IN CATALOG")</f>
        <v>RED AND WHITE SPOT TAPE</v>
      </c>
      <c r="H1154" s="7" t="n">
        <f aca="false">_xlfn.IFNA(VLOOKUP(D1154,Catalog!$B$2:$C$4102,2,FALSE()),"")</f>
        <v>0.65</v>
      </c>
      <c r="I1154" s="7" t="str">
        <f aca="false">HLOOKUP(C1154,Regions!$B$1:$S$2,2,FALSE())</f>
        <v>EU</v>
      </c>
      <c r="J1154" s="7" t="n">
        <f aca="false">E1154*F1154</f>
        <v>1.3</v>
      </c>
      <c r="K1154" s="8" t="n">
        <f aca="false">IF(H1154="","",1-F1154/H1154)</f>
        <v>0</v>
      </c>
    </row>
    <row r="1155" customFormat="false" ht="15" hidden="false" customHeight="false" outlineLevel="0" collapsed="false">
      <c r="A1155" s="0" t="s">
        <v>749</v>
      </c>
      <c r="B1155" s="6" t="n">
        <v>40884.7118055556</v>
      </c>
      <c r="C1155" s="0" t="s">
        <v>524</v>
      </c>
      <c r="D1155" s="0" t="s">
        <v>121</v>
      </c>
      <c r="E1155" s="0" t="n">
        <v>2</v>
      </c>
      <c r="F1155" s="0" t="n">
        <v>1.95</v>
      </c>
      <c r="G1155" s="7" t="str">
        <f aca="false">_xlfn.XLOOKUP(D1155,Catalog!$B$2:$B$4102,Catalog!$A$2:$A$4102,"NOT IN CATALOG")</f>
        <v>NOT IN CATALOG</v>
      </c>
      <c r="H1155" s="7" t="str">
        <f aca="false">_xlfn.IFNA(VLOOKUP(D1155,Catalog!$B$2:$C$4102,2,FALSE()),"")</f>
        <v/>
      </c>
      <c r="I1155" s="7" t="str">
        <f aca="false">HLOOKUP(C1155,Regions!$B$1:$S$2,2,FALSE())</f>
        <v>EU</v>
      </c>
      <c r="J1155" s="7" t="n">
        <f aca="false">E1155*F1155</f>
        <v>3.9</v>
      </c>
      <c r="K1155" s="8" t="str">
        <f aca="false">IF(H1155="","",1-F1155/H1155)</f>
        <v/>
      </c>
    </row>
    <row r="1156" customFormat="false" ht="15" hidden="false" customHeight="false" outlineLevel="0" collapsed="false">
      <c r="A1156" s="0" t="s">
        <v>749</v>
      </c>
      <c r="B1156" s="6" t="n">
        <v>40884.7118055556</v>
      </c>
      <c r="C1156" s="0" t="s">
        <v>524</v>
      </c>
      <c r="D1156" s="0" t="s">
        <v>756</v>
      </c>
      <c r="E1156" s="0" t="n">
        <v>1</v>
      </c>
      <c r="F1156" s="0" t="n">
        <v>0.39</v>
      </c>
      <c r="G1156" s="7" t="str">
        <f aca="false">_xlfn.XLOOKUP(D1156,Catalog!$B$2:$B$4102,Catalog!$A$2:$A$4102,"NOT IN CATALOG")</f>
        <v>CERAMIC HEART FAIRY CAKE MONEY BANK</v>
      </c>
      <c r="H1156" s="7" t="n">
        <f aca="false">_xlfn.IFNA(VLOOKUP(D1156,Catalog!$B$2:$C$4102,2,FALSE()),"")</f>
        <v>1.45</v>
      </c>
      <c r="I1156" s="7" t="str">
        <f aca="false">HLOOKUP(C1156,Regions!$B$1:$S$2,2,FALSE())</f>
        <v>EU</v>
      </c>
      <c r="J1156" s="7" t="n">
        <f aca="false">E1156*F1156</f>
        <v>0.39</v>
      </c>
      <c r="K1156" s="8" t="n">
        <f aca="false">IF(H1156="","",1-F1156/H1156)</f>
        <v>0.731034482758621</v>
      </c>
    </row>
    <row r="1157" customFormat="false" ht="15" hidden="false" customHeight="false" outlineLevel="0" collapsed="false">
      <c r="A1157" s="0" t="s">
        <v>749</v>
      </c>
      <c r="B1157" s="6" t="n">
        <v>40884.7118055556</v>
      </c>
      <c r="C1157" s="0" t="s">
        <v>524</v>
      </c>
      <c r="D1157" s="0" t="s">
        <v>757</v>
      </c>
      <c r="E1157" s="0" t="n">
        <v>1</v>
      </c>
      <c r="F1157" s="0" t="n">
        <v>0.39</v>
      </c>
      <c r="G1157" s="7" t="str">
        <f aca="false">_xlfn.XLOOKUP(D1157,Catalog!$B$2:$B$4102,Catalog!$A$2:$A$4102,"NOT IN CATALOG")</f>
        <v>CERAMIC CHERRY CAKE MONEY BANK</v>
      </c>
      <c r="H1157" s="7" t="n">
        <f aca="false">_xlfn.IFNA(VLOOKUP(D1157,Catalog!$B$2:$C$4102,2,FALSE()),"")</f>
        <v>1.45</v>
      </c>
      <c r="I1157" s="7" t="str">
        <f aca="false">HLOOKUP(C1157,Regions!$B$1:$S$2,2,FALSE())</f>
        <v>EU</v>
      </c>
      <c r="J1157" s="7" t="n">
        <f aca="false">E1157*F1157</f>
        <v>0.39</v>
      </c>
      <c r="K1157" s="8" t="n">
        <f aca="false">IF(H1157="","",1-F1157/H1157)</f>
        <v>0.731034482758621</v>
      </c>
    </row>
    <row r="1158" customFormat="false" ht="15" hidden="false" customHeight="false" outlineLevel="0" collapsed="false">
      <c r="A1158" s="0" t="s">
        <v>749</v>
      </c>
      <c r="B1158" s="6" t="n">
        <v>40884.7118055556</v>
      </c>
      <c r="C1158" s="0" t="s">
        <v>524</v>
      </c>
      <c r="D1158" s="0" t="s">
        <v>620</v>
      </c>
      <c r="E1158" s="0" t="n">
        <v>1</v>
      </c>
      <c r="F1158" s="0" t="n">
        <v>0.79</v>
      </c>
      <c r="G1158" s="7" t="str">
        <f aca="false">_xlfn.XLOOKUP(D1158,Catalog!$B$2:$B$4102,Catalog!$A$2:$A$4102,"NOT IN CATALOG")</f>
        <v>HANGING METAL HEART LANTERN</v>
      </c>
      <c r="H1158" s="7" t="n">
        <f aca="false">_xlfn.IFNA(VLOOKUP(D1158,Catalog!$B$2:$C$4102,2,FALSE()),"")</f>
        <v>1.65</v>
      </c>
      <c r="I1158" s="7" t="str">
        <f aca="false">HLOOKUP(C1158,Regions!$B$1:$S$2,2,FALSE())</f>
        <v>EU</v>
      </c>
      <c r="J1158" s="7" t="n">
        <f aca="false">E1158*F1158</f>
        <v>0.79</v>
      </c>
      <c r="K1158" s="8" t="n">
        <f aca="false">IF(H1158="","",1-F1158/H1158)</f>
        <v>0.521212121212121</v>
      </c>
    </row>
    <row r="1159" customFormat="false" ht="15" hidden="false" customHeight="false" outlineLevel="0" collapsed="false">
      <c r="A1159" s="0" t="s">
        <v>749</v>
      </c>
      <c r="B1159" s="6" t="n">
        <v>40884.7118055556</v>
      </c>
      <c r="C1159" s="0" t="s">
        <v>524</v>
      </c>
      <c r="D1159" s="0" t="s">
        <v>414</v>
      </c>
      <c r="E1159" s="0" t="n">
        <v>1</v>
      </c>
      <c r="F1159" s="0" t="n">
        <v>0.79</v>
      </c>
      <c r="G1159" s="7" t="str">
        <f aca="false">_xlfn.XLOOKUP(D1159,Catalog!$B$2:$B$4102,Catalog!$A$2:$A$4102,"NOT IN CATALOG")</f>
        <v>HANGING METAL STAR LANTERN</v>
      </c>
      <c r="H1159" s="7" t="n">
        <f aca="false">_xlfn.IFNA(VLOOKUP(D1159,Catalog!$B$2:$C$4102,2,FALSE()),"")</f>
        <v>1.65</v>
      </c>
      <c r="I1159" s="7" t="str">
        <f aca="false">HLOOKUP(C1159,Regions!$B$1:$S$2,2,FALSE())</f>
        <v>EU</v>
      </c>
      <c r="J1159" s="7" t="n">
        <f aca="false">E1159*F1159</f>
        <v>0.79</v>
      </c>
      <c r="K1159" s="8" t="n">
        <f aca="false">IF(H1159="","",1-F1159/H1159)</f>
        <v>0.521212121212121</v>
      </c>
    </row>
    <row r="1160" customFormat="false" ht="15" hidden="false" customHeight="false" outlineLevel="0" collapsed="false">
      <c r="A1160" s="0" t="s">
        <v>749</v>
      </c>
      <c r="B1160" s="6" t="n">
        <v>40884.7118055556</v>
      </c>
      <c r="C1160" s="0" t="s">
        <v>524</v>
      </c>
      <c r="D1160" s="0" t="s">
        <v>412</v>
      </c>
      <c r="E1160" s="0" t="n">
        <v>1</v>
      </c>
      <c r="F1160" s="0" t="n">
        <v>2.95</v>
      </c>
      <c r="G1160" s="7" t="str">
        <f aca="false">_xlfn.XLOOKUP(D1160,Catalog!$B$2:$B$4102,Catalog!$A$2:$A$4102,"NOT IN CATALOG")</f>
        <v>WHITE HANGING HEART T-LIGHT HOLDER</v>
      </c>
      <c r="H1160" s="7" t="n">
        <f aca="false">_xlfn.IFNA(VLOOKUP(D1160,Catalog!$B$2:$C$4102,2,FALSE()),"")</f>
        <v>2.95</v>
      </c>
      <c r="I1160" s="7" t="str">
        <f aca="false">HLOOKUP(C1160,Regions!$B$1:$S$2,2,FALSE())</f>
        <v>EU</v>
      </c>
      <c r="J1160" s="7" t="n">
        <f aca="false">E1160*F1160</f>
        <v>2.95</v>
      </c>
      <c r="K1160" s="8" t="n">
        <f aca="false">IF(H1160="","",1-F1160/H1160)</f>
        <v>0</v>
      </c>
    </row>
    <row r="1161" customFormat="false" ht="15" hidden="false" customHeight="false" outlineLevel="0" collapsed="false">
      <c r="A1161" s="0" t="s">
        <v>749</v>
      </c>
      <c r="B1161" s="6" t="n">
        <v>40884.7118055556</v>
      </c>
      <c r="C1161" s="0" t="s">
        <v>524</v>
      </c>
      <c r="D1161" s="0" t="s">
        <v>407</v>
      </c>
      <c r="E1161" s="0" t="n">
        <v>1</v>
      </c>
      <c r="F1161" s="0" t="n">
        <v>2.95</v>
      </c>
      <c r="G1161" s="7" t="str">
        <f aca="false">_xlfn.XLOOKUP(D1161,Catalog!$B$2:$B$4102,Catalog!$A$2:$A$4102,"NOT IN CATALOG")</f>
        <v>RED HANGING HEART T-LIGHT HOLDER</v>
      </c>
      <c r="H1161" s="7" t="n">
        <f aca="false">_xlfn.IFNA(VLOOKUP(D1161,Catalog!$B$2:$C$4102,2,FALSE()),"")</f>
        <v>2.95</v>
      </c>
      <c r="I1161" s="7" t="str">
        <f aca="false">HLOOKUP(C1161,Regions!$B$1:$S$2,2,FALSE())</f>
        <v>EU</v>
      </c>
      <c r="J1161" s="7" t="n">
        <f aca="false">E1161*F1161</f>
        <v>2.95</v>
      </c>
      <c r="K1161" s="8" t="n">
        <f aca="false">IF(H1161="","",1-F1161/H1161)</f>
        <v>0</v>
      </c>
    </row>
    <row r="1162" customFormat="false" ht="15" hidden="false" customHeight="false" outlineLevel="0" collapsed="false">
      <c r="A1162" s="0" t="s">
        <v>749</v>
      </c>
      <c r="B1162" s="6" t="n">
        <v>40884.7118055556</v>
      </c>
      <c r="C1162" s="0" t="s">
        <v>524</v>
      </c>
      <c r="D1162" s="0" t="s">
        <v>758</v>
      </c>
      <c r="E1162" s="0" t="n">
        <v>4</v>
      </c>
      <c r="F1162" s="0" t="n">
        <v>0.85</v>
      </c>
      <c r="G1162" s="7" t="str">
        <f aca="false">_xlfn.XLOOKUP(D1162,Catalog!$B$2:$B$4102,Catalog!$A$2:$A$4102,"NOT IN CATALOG")</f>
        <v>LOVEBIRD HANGING DECORATION WHITE</v>
      </c>
      <c r="H1162" s="7" t="n">
        <f aca="false">_xlfn.IFNA(VLOOKUP(D1162,Catalog!$B$2:$C$4102,2,FALSE()),"")</f>
        <v>0.85</v>
      </c>
      <c r="I1162" s="7" t="str">
        <f aca="false">HLOOKUP(C1162,Regions!$B$1:$S$2,2,FALSE())</f>
        <v>EU</v>
      </c>
      <c r="J1162" s="7" t="n">
        <f aca="false">E1162*F1162</f>
        <v>3.4</v>
      </c>
      <c r="K1162" s="8" t="n">
        <f aca="false">IF(H1162="","",1-F1162/H1162)</f>
        <v>0</v>
      </c>
    </row>
    <row r="1163" customFormat="false" ht="15" hidden="false" customHeight="false" outlineLevel="0" collapsed="false">
      <c r="A1163" s="0" t="s">
        <v>749</v>
      </c>
      <c r="B1163" s="6" t="n">
        <v>40884.7118055556</v>
      </c>
      <c r="C1163" s="0" t="s">
        <v>524</v>
      </c>
      <c r="D1163" s="0" t="s">
        <v>433</v>
      </c>
      <c r="E1163" s="0" t="n">
        <v>2</v>
      </c>
      <c r="F1163" s="0" t="n">
        <v>1.25</v>
      </c>
      <c r="G1163" s="7" t="str">
        <f aca="false">_xlfn.XLOOKUP(D1163,Catalog!$B$2:$B$4102,Catalog!$A$2:$A$4102,"NOT IN CATALOG")</f>
        <v>NOT IN CATALOG</v>
      </c>
      <c r="H1163" s="7" t="str">
        <f aca="false">_xlfn.IFNA(VLOOKUP(D1163,Catalog!$B$2:$C$4102,2,FALSE()),"")</f>
        <v/>
      </c>
      <c r="I1163" s="7" t="str">
        <f aca="false">HLOOKUP(C1163,Regions!$B$1:$S$2,2,FALSE())</f>
        <v>EU</v>
      </c>
      <c r="J1163" s="7" t="n">
        <f aca="false">E1163*F1163</f>
        <v>2.5</v>
      </c>
      <c r="K1163" s="8" t="str">
        <f aca="false">IF(H1163="","",1-F1163/H1163)</f>
        <v/>
      </c>
    </row>
    <row r="1164" customFormat="false" ht="15" hidden="false" customHeight="false" outlineLevel="0" collapsed="false">
      <c r="A1164" s="0" t="s">
        <v>749</v>
      </c>
      <c r="B1164" s="6" t="n">
        <v>40884.7118055556</v>
      </c>
      <c r="C1164" s="0" t="s">
        <v>524</v>
      </c>
      <c r="D1164" s="0" t="s">
        <v>759</v>
      </c>
      <c r="E1164" s="0" t="n">
        <v>4</v>
      </c>
      <c r="F1164" s="0" t="n">
        <v>1.25</v>
      </c>
      <c r="G1164" s="7" t="str">
        <f aca="false">_xlfn.XLOOKUP(D1164,Catalog!$B$2:$B$4102,Catalog!$A$2:$A$4102,"NOT IN CATALOG")</f>
        <v>NOT IN CATALOG</v>
      </c>
      <c r="H1164" s="7" t="str">
        <f aca="false">_xlfn.IFNA(VLOOKUP(D1164,Catalog!$B$2:$C$4102,2,FALSE()),"")</f>
        <v/>
      </c>
      <c r="I1164" s="7" t="str">
        <f aca="false">HLOOKUP(C1164,Regions!$B$1:$S$2,2,FALSE())</f>
        <v>EU</v>
      </c>
      <c r="J1164" s="7" t="n">
        <f aca="false">E1164*F1164</f>
        <v>5</v>
      </c>
      <c r="K1164" s="8" t="str">
        <f aca="false">IF(H1164="","",1-F1164/H1164)</f>
        <v/>
      </c>
    </row>
    <row r="1165" customFormat="false" ht="15" hidden="false" customHeight="false" outlineLevel="0" collapsed="false">
      <c r="A1165" s="0" t="s">
        <v>749</v>
      </c>
      <c r="B1165" s="6" t="n">
        <v>40884.7118055556</v>
      </c>
      <c r="C1165" s="0" t="s">
        <v>524</v>
      </c>
      <c r="D1165" s="0" t="s">
        <v>432</v>
      </c>
      <c r="E1165" s="0" t="n">
        <v>2</v>
      </c>
      <c r="F1165" s="0" t="n">
        <v>1.25</v>
      </c>
      <c r="G1165" s="7" t="str">
        <f aca="false">_xlfn.XLOOKUP(D1165,Catalog!$B$2:$B$4102,Catalog!$A$2:$A$4102,"NOT IN CATALOG")</f>
        <v>NOT IN CATALOG</v>
      </c>
      <c r="H1165" s="7" t="str">
        <f aca="false">_xlfn.IFNA(VLOOKUP(D1165,Catalog!$B$2:$C$4102,2,FALSE()),"")</f>
        <v/>
      </c>
      <c r="I1165" s="7" t="str">
        <f aca="false">HLOOKUP(C1165,Regions!$B$1:$S$2,2,FALSE())</f>
        <v>EU</v>
      </c>
      <c r="J1165" s="7" t="n">
        <f aca="false">E1165*F1165</f>
        <v>2.5</v>
      </c>
      <c r="K1165" s="8" t="str">
        <f aca="false">IF(H1165="","",1-F1165/H1165)</f>
        <v/>
      </c>
    </row>
    <row r="1166" customFormat="false" ht="15" hidden="false" customHeight="false" outlineLevel="0" collapsed="false">
      <c r="A1166" s="0" t="s">
        <v>749</v>
      </c>
      <c r="B1166" s="6" t="n">
        <v>40884.7118055556</v>
      </c>
      <c r="C1166" s="0" t="s">
        <v>524</v>
      </c>
      <c r="D1166" s="0" t="s">
        <v>137</v>
      </c>
      <c r="E1166" s="0" t="n">
        <v>2</v>
      </c>
      <c r="F1166" s="0" t="n">
        <v>1.25</v>
      </c>
      <c r="G1166" s="7" t="str">
        <f aca="false">_xlfn.XLOOKUP(D1166,Catalog!$B$2:$B$4102,Catalog!$A$2:$A$4102,"NOT IN CATALOG")</f>
        <v>NOT IN CATALOG</v>
      </c>
      <c r="H1166" s="7" t="str">
        <f aca="false">_xlfn.IFNA(VLOOKUP(D1166,Catalog!$B$2:$C$4102,2,FALSE()),"")</f>
        <v/>
      </c>
      <c r="I1166" s="7" t="str">
        <f aca="false">HLOOKUP(C1166,Regions!$B$1:$S$2,2,FALSE())</f>
        <v>EU</v>
      </c>
      <c r="J1166" s="7" t="n">
        <f aca="false">E1166*F1166</f>
        <v>2.5</v>
      </c>
      <c r="K1166" s="8" t="str">
        <f aca="false">IF(H1166="","",1-F1166/H1166)</f>
        <v/>
      </c>
    </row>
    <row r="1167" customFormat="false" ht="15" hidden="false" customHeight="false" outlineLevel="0" collapsed="false">
      <c r="A1167" s="0" t="s">
        <v>749</v>
      </c>
      <c r="B1167" s="6" t="n">
        <v>40884.7118055556</v>
      </c>
      <c r="C1167" s="0" t="s">
        <v>524</v>
      </c>
      <c r="D1167" s="0" t="s">
        <v>760</v>
      </c>
      <c r="E1167" s="0" t="n">
        <v>2</v>
      </c>
      <c r="F1167" s="0" t="n">
        <v>1.25</v>
      </c>
      <c r="G1167" s="7" t="str">
        <f aca="false">_xlfn.XLOOKUP(D1167,Catalog!$B$2:$B$4102,Catalog!$A$2:$A$4102,"NOT IN CATALOG")</f>
        <v>NOT IN CATALOG</v>
      </c>
      <c r="H1167" s="7" t="str">
        <f aca="false">_xlfn.IFNA(VLOOKUP(D1167,Catalog!$B$2:$C$4102,2,FALSE()),"")</f>
        <v/>
      </c>
      <c r="I1167" s="7" t="str">
        <f aca="false">HLOOKUP(C1167,Regions!$B$1:$S$2,2,FALSE())</f>
        <v>EU</v>
      </c>
      <c r="J1167" s="7" t="n">
        <f aca="false">E1167*F1167</f>
        <v>2.5</v>
      </c>
      <c r="K1167" s="8" t="str">
        <f aca="false">IF(H1167="","",1-F1167/H1167)</f>
        <v/>
      </c>
    </row>
    <row r="1168" customFormat="false" ht="15" hidden="false" customHeight="false" outlineLevel="0" collapsed="false">
      <c r="A1168" s="0" t="s">
        <v>749</v>
      </c>
      <c r="B1168" s="6" t="n">
        <v>40884.7118055556</v>
      </c>
      <c r="C1168" s="0" t="s">
        <v>524</v>
      </c>
      <c r="D1168" s="0" t="s">
        <v>761</v>
      </c>
      <c r="E1168" s="0" t="n">
        <v>9</v>
      </c>
      <c r="F1168" s="0" t="n">
        <v>1.45</v>
      </c>
      <c r="G1168" s="7" t="str">
        <f aca="false">_xlfn.XLOOKUP(D1168,Catalog!$B$2:$B$4102,Catalog!$A$2:$A$4102,"NOT IN CATALOG")</f>
        <v>GRAND CHOCOLATECANDLE</v>
      </c>
      <c r="H1168" s="7" t="n">
        <f aca="false">_xlfn.IFNA(VLOOKUP(D1168,Catalog!$B$2:$C$4102,2,FALSE()),"")</f>
        <v>1.45</v>
      </c>
      <c r="I1168" s="7" t="str">
        <f aca="false">HLOOKUP(C1168,Regions!$B$1:$S$2,2,FALSE())</f>
        <v>EU</v>
      </c>
      <c r="J1168" s="7" t="n">
        <f aca="false">E1168*F1168</f>
        <v>13.05</v>
      </c>
      <c r="K1168" s="8" t="n">
        <f aca="false">IF(H1168="","",1-F1168/H1168)</f>
        <v>0</v>
      </c>
    </row>
    <row r="1169" customFormat="false" ht="15" hidden="false" customHeight="false" outlineLevel="0" collapsed="false">
      <c r="A1169" s="0" t="s">
        <v>749</v>
      </c>
      <c r="B1169" s="6" t="n">
        <v>40884.7118055556</v>
      </c>
      <c r="C1169" s="0" t="s">
        <v>524</v>
      </c>
      <c r="D1169" s="0" t="s">
        <v>762</v>
      </c>
      <c r="E1169" s="0" t="n">
        <v>2</v>
      </c>
      <c r="F1169" s="0" t="n">
        <v>1.95</v>
      </c>
      <c r="G1169" s="7" t="str">
        <f aca="false">_xlfn.XLOOKUP(D1169,Catalog!$B$2:$B$4102,Catalog!$A$2:$A$4102,"NOT IN CATALOG")</f>
        <v>NOT IN CATALOG</v>
      </c>
      <c r="H1169" s="7" t="str">
        <f aca="false">_xlfn.IFNA(VLOOKUP(D1169,Catalog!$B$2:$C$4102,2,FALSE()),"")</f>
        <v/>
      </c>
      <c r="I1169" s="7" t="str">
        <f aca="false">HLOOKUP(C1169,Regions!$B$1:$S$2,2,FALSE())</f>
        <v>EU</v>
      </c>
      <c r="J1169" s="7" t="n">
        <f aca="false">E1169*F1169</f>
        <v>3.9</v>
      </c>
      <c r="K1169" s="8" t="str">
        <f aca="false">IF(H1169="","",1-F1169/H1169)</f>
        <v/>
      </c>
    </row>
    <row r="1170" customFormat="false" ht="15" hidden="false" customHeight="false" outlineLevel="0" collapsed="false">
      <c r="A1170" s="0" t="s">
        <v>749</v>
      </c>
      <c r="B1170" s="6" t="n">
        <v>40884.7118055556</v>
      </c>
      <c r="C1170" s="0" t="s">
        <v>524</v>
      </c>
      <c r="D1170" s="0" t="s">
        <v>178</v>
      </c>
      <c r="E1170" s="0" t="n">
        <v>1</v>
      </c>
      <c r="F1170" s="0" t="n">
        <v>0.85</v>
      </c>
      <c r="G1170" s="7" t="str">
        <f aca="false">_xlfn.XLOOKUP(D1170,Catalog!$B$2:$B$4102,Catalog!$A$2:$A$4102,"NOT IN CATALOG")</f>
        <v>PACK OF 20 NAPKINS PANTRY DESIGN</v>
      </c>
      <c r="H1170" s="7" t="n">
        <f aca="false">_xlfn.IFNA(VLOOKUP(D1170,Catalog!$B$2:$C$4102,2,FALSE()),"")</f>
        <v>0.85</v>
      </c>
      <c r="I1170" s="7" t="str">
        <f aca="false">HLOOKUP(C1170,Regions!$B$1:$S$2,2,FALSE())</f>
        <v>EU</v>
      </c>
      <c r="J1170" s="7" t="n">
        <f aca="false">E1170*F1170</f>
        <v>0.85</v>
      </c>
      <c r="K1170" s="8" t="n">
        <f aca="false">IF(H1170="","",1-F1170/H1170)</f>
        <v>0</v>
      </c>
    </row>
    <row r="1171" customFormat="false" ht="15" hidden="false" customHeight="false" outlineLevel="0" collapsed="false">
      <c r="A1171" s="0" t="s">
        <v>749</v>
      </c>
      <c r="B1171" s="6" t="n">
        <v>40884.7118055556</v>
      </c>
      <c r="C1171" s="0" t="s">
        <v>524</v>
      </c>
      <c r="D1171" s="0" t="s">
        <v>763</v>
      </c>
      <c r="E1171" s="0" t="n">
        <v>1</v>
      </c>
      <c r="F1171" s="0" t="n">
        <v>0.85</v>
      </c>
      <c r="G1171" s="7" t="str">
        <f aca="false">_xlfn.XLOOKUP(D1171,Catalog!$B$2:$B$4102,Catalog!$A$2:$A$4102,"NOT IN CATALOG")</f>
        <v>SET 20 NAPKINS FAIRY CAKES DESIGN</v>
      </c>
      <c r="H1171" s="7" t="n">
        <f aca="false">_xlfn.IFNA(VLOOKUP(D1171,Catalog!$B$2:$C$4102,2,FALSE()),"")</f>
        <v>0.85</v>
      </c>
      <c r="I1171" s="7" t="str">
        <f aca="false">HLOOKUP(C1171,Regions!$B$1:$S$2,2,FALSE())</f>
        <v>EU</v>
      </c>
      <c r="J1171" s="7" t="n">
        <f aca="false">E1171*F1171</f>
        <v>0.85</v>
      </c>
      <c r="K1171" s="8" t="n">
        <f aca="false">IF(H1171="","",1-F1171/H1171)</f>
        <v>0</v>
      </c>
    </row>
    <row r="1172" customFormat="false" ht="15" hidden="false" customHeight="false" outlineLevel="0" collapsed="false">
      <c r="A1172" s="0" t="s">
        <v>749</v>
      </c>
      <c r="B1172" s="6" t="n">
        <v>40884.7118055556</v>
      </c>
      <c r="C1172" s="0" t="s">
        <v>524</v>
      </c>
      <c r="D1172" s="0" t="s">
        <v>228</v>
      </c>
      <c r="E1172" s="0" t="n">
        <v>1</v>
      </c>
      <c r="F1172" s="0" t="n">
        <v>1.65</v>
      </c>
      <c r="G1172" s="7" t="str">
        <f aca="false">_xlfn.XLOOKUP(D1172,Catalog!$B$2:$B$4102,Catalog!$A$2:$A$4102,"NOT IN CATALOG")</f>
        <v>NOT IN CATALOG</v>
      </c>
      <c r="H1172" s="7" t="str">
        <f aca="false">_xlfn.IFNA(VLOOKUP(D1172,Catalog!$B$2:$C$4102,2,FALSE()),"")</f>
        <v/>
      </c>
      <c r="I1172" s="7" t="str">
        <f aca="false">HLOOKUP(C1172,Regions!$B$1:$S$2,2,FALSE())</f>
        <v>EU</v>
      </c>
      <c r="J1172" s="7" t="n">
        <f aca="false">E1172*F1172</f>
        <v>1.65</v>
      </c>
      <c r="K1172" s="8" t="str">
        <f aca="false">IF(H1172="","",1-F1172/H1172)</f>
        <v/>
      </c>
    </row>
    <row r="1173" customFormat="false" ht="15" hidden="false" customHeight="false" outlineLevel="0" collapsed="false">
      <c r="A1173" s="0" t="s">
        <v>749</v>
      </c>
      <c r="B1173" s="6" t="n">
        <v>40884.7118055556</v>
      </c>
      <c r="C1173" s="0" t="s">
        <v>524</v>
      </c>
      <c r="D1173" s="0" t="s">
        <v>123</v>
      </c>
      <c r="E1173" s="0" t="n">
        <v>1</v>
      </c>
      <c r="F1173" s="0" t="n">
        <v>1.65</v>
      </c>
      <c r="G1173" s="7" t="str">
        <f aca="false">_xlfn.XLOOKUP(D1173,Catalog!$B$2:$B$4102,Catalog!$A$2:$A$4102,"NOT IN CATALOG")</f>
        <v>LUNCH BAG DOLLY GIRL DESIGN</v>
      </c>
      <c r="H1173" s="7" t="n">
        <f aca="false">_xlfn.IFNA(VLOOKUP(D1173,Catalog!$B$2:$C$4102,2,FALSE()),"")</f>
        <v>1.65</v>
      </c>
      <c r="I1173" s="7" t="str">
        <f aca="false">HLOOKUP(C1173,Regions!$B$1:$S$2,2,FALSE())</f>
        <v>EU</v>
      </c>
      <c r="J1173" s="7" t="n">
        <f aca="false">E1173*F1173</f>
        <v>1.65</v>
      </c>
      <c r="K1173" s="8" t="n">
        <f aca="false">IF(H1173="","",1-F1173/H1173)</f>
        <v>0</v>
      </c>
    </row>
    <row r="1174" customFormat="false" ht="15" hidden="false" customHeight="false" outlineLevel="0" collapsed="false">
      <c r="A1174" s="0" t="s">
        <v>749</v>
      </c>
      <c r="B1174" s="6" t="n">
        <v>40884.7118055556</v>
      </c>
      <c r="C1174" s="0" t="s">
        <v>524</v>
      </c>
      <c r="D1174" s="0" t="s">
        <v>324</v>
      </c>
      <c r="E1174" s="0" t="n">
        <v>1</v>
      </c>
      <c r="F1174" s="0" t="n">
        <v>1.65</v>
      </c>
      <c r="G1174" s="7" t="str">
        <f aca="false">_xlfn.XLOOKUP(D1174,Catalog!$B$2:$B$4102,Catalog!$A$2:$A$4102,"NOT IN CATALOG")</f>
        <v>NOT IN CATALOG</v>
      </c>
      <c r="H1174" s="7" t="str">
        <f aca="false">_xlfn.IFNA(VLOOKUP(D1174,Catalog!$B$2:$C$4102,2,FALSE()),"")</f>
        <v/>
      </c>
      <c r="I1174" s="7" t="str">
        <f aca="false">HLOOKUP(C1174,Regions!$B$1:$S$2,2,FALSE())</f>
        <v>EU</v>
      </c>
      <c r="J1174" s="7" t="n">
        <f aca="false">E1174*F1174</f>
        <v>1.65</v>
      </c>
      <c r="K1174" s="8" t="str">
        <f aca="false">IF(H1174="","",1-F1174/H1174)</f>
        <v/>
      </c>
    </row>
    <row r="1175" customFormat="false" ht="15" hidden="false" customHeight="false" outlineLevel="0" collapsed="false">
      <c r="A1175" s="0" t="s">
        <v>749</v>
      </c>
      <c r="B1175" s="6" t="n">
        <v>40884.7118055556</v>
      </c>
      <c r="C1175" s="0" t="s">
        <v>524</v>
      </c>
      <c r="D1175" s="0" t="s">
        <v>764</v>
      </c>
      <c r="E1175" s="0" t="n">
        <v>1</v>
      </c>
      <c r="F1175" s="0" t="n">
        <v>2.55</v>
      </c>
      <c r="G1175" s="7" t="str">
        <f aca="false">_xlfn.XLOOKUP(D1175,Catalog!$B$2:$B$4102,Catalog!$A$2:$A$4102,"NOT IN CATALOG")</f>
        <v>PEG BAG APPLES DESIGN</v>
      </c>
      <c r="H1175" s="7" t="n">
        <f aca="false">_xlfn.IFNA(VLOOKUP(D1175,Catalog!$B$2:$C$4102,2,FALSE()),"")</f>
        <v>2.55</v>
      </c>
      <c r="I1175" s="7" t="str">
        <f aca="false">HLOOKUP(C1175,Regions!$B$1:$S$2,2,FALSE())</f>
        <v>EU</v>
      </c>
      <c r="J1175" s="7" t="n">
        <f aca="false">E1175*F1175</f>
        <v>2.55</v>
      </c>
      <c r="K1175" s="8" t="n">
        <f aca="false">IF(H1175="","",1-F1175/H1175)</f>
        <v>0</v>
      </c>
    </row>
    <row r="1176" customFormat="false" ht="15" hidden="false" customHeight="false" outlineLevel="0" collapsed="false">
      <c r="A1176" s="0" t="s">
        <v>749</v>
      </c>
      <c r="B1176" s="6" t="n">
        <v>40884.7118055556</v>
      </c>
      <c r="C1176" s="0" t="s">
        <v>524</v>
      </c>
      <c r="D1176" s="0" t="s">
        <v>363</v>
      </c>
      <c r="E1176" s="0" t="n">
        <v>1</v>
      </c>
      <c r="F1176" s="0" t="n">
        <v>2.08</v>
      </c>
      <c r="G1176" s="7" t="str">
        <f aca="false">_xlfn.XLOOKUP(D1176,Catalog!$B$2:$B$4102,Catalog!$A$2:$A$4102,"NOT IN CATALOG")</f>
        <v>NOT IN CATALOG</v>
      </c>
      <c r="H1176" s="7" t="str">
        <f aca="false">_xlfn.IFNA(VLOOKUP(D1176,Catalog!$B$2:$C$4102,2,FALSE()),"")</f>
        <v/>
      </c>
      <c r="I1176" s="7" t="str">
        <f aca="false">HLOOKUP(C1176,Regions!$B$1:$S$2,2,FALSE())</f>
        <v>EU</v>
      </c>
      <c r="J1176" s="7" t="n">
        <f aca="false">E1176*F1176</f>
        <v>2.08</v>
      </c>
      <c r="K1176" s="8" t="str">
        <f aca="false">IF(H1176="","",1-F1176/H1176)</f>
        <v/>
      </c>
    </row>
    <row r="1177" customFormat="false" ht="15" hidden="false" customHeight="false" outlineLevel="0" collapsed="false">
      <c r="A1177" s="0" t="s">
        <v>749</v>
      </c>
      <c r="B1177" s="6" t="n">
        <v>40884.7118055556</v>
      </c>
      <c r="C1177" s="0" t="s">
        <v>524</v>
      </c>
      <c r="D1177" s="0" t="s">
        <v>333</v>
      </c>
      <c r="E1177" s="0" t="n">
        <v>2</v>
      </c>
      <c r="F1177" s="0" t="n">
        <v>0.39</v>
      </c>
      <c r="G1177" s="7" t="str">
        <f aca="false">_xlfn.XLOOKUP(D1177,Catalog!$B$2:$B$4102,Catalog!$A$2:$A$4102,"NOT IN CATALOG")</f>
        <v>PAPERWEIGHT VINTAGE COLLAGE</v>
      </c>
      <c r="H1177" s="7" t="n">
        <f aca="false">_xlfn.IFNA(VLOOKUP(D1177,Catalog!$B$2:$C$4102,2,FALSE()),"")</f>
        <v>2.55</v>
      </c>
      <c r="I1177" s="7" t="str">
        <f aca="false">HLOOKUP(C1177,Regions!$B$1:$S$2,2,FALSE())</f>
        <v>EU</v>
      </c>
      <c r="J1177" s="7" t="n">
        <f aca="false">E1177*F1177</f>
        <v>0.78</v>
      </c>
      <c r="K1177" s="8" t="n">
        <f aca="false">IF(H1177="","",1-F1177/H1177)</f>
        <v>0.847058823529412</v>
      </c>
    </row>
    <row r="1178" customFormat="false" ht="15" hidden="false" customHeight="false" outlineLevel="0" collapsed="false">
      <c r="A1178" s="0" t="s">
        <v>749</v>
      </c>
      <c r="B1178" s="6" t="n">
        <v>40884.7118055556</v>
      </c>
      <c r="C1178" s="0" t="s">
        <v>524</v>
      </c>
      <c r="D1178" s="0" t="s">
        <v>765</v>
      </c>
      <c r="E1178" s="0" t="n">
        <v>2</v>
      </c>
      <c r="F1178" s="0" t="n">
        <v>0.39</v>
      </c>
      <c r="G1178" s="7" t="str">
        <f aca="false">_xlfn.XLOOKUP(D1178,Catalog!$B$2:$B$4102,Catalog!$A$2:$A$4102,"NOT IN CATALOG")</f>
        <v>PAPERWEIGHT HOME SWEET HOME</v>
      </c>
      <c r="H1178" s="7" t="n">
        <f aca="false">_xlfn.IFNA(VLOOKUP(D1178,Catalog!$B$2:$C$4102,2,FALSE()),"")</f>
        <v>2.55</v>
      </c>
      <c r="I1178" s="7" t="str">
        <f aca="false">HLOOKUP(C1178,Regions!$B$1:$S$2,2,FALSE())</f>
        <v>EU</v>
      </c>
      <c r="J1178" s="7" t="n">
        <f aca="false">E1178*F1178</f>
        <v>0.78</v>
      </c>
      <c r="K1178" s="8" t="n">
        <f aca="false">IF(H1178="","",1-F1178/H1178)</f>
        <v>0.847058823529412</v>
      </c>
    </row>
    <row r="1179" customFormat="false" ht="15" hidden="false" customHeight="false" outlineLevel="0" collapsed="false">
      <c r="A1179" s="0" t="s">
        <v>749</v>
      </c>
      <c r="B1179" s="6" t="n">
        <v>40884.7118055556</v>
      </c>
      <c r="C1179" s="0" t="s">
        <v>524</v>
      </c>
      <c r="D1179" s="0" t="s">
        <v>766</v>
      </c>
      <c r="E1179" s="0" t="n">
        <v>1</v>
      </c>
      <c r="F1179" s="0" t="n">
        <v>4.15</v>
      </c>
      <c r="G1179" s="7" t="str">
        <f aca="false">_xlfn.XLOOKUP(D1179,Catalog!$B$2:$B$4102,Catalog!$A$2:$A$4102,"NOT IN CATALOG")</f>
        <v>NOT IN CATALOG</v>
      </c>
      <c r="H1179" s="7" t="str">
        <f aca="false">_xlfn.IFNA(VLOOKUP(D1179,Catalog!$B$2:$C$4102,2,FALSE()),"")</f>
        <v/>
      </c>
      <c r="I1179" s="7" t="str">
        <f aca="false">HLOOKUP(C1179,Regions!$B$1:$S$2,2,FALSE())</f>
        <v>EU</v>
      </c>
      <c r="J1179" s="7" t="n">
        <f aca="false">E1179*F1179</f>
        <v>4.15</v>
      </c>
      <c r="K1179" s="8" t="str">
        <f aca="false">IF(H1179="","",1-F1179/H1179)</f>
        <v/>
      </c>
    </row>
    <row r="1180" customFormat="false" ht="15" hidden="false" customHeight="false" outlineLevel="0" collapsed="false">
      <c r="A1180" s="0" t="s">
        <v>749</v>
      </c>
      <c r="B1180" s="6" t="n">
        <v>40884.7118055556</v>
      </c>
      <c r="C1180" s="0" t="s">
        <v>524</v>
      </c>
      <c r="D1180" s="0" t="s">
        <v>605</v>
      </c>
      <c r="E1180" s="0" t="n">
        <v>2</v>
      </c>
      <c r="F1180" s="0" t="n">
        <v>0.42</v>
      </c>
      <c r="G1180" s="7" t="str">
        <f aca="false">_xlfn.XLOOKUP(D1180,Catalog!$B$2:$B$4102,Catalog!$A$2:$A$4102,"NOT IN CATALOG")</f>
        <v>ENGLISH ROSE NOTEBOOK A7 SIZE</v>
      </c>
      <c r="H1180" s="7" t="n">
        <f aca="false">_xlfn.IFNA(VLOOKUP(D1180,Catalog!$B$2:$C$4102,2,FALSE()),"")</f>
        <v>0.42</v>
      </c>
      <c r="I1180" s="7" t="str">
        <f aca="false">HLOOKUP(C1180,Regions!$B$1:$S$2,2,FALSE())</f>
        <v>EU</v>
      </c>
      <c r="J1180" s="7" t="n">
        <f aca="false">E1180*F1180</f>
        <v>0.84</v>
      </c>
      <c r="K1180" s="8" t="n">
        <f aca="false">IF(H1180="","",1-F1180/H1180)</f>
        <v>0</v>
      </c>
    </row>
    <row r="1181" customFormat="false" ht="15" hidden="false" customHeight="false" outlineLevel="0" collapsed="false">
      <c r="A1181" s="0" t="s">
        <v>749</v>
      </c>
      <c r="B1181" s="6" t="n">
        <v>40884.7118055556</v>
      </c>
      <c r="C1181" s="0" t="s">
        <v>524</v>
      </c>
      <c r="D1181" s="0" t="s">
        <v>767</v>
      </c>
      <c r="E1181" s="0" t="n">
        <v>2</v>
      </c>
      <c r="F1181" s="0" t="n">
        <v>0.65</v>
      </c>
      <c r="G1181" s="7" t="str">
        <f aca="false">_xlfn.XLOOKUP(D1181,Catalog!$B$2:$B$4102,Catalog!$A$2:$A$4102,"NOT IN CATALOG")</f>
        <v>FAIRY CAKES NOTEBOOK A6 SIZE</v>
      </c>
      <c r="H1181" s="7" t="n">
        <f aca="false">_xlfn.IFNA(VLOOKUP(D1181,Catalog!$B$2:$C$4102,2,FALSE()),"")</f>
        <v>0.65</v>
      </c>
      <c r="I1181" s="7" t="str">
        <f aca="false">HLOOKUP(C1181,Regions!$B$1:$S$2,2,FALSE())</f>
        <v>EU</v>
      </c>
      <c r="J1181" s="7" t="n">
        <f aca="false">E1181*F1181</f>
        <v>1.3</v>
      </c>
      <c r="K1181" s="8" t="n">
        <f aca="false">IF(H1181="","",1-F1181/H1181)</f>
        <v>0</v>
      </c>
    </row>
    <row r="1182" customFormat="false" ht="15" hidden="false" customHeight="false" outlineLevel="0" collapsed="false">
      <c r="A1182" s="0" t="s">
        <v>749</v>
      </c>
      <c r="B1182" s="6" t="n">
        <v>40884.7118055556</v>
      </c>
      <c r="C1182" s="0" t="s">
        <v>524</v>
      </c>
      <c r="D1182" s="0" t="s">
        <v>555</v>
      </c>
      <c r="E1182" s="0" t="n">
        <v>1</v>
      </c>
      <c r="F1182" s="0" t="n">
        <v>0.21</v>
      </c>
      <c r="G1182" s="7" t="str">
        <f aca="false">_xlfn.XLOOKUP(D1182,Catalog!$B$2:$B$4102,Catalog!$A$2:$A$4102,"NOT IN CATALOG")</f>
        <v>SMALL PURPLE BABUSHKA NOTEBOOK</v>
      </c>
      <c r="H1182" s="7" t="n">
        <f aca="false">_xlfn.IFNA(VLOOKUP(D1182,Catalog!$B$2:$C$4102,2,FALSE()),"")</f>
        <v>0.85</v>
      </c>
      <c r="I1182" s="7" t="str">
        <f aca="false">HLOOKUP(C1182,Regions!$B$1:$S$2,2,FALSE())</f>
        <v>EU</v>
      </c>
      <c r="J1182" s="7" t="n">
        <f aca="false">E1182*F1182</f>
        <v>0.21</v>
      </c>
      <c r="K1182" s="8" t="n">
        <f aca="false">IF(H1182="","",1-F1182/H1182)</f>
        <v>0.752941176470588</v>
      </c>
    </row>
    <row r="1183" customFormat="false" ht="15" hidden="false" customHeight="false" outlineLevel="0" collapsed="false">
      <c r="A1183" s="0" t="s">
        <v>749</v>
      </c>
      <c r="B1183" s="6" t="n">
        <v>40884.7118055556</v>
      </c>
      <c r="C1183" s="0" t="s">
        <v>524</v>
      </c>
      <c r="D1183" s="0" t="s">
        <v>340</v>
      </c>
      <c r="E1183" s="0" t="n">
        <v>1</v>
      </c>
      <c r="F1183" s="0" t="n">
        <v>0.21</v>
      </c>
      <c r="G1183" s="7" t="str">
        <f aca="false">_xlfn.XLOOKUP(D1183,Catalog!$B$2:$B$4102,Catalog!$A$2:$A$4102,"NOT IN CATALOG")</f>
        <v>SMALL YELLOW BABUSHKA NOTEBOOK</v>
      </c>
      <c r="H1183" s="7" t="n">
        <f aca="false">_xlfn.IFNA(VLOOKUP(D1183,Catalog!$B$2:$C$4102,2,FALSE()),"")</f>
        <v>0.85</v>
      </c>
      <c r="I1183" s="7" t="str">
        <f aca="false">HLOOKUP(C1183,Regions!$B$1:$S$2,2,FALSE())</f>
        <v>EU</v>
      </c>
      <c r="J1183" s="7" t="n">
        <f aca="false">E1183*F1183</f>
        <v>0.21</v>
      </c>
      <c r="K1183" s="8" t="n">
        <f aca="false">IF(H1183="","",1-F1183/H1183)</f>
        <v>0.752941176470588</v>
      </c>
    </row>
    <row r="1184" customFormat="false" ht="15" hidden="false" customHeight="false" outlineLevel="0" collapsed="false">
      <c r="A1184" s="0" t="s">
        <v>749</v>
      </c>
      <c r="B1184" s="6" t="n">
        <v>40884.7118055556</v>
      </c>
      <c r="C1184" s="0" t="s">
        <v>524</v>
      </c>
      <c r="D1184" s="0" t="s">
        <v>339</v>
      </c>
      <c r="E1184" s="0" t="n">
        <v>1</v>
      </c>
      <c r="F1184" s="0" t="n">
        <v>0.21</v>
      </c>
      <c r="G1184" s="7" t="str">
        <f aca="false">_xlfn.XLOOKUP(D1184,Catalog!$B$2:$B$4102,Catalog!$A$2:$A$4102,"NOT IN CATALOG")</f>
        <v>SMALL RED BABUSHKA NOTEBOOK</v>
      </c>
      <c r="H1184" s="7" t="n">
        <f aca="false">_xlfn.IFNA(VLOOKUP(D1184,Catalog!$B$2:$C$4102,2,FALSE()),"")</f>
        <v>0.85</v>
      </c>
      <c r="I1184" s="7" t="str">
        <f aca="false">HLOOKUP(C1184,Regions!$B$1:$S$2,2,FALSE())</f>
        <v>EU</v>
      </c>
      <c r="J1184" s="7" t="n">
        <f aca="false">E1184*F1184</f>
        <v>0.21</v>
      </c>
      <c r="K1184" s="8" t="n">
        <f aca="false">IF(H1184="","",1-F1184/H1184)</f>
        <v>0.752941176470588</v>
      </c>
    </row>
    <row r="1185" customFormat="false" ht="15" hidden="false" customHeight="false" outlineLevel="0" collapsed="false">
      <c r="A1185" s="0" t="s">
        <v>749</v>
      </c>
      <c r="B1185" s="6" t="n">
        <v>40884.7118055556</v>
      </c>
      <c r="C1185" s="0" t="s">
        <v>524</v>
      </c>
      <c r="D1185" s="0" t="s">
        <v>768</v>
      </c>
      <c r="E1185" s="0" t="n">
        <v>1</v>
      </c>
      <c r="F1185" s="0" t="n">
        <v>1.25</v>
      </c>
      <c r="G1185" s="7" t="str">
        <f aca="false">_xlfn.XLOOKUP(D1185,Catalog!$B$2:$B$4102,Catalog!$A$2:$A$4102,"NOT IN CATALOG")</f>
        <v>NOT IN CATALOG</v>
      </c>
      <c r="H1185" s="7" t="str">
        <f aca="false">_xlfn.IFNA(VLOOKUP(D1185,Catalog!$B$2:$C$4102,2,FALSE()),"")</f>
        <v/>
      </c>
      <c r="I1185" s="7" t="str">
        <f aca="false">HLOOKUP(C1185,Regions!$B$1:$S$2,2,FALSE())</f>
        <v>EU</v>
      </c>
      <c r="J1185" s="7" t="n">
        <f aca="false">E1185*F1185</f>
        <v>1.25</v>
      </c>
      <c r="K1185" s="8" t="str">
        <f aca="false">IF(H1185="","",1-F1185/H1185)</f>
        <v/>
      </c>
    </row>
    <row r="1186" customFormat="false" ht="15" hidden="false" customHeight="false" outlineLevel="0" collapsed="false">
      <c r="A1186" s="0" t="s">
        <v>749</v>
      </c>
      <c r="B1186" s="6" t="n">
        <v>40884.7118055556</v>
      </c>
      <c r="C1186" s="0" t="s">
        <v>524</v>
      </c>
      <c r="D1186" s="0" t="s">
        <v>769</v>
      </c>
      <c r="E1186" s="0" t="n">
        <v>1</v>
      </c>
      <c r="F1186" s="0" t="n">
        <v>1.25</v>
      </c>
      <c r="G1186" s="7" t="str">
        <f aca="false">_xlfn.XLOOKUP(D1186,Catalog!$B$2:$B$4102,Catalog!$A$2:$A$4102,"NOT IN CATALOG")</f>
        <v>NOT IN CATALOG</v>
      </c>
      <c r="H1186" s="7" t="str">
        <f aca="false">_xlfn.IFNA(VLOOKUP(D1186,Catalog!$B$2:$C$4102,2,FALSE()),"")</f>
        <v/>
      </c>
      <c r="I1186" s="7" t="str">
        <f aca="false">HLOOKUP(C1186,Regions!$B$1:$S$2,2,FALSE())</f>
        <v>EU</v>
      </c>
      <c r="J1186" s="7" t="n">
        <f aca="false">E1186*F1186</f>
        <v>1.25</v>
      </c>
      <c r="K1186" s="8" t="str">
        <f aca="false">IF(H1186="","",1-F1186/H1186)</f>
        <v/>
      </c>
    </row>
    <row r="1187" customFormat="false" ht="15" hidden="false" customHeight="false" outlineLevel="0" collapsed="false">
      <c r="A1187" s="0" t="s">
        <v>749</v>
      </c>
      <c r="B1187" s="6" t="n">
        <v>40884.7118055556</v>
      </c>
      <c r="C1187" s="0" t="s">
        <v>524</v>
      </c>
      <c r="D1187" s="0" t="s">
        <v>508</v>
      </c>
      <c r="E1187" s="0" t="n">
        <v>1</v>
      </c>
      <c r="F1187" s="0" t="n">
        <v>4.15</v>
      </c>
      <c r="G1187" s="7" t="str">
        <f aca="false">_xlfn.XLOOKUP(D1187,Catalog!$B$2:$B$4102,Catalog!$A$2:$A$4102,"NOT IN CATALOG")</f>
        <v>NOT IN CATALOG</v>
      </c>
      <c r="H1187" s="7" t="str">
        <f aca="false">_xlfn.IFNA(VLOOKUP(D1187,Catalog!$B$2:$C$4102,2,FALSE()),"")</f>
        <v/>
      </c>
      <c r="I1187" s="7" t="str">
        <f aca="false">HLOOKUP(C1187,Regions!$B$1:$S$2,2,FALSE())</f>
        <v>EU</v>
      </c>
      <c r="J1187" s="7" t="n">
        <f aca="false">E1187*F1187</f>
        <v>4.15</v>
      </c>
      <c r="K1187" s="8" t="str">
        <f aca="false">IF(H1187="","",1-F1187/H1187)</f>
        <v/>
      </c>
    </row>
    <row r="1188" customFormat="false" ht="15" hidden="false" customHeight="false" outlineLevel="0" collapsed="false">
      <c r="A1188" s="0" t="s">
        <v>749</v>
      </c>
      <c r="B1188" s="6" t="n">
        <v>40884.7118055556</v>
      </c>
      <c r="C1188" s="0" t="s">
        <v>524</v>
      </c>
      <c r="D1188" s="0" t="s">
        <v>482</v>
      </c>
      <c r="E1188" s="0" t="n">
        <v>2</v>
      </c>
      <c r="F1188" s="0" t="n">
        <v>2.95</v>
      </c>
      <c r="G1188" s="7" t="str">
        <f aca="false">_xlfn.XLOOKUP(D1188,Catalog!$B$2:$B$4102,Catalog!$A$2:$A$4102,"NOT IN CATALOG")</f>
        <v>ROUND SNACK BOXES SET OF4 WOODLAND</v>
      </c>
      <c r="H1188" s="7" t="n">
        <f aca="false">_xlfn.IFNA(VLOOKUP(D1188,Catalog!$B$2:$C$4102,2,FALSE()),"")</f>
        <v>2.95</v>
      </c>
      <c r="I1188" s="7" t="str">
        <f aca="false">HLOOKUP(C1188,Regions!$B$1:$S$2,2,FALSE())</f>
        <v>EU</v>
      </c>
      <c r="J1188" s="7" t="n">
        <f aca="false">E1188*F1188</f>
        <v>5.9</v>
      </c>
      <c r="K1188" s="8" t="n">
        <f aca="false">IF(H1188="","",1-F1188/H1188)</f>
        <v>0</v>
      </c>
    </row>
    <row r="1189" customFormat="false" ht="15" hidden="false" customHeight="false" outlineLevel="0" collapsed="false">
      <c r="A1189" s="0" t="s">
        <v>749</v>
      </c>
      <c r="B1189" s="6" t="n">
        <v>40884.7118055556</v>
      </c>
      <c r="C1189" s="0" t="s">
        <v>524</v>
      </c>
      <c r="D1189" s="0" t="s">
        <v>307</v>
      </c>
      <c r="E1189" s="0" t="n">
        <v>1</v>
      </c>
      <c r="F1189" s="0" t="n">
        <v>1.95</v>
      </c>
      <c r="G1189" s="7" t="str">
        <f aca="false">_xlfn.XLOOKUP(D1189,Catalog!$B$2:$B$4102,Catalog!$A$2:$A$4102,"NOT IN CATALOG")</f>
        <v>SPACEBOY LUNCH BOX</v>
      </c>
      <c r="H1189" s="7" t="n">
        <f aca="false">_xlfn.IFNA(VLOOKUP(D1189,Catalog!$B$2:$C$4102,2,FALSE()),"")</f>
        <v>1.95</v>
      </c>
      <c r="I1189" s="7" t="str">
        <f aca="false">HLOOKUP(C1189,Regions!$B$1:$S$2,2,FALSE())</f>
        <v>EU</v>
      </c>
      <c r="J1189" s="7" t="n">
        <f aca="false">E1189*F1189</f>
        <v>1.95</v>
      </c>
      <c r="K1189" s="8" t="n">
        <f aca="false">IF(H1189="","",1-F1189/H1189)</f>
        <v>0</v>
      </c>
    </row>
    <row r="1190" customFormat="false" ht="15" hidden="false" customHeight="false" outlineLevel="0" collapsed="false">
      <c r="A1190" s="0" t="s">
        <v>749</v>
      </c>
      <c r="B1190" s="6" t="n">
        <v>40884.7118055556</v>
      </c>
      <c r="C1190" s="0" t="s">
        <v>524</v>
      </c>
      <c r="D1190" s="0" t="s">
        <v>464</v>
      </c>
      <c r="E1190" s="0" t="n">
        <v>1</v>
      </c>
      <c r="F1190" s="0" t="n">
        <v>1.95</v>
      </c>
      <c r="G1190" s="7" t="str">
        <f aca="false">_xlfn.XLOOKUP(D1190,Catalog!$B$2:$B$4102,Catalog!$A$2:$A$4102,"NOT IN CATALOG")</f>
        <v>CIRCUS PARADE LUNCH BOX</v>
      </c>
      <c r="H1190" s="7" t="n">
        <f aca="false">_xlfn.IFNA(VLOOKUP(D1190,Catalog!$B$2:$C$4102,2,FALSE()),"")</f>
        <v>1.95</v>
      </c>
      <c r="I1190" s="7" t="str">
        <f aca="false">HLOOKUP(C1190,Regions!$B$1:$S$2,2,FALSE())</f>
        <v>EU</v>
      </c>
      <c r="J1190" s="7" t="n">
        <f aca="false">E1190*F1190</f>
        <v>1.95</v>
      </c>
      <c r="K1190" s="8" t="n">
        <f aca="false">IF(H1190="","",1-F1190/H1190)</f>
        <v>0</v>
      </c>
    </row>
    <row r="1191" customFormat="false" ht="15" hidden="false" customHeight="false" outlineLevel="0" collapsed="false">
      <c r="A1191" s="0" t="s">
        <v>749</v>
      </c>
      <c r="B1191" s="6" t="n">
        <v>40884.7118055556</v>
      </c>
      <c r="C1191" s="0" t="s">
        <v>524</v>
      </c>
      <c r="D1191" s="0" t="s">
        <v>266</v>
      </c>
      <c r="E1191" s="0" t="n">
        <v>2</v>
      </c>
      <c r="F1191" s="0" t="n">
        <v>1.25</v>
      </c>
      <c r="G1191" s="7" t="str">
        <f aca="false">_xlfn.XLOOKUP(D1191,Catalog!$B$2:$B$4102,Catalog!$A$2:$A$4102,"NOT IN CATALOG")</f>
        <v>NOT IN CATALOG</v>
      </c>
      <c r="H1191" s="7" t="str">
        <f aca="false">_xlfn.IFNA(VLOOKUP(D1191,Catalog!$B$2:$C$4102,2,FALSE()),"")</f>
        <v/>
      </c>
      <c r="I1191" s="7" t="str">
        <f aca="false">HLOOKUP(C1191,Regions!$B$1:$S$2,2,FALSE())</f>
        <v>EU</v>
      </c>
      <c r="J1191" s="7" t="n">
        <f aca="false">E1191*F1191</f>
        <v>2.5</v>
      </c>
      <c r="K1191" s="8" t="str">
        <f aca="false">IF(H1191="","",1-F1191/H1191)</f>
        <v/>
      </c>
    </row>
    <row r="1192" customFormat="false" ht="15" hidden="false" customHeight="false" outlineLevel="0" collapsed="false">
      <c r="A1192" s="0" t="s">
        <v>749</v>
      </c>
      <c r="B1192" s="6" t="n">
        <v>40884.7118055556</v>
      </c>
      <c r="C1192" s="0" t="s">
        <v>524</v>
      </c>
      <c r="D1192" s="0" t="s">
        <v>770</v>
      </c>
      <c r="E1192" s="0" t="n">
        <v>2</v>
      </c>
      <c r="F1192" s="0" t="n">
        <v>1.25</v>
      </c>
      <c r="G1192" s="7" t="str">
        <f aca="false">_xlfn.XLOOKUP(D1192,Catalog!$B$2:$B$4102,Catalog!$A$2:$A$4102,"NOT IN CATALOG")</f>
        <v>NOT IN CATALOG</v>
      </c>
      <c r="H1192" s="7" t="str">
        <f aca="false">_xlfn.IFNA(VLOOKUP(D1192,Catalog!$B$2:$C$4102,2,FALSE()),"")</f>
        <v/>
      </c>
      <c r="I1192" s="7" t="str">
        <f aca="false">HLOOKUP(C1192,Regions!$B$1:$S$2,2,FALSE())</f>
        <v>EU</v>
      </c>
      <c r="J1192" s="7" t="n">
        <f aca="false">E1192*F1192</f>
        <v>2.5</v>
      </c>
      <c r="K1192" s="8" t="str">
        <f aca="false">IF(H1192="","",1-F1192/H1192)</f>
        <v/>
      </c>
    </row>
    <row r="1193" customFormat="false" ht="15" hidden="false" customHeight="false" outlineLevel="0" collapsed="false">
      <c r="A1193" s="0" t="s">
        <v>749</v>
      </c>
      <c r="B1193" s="6" t="n">
        <v>40884.7118055556</v>
      </c>
      <c r="C1193" s="0" t="s">
        <v>524</v>
      </c>
      <c r="D1193" s="0" t="s">
        <v>547</v>
      </c>
      <c r="E1193" s="0" t="n">
        <v>2</v>
      </c>
      <c r="F1193" s="0" t="n">
        <v>1.25</v>
      </c>
      <c r="G1193" s="7" t="str">
        <f aca="false">_xlfn.XLOOKUP(D1193,Catalog!$B$2:$B$4102,Catalog!$A$2:$A$4102,"NOT IN CATALOG")</f>
        <v>NOT IN CATALOG</v>
      </c>
      <c r="H1193" s="7" t="str">
        <f aca="false">_xlfn.IFNA(VLOOKUP(D1193,Catalog!$B$2:$C$4102,2,FALSE()),"")</f>
        <v/>
      </c>
      <c r="I1193" s="7" t="str">
        <f aca="false">HLOOKUP(C1193,Regions!$B$1:$S$2,2,FALSE())</f>
        <v>EU</v>
      </c>
      <c r="J1193" s="7" t="n">
        <f aca="false">E1193*F1193</f>
        <v>2.5</v>
      </c>
      <c r="K1193" s="8" t="str">
        <f aca="false">IF(H1193="","",1-F1193/H1193)</f>
        <v/>
      </c>
    </row>
    <row r="1194" customFormat="false" ht="15" hidden="false" customHeight="false" outlineLevel="0" collapsed="false">
      <c r="A1194" s="0" t="s">
        <v>749</v>
      </c>
      <c r="B1194" s="6" t="n">
        <v>40884.7118055556</v>
      </c>
      <c r="C1194" s="0" t="s">
        <v>524</v>
      </c>
      <c r="D1194" s="0" t="s">
        <v>771</v>
      </c>
      <c r="E1194" s="0" t="n">
        <v>2</v>
      </c>
      <c r="F1194" s="0" t="n">
        <v>1.25</v>
      </c>
      <c r="G1194" s="7" t="str">
        <f aca="false">_xlfn.XLOOKUP(D1194,Catalog!$B$2:$B$4102,Catalog!$A$2:$A$4102,"NOT IN CATALOG")</f>
        <v>NOT IN CATALOG</v>
      </c>
      <c r="H1194" s="7" t="str">
        <f aca="false">_xlfn.IFNA(VLOOKUP(D1194,Catalog!$B$2:$C$4102,2,FALSE()),"")</f>
        <v/>
      </c>
      <c r="I1194" s="7" t="str">
        <f aca="false">HLOOKUP(C1194,Regions!$B$1:$S$2,2,FALSE())</f>
        <v>EU</v>
      </c>
      <c r="J1194" s="7" t="n">
        <f aca="false">E1194*F1194</f>
        <v>2.5</v>
      </c>
      <c r="K1194" s="8" t="str">
        <f aca="false">IF(H1194="","",1-F1194/H1194)</f>
        <v/>
      </c>
    </row>
    <row r="1195" customFormat="false" ht="15" hidden="false" customHeight="false" outlineLevel="0" collapsed="false">
      <c r="A1195" s="0" t="s">
        <v>749</v>
      </c>
      <c r="B1195" s="6" t="n">
        <v>40884.7118055556</v>
      </c>
      <c r="C1195" s="0" t="s">
        <v>524</v>
      </c>
      <c r="D1195" s="0" t="s">
        <v>772</v>
      </c>
      <c r="E1195" s="0" t="n">
        <v>1</v>
      </c>
      <c r="F1195" s="0" t="n">
        <v>4.95</v>
      </c>
      <c r="G1195" s="7" t="str">
        <f aca="false">_xlfn.XLOOKUP(D1195,Catalog!$B$2:$B$4102,Catalog!$A$2:$A$4102,"NOT IN CATALOG")</f>
        <v>SET/3 DECOUPAGE STACKING TINS</v>
      </c>
      <c r="H1195" s="7" t="n">
        <f aca="false">_xlfn.IFNA(VLOOKUP(D1195,Catalog!$B$2:$C$4102,2,FALSE()),"")</f>
        <v>4.95</v>
      </c>
      <c r="I1195" s="7" t="str">
        <f aca="false">HLOOKUP(C1195,Regions!$B$1:$S$2,2,FALSE())</f>
        <v>EU</v>
      </c>
      <c r="J1195" s="7" t="n">
        <f aca="false">E1195*F1195</f>
        <v>4.95</v>
      </c>
      <c r="K1195" s="8" t="n">
        <f aca="false">IF(H1195="","",1-F1195/H1195)</f>
        <v>0</v>
      </c>
    </row>
    <row r="1196" customFormat="false" ht="15" hidden="false" customHeight="false" outlineLevel="0" collapsed="false">
      <c r="A1196" s="0" t="s">
        <v>749</v>
      </c>
      <c r="B1196" s="6" t="n">
        <v>40884.7118055556</v>
      </c>
      <c r="C1196" s="0" t="s">
        <v>524</v>
      </c>
      <c r="D1196" s="0" t="s">
        <v>338</v>
      </c>
      <c r="E1196" s="0" t="n">
        <v>2</v>
      </c>
      <c r="F1196" s="0" t="n">
        <v>1.95</v>
      </c>
      <c r="G1196" s="7" t="str">
        <f aca="false">_xlfn.XLOOKUP(D1196,Catalog!$B$2:$B$4102,Catalog!$A$2:$A$4102,"NOT IN CATALOG")</f>
        <v>NOT IN CATALOG</v>
      </c>
      <c r="H1196" s="7" t="str">
        <f aca="false">_xlfn.IFNA(VLOOKUP(D1196,Catalog!$B$2:$C$4102,2,FALSE()),"")</f>
        <v/>
      </c>
      <c r="I1196" s="7" t="str">
        <f aca="false">HLOOKUP(C1196,Regions!$B$1:$S$2,2,FALSE())</f>
        <v>EU</v>
      </c>
      <c r="J1196" s="7" t="n">
        <f aca="false">E1196*F1196</f>
        <v>3.9</v>
      </c>
      <c r="K1196" s="8" t="str">
        <f aca="false">IF(H1196="","",1-F1196/H1196)</f>
        <v/>
      </c>
    </row>
    <row r="1197" customFormat="false" ht="15" hidden="false" customHeight="false" outlineLevel="0" collapsed="false">
      <c r="A1197" s="0" t="s">
        <v>749</v>
      </c>
      <c r="B1197" s="6" t="n">
        <v>40884.7118055556</v>
      </c>
      <c r="C1197" s="0" t="s">
        <v>524</v>
      </c>
      <c r="D1197" s="0" t="s">
        <v>537</v>
      </c>
      <c r="E1197" s="0" t="n">
        <v>1</v>
      </c>
      <c r="F1197" s="0" t="n">
        <v>2.08</v>
      </c>
      <c r="G1197" s="7" t="str">
        <f aca="false">_xlfn.XLOOKUP(D1197,Catalog!$B$2:$B$4102,Catalog!$A$2:$A$4102,"NOT IN CATALOG")</f>
        <v>NOT IN CATALOG</v>
      </c>
      <c r="H1197" s="7" t="str">
        <f aca="false">_xlfn.IFNA(VLOOKUP(D1197,Catalog!$B$2:$C$4102,2,FALSE()),"")</f>
        <v/>
      </c>
      <c r="I1197" s="7" t="str">
        <f aca="false">HLOOKUP(C1197,Regions!$B$1:$S$2,2,FALSE())</f>
        <v>EU</v>
      </c>
      <c r="J1197" s="7" t="n">
        <f aca="false">E1197*F1197</f>
        <v>2.08</v>
      </c>
      <c r="K1197" s="8" t="str">
        <f aca="false">IF(H1197="","",1-F1197/H1197)</f>
        <v/>
      </c>
    </row>
    <row r="1198" customFormat="false" ht="15" hidden="false" customHeight="false" outlineLevel="0" collapsed="false">
      <c r="A1198" s="0" t="s">
        <v>749</v>
      </c>
      <c r="B1198" s="6" t="n">
        <v>40884.7118055556</v>
      </c>
      <c r="C1198" s="0" t="s">
        <v>524</v>
      </c>
      <c r="D1198" s="0" t="s">
        <v>773</v>
      </c>
      <c r="E1198" s="0" t="n">
        <v>1</v>
      </c>
      <c r="F1198" s="0" t="n">
        <v>2.89</v>
      </c>
      <c r="G1198" s="7" t="str">
        <f aca="false">_xlfn.XLOOKUP(D1198,Catalog!$B$2:$B$4102,Catalog!$A$2:$A$4102,"NOT IN CATALOG")</f>
        <v>NOT IN CATALOG</v>
      </c>
      <c r="H1198" s="7" t="str">
        <f aca="false">_xlfn.IFNA(VLOOKUP(D1198,Catalog!$B$2:$C$4102,2,FALSE()),"")</f>
        <v/>
      </c>
      <c r="I1198" s="7" t="str">
        <f aca="false">HLOOKUP(C1198,Regions!$B$1:$S$2,2,FALSE())</f>
        <v>EU</v>
      </c>
      <c r="J1198" s="7" t="n">
        <f aca="false">E1198*F1198</f>
        <v>2.89</v>
      </c>
      <c r="K1198" s="8" t="str">
        <f aca="false">IF(H1198="","",1-F1198/H1198)</f>
        <v/>
      </c>
    </row>
    <row r="1199" customFormat="false" ht="15" hidden="false" customHeight="false" outlineLevel="0" collapsed="false">
      <c r="A1199" s="0" t="s">
        <v>774</v>
      </c>
      <c r="B1199" s="6" t="n">
        <v>40885.4347222222</v>
      </c>
      <c r="C1199" s="0" t="s">
        <v>775</v>
      </c>
      <c r="D1199" s="0" t="s">
        <v>776</v>
      </c>
      <c r="E1199" s="0" t="n">
        <v>24</v>
      </c>
      <c r="F1199" s="0" t="n">
        <v>5.95</v>
      </c>
      <c r="G1199" s="7" t="str">
        <f aca="false">_xlfn.XLOOKUP(D1199,Catalog!$B$2:$B$4102,Catalog!$A$2:$A$4102,"NOT IN CATALOG")</f>
        <v>EDWARDIAN PARASOL RED</v>
      </c>
      <c r="H1199" s="7" t="n">
        <f aca="false">_xlfn.IFNA(VLOOKUP(D1199,Catalog!$B$2:$C$4102,2,FALSE()),"")</f>
        <v>5.95</v>
      </c>
      <c r="I1199" s="7" t="str">
        <f aca="false">HLOOKUP(C1199,Regions!$B$1:$S$2,2,FALSE())</f>
        <v>EU</v>
      </c>
      <c r="J1199" s="7" t="n">
        <f aca="false">E1199*F1199</f>
        <v>142.8</v>
      </c>
      <c r="K1199" s="8" t="n">
        <f aca="false">IF(H1199="","",1-F1199/H1199)</f>
        <v>0</v>
      </c>
    </row>
    <row r="1200" customFormat="false" ht="15" hidden="false" customHeight="false" outlineLevel="0" collapsed="false">
      <c r="A1200" s="0" t="s">
        <v>774</v>
      </c>
      <c r="B1200" s="6" t="n">
        <v>40885.4347222222</v>
      </c>
      <c r="C1200" s="0" t="s">
        <v>775</v>
      </c>
      <c r="D1200" s="0" t="s">
        <v>777</v>
      </c>
      <c r="E1200" s="0" t="n">
        <v>24</v>
      </c>
      <c r="F1200" s="0" t="n">
        <v>5.95</v>
      </c>
      <c r="G1200" s="7" t="str">
        <f aca="false">_xlfn.XLOOKUP(D1200,Catalog!$B$2:$B$4102,Catalog!$A$2:$A$4102,"NOT IN CATALOG")</f>
        <v>EDWARDIAN PARASOL NATURAL</v>
      </c>
      <c r="H1200" s="7" t="n">
        <f aca="false">_xlfn.IFNA(VLOOKUP(D1200,Catalog!$B$2:$C$4102,2,FALSE()),"")</f>
        <v>5.95</v>
      </c>
      <c r="I1200" s="7" t="str">
        <f aca="false">HLOOKUP(C1200,Regions!$B$1:$S$2,2,FALSE())</f>
        <v>EU</v>
      </c>
      <c r="J1200" s="7" t="n">
        <f aca="false">E1200*F1200</f>
        <v>142.8</v>
      </c>
      <c r="K1200" s="8" t="n">
        <f aca="false">IF(H1200="","",1-F1200/H1200)</f>
        <v>0</v>
      </c>
    </row>
    <row r="1201" customFormat="false" ht="15" hidden="false" customHeight="false" outlineLevel="0" collapsed="false">
      <c r="A1201" s="0" t="s">
        <v>774</v>
      </c>
      <c r="B1201" s="6" t="n">
        <v>40885.4347222222</v>
      </c>
      <c r="C1201" s="0" t="s">
        <v>775</v>
      </c>
      <c r="D1201" s="0" t="s">
        <v>669</v>
      </c>
      <c r="E1201" s="0" t="n">
        <v>24</v>
      </c>
      <c r="F1201" s="0" t="n">
        <v>5.95</v>
      </c>
      <c r="G1201" s="7" t="str">
        <f aca="false">_xlfn.XLOOKUP(D1201,Catalog!$B$2:$B$4102,Catalog!$A$2:$A$4102,"NOT IN CATALOG")</f>
        <v>EDWARDIAN PARASOL BLACK</v>
      </c>
      <c r="H1201" s="7" t="n">
        <f aca="false">_xlfn.IFNA(VLOOKUP(D1201,Catalog!$B$2:$C$4102,2,FALSE()),"")</f>
        <v>5.95</v>
      </c>
      <c r="I1201" s="7" t="str">
        <f aca="false">HLOOKUP(C1201,Regions!$B$1:$S$2,2,FALSE())</f>
        <v>EU</v>
      </c>
      <c r="J1201" s="7" t="n">
        <f aca="false">E1201*F1201</f>
        <v>142.8</v>
      </c>
      <c r="K1201" s="8" t="n">
        <f aca="false">IF(H1201="","",1-F1201/H1201)</f>
        <v>0</v>
      </c>
    </row>
    <row r="1202" customFormat="false" ht="15" hidden="false" customHeight="false" outlineLevel="0" collapsed="false">
      <c r="A1202" s="0" t="s">
        <v>774</v>
      </c>
      <c r="B1202" s="6" t="n">
        <v>40885.4347222222</v>
      </c>
      <c r="C1202" s="0" t="s">
        <v>775</v>
      </c>
      <c r="D1202" s="0" t="s">
        <v>778</v>
      </c>
      <c r="E1202" s="0" t="n">
        <v>12</v>
      </c>
      <c r="F1202" s="0" t="n">
        <v>5.95</v>
      </c>
      <c r="G1202" s="7" t="str">
        <f aca="false">_xlfn.XLOOKUP(D1202,Catalog!$B$2:$B$4102,Catalog!$A$2:$A$4102,"NOT IN CATALOG")</f>
        <v>EDWARDIAN PARASOL PINK</v>
      </c>
      <c r="H1202" s="7" t="n">
        <f aca="false">_xlfn.IFNA(VLOOKUP(D1202,Catalog!$B$2:$C$4102,2,FALSE()),"")</f>
        <v>5.95</v>
      </c>
      <c r="I1202" s="7" t="str">
        <f aca="false">HLOOKUP(C1202,Regions!$B$1:$S$2,2,FALSE())</f>
        <v>EU</v>
      </c>
      <c r="J1202" s="7" t="n">
        <f aca="false">E1202*F1202</f>
        <v>71.4</v>
      </c>
      <c r="K1202" s="8" t="n">
        <f aca="false">IF(H1202="","",1-F1202/H1202)</f>
        <v>0</v>
      </c>
    </row>
    <row r="1203" customFormat="false" ht="15" hidden="false" customHeight="false" outlineLevel="0" collapsed="false">
      <c r="A1203" s="0" t="s">
        <v>774</v>
      </c>
      <c r="B1203" s="6" t="n">
        <v>40885.4347222222</v>
      </c>
      <c r="C1203" s="0" t="s">
        <v>775</v>
      </c>
      <c r="D1203" s="0" t="s">
        <v>741</v>
      </c>
      <c r="E1203" s="0" t="n">
        <v>24</v>
      </c>
      <c r="F1203" s="0" t="n">
        <v>0.39</v>
      </c>
      <c r="G1203" s="7" t="str">
        <f aca="false">_xlfn.XLOOKUP(D1203,Catalog!$B$2:$B$4102,Catalog!$A$2:$A$4102,"NOT IN CATALOG")</f>
        <v>CERAMIC STRWBERRY DESIGN MUG</v>
      </c>
      <c r="H1203" s="7" t="n">
        <f aca="false">_xlfn.IFNA(VLOOKUP(D1203,Catalog!$B$2:$C$4102,2,FALSE()),"")</f>
        <v>1.49</v>
      </c>
      <c r="I1203" s="7" t="str">
        <f aca="false">HLOOKUP(C1203,Regions!$B$1:$S$2,2,FALSE())</f>
        <v>EU</v>
      </c>
      <c r="J1203" s="7" t="n">
        <f aca="false">E1203*F1203</f>
        <v>9.36</v>
      </c>
      <c r="K1203" s="8" t="n">
        <f aca="false">IF(H1203="","",1-F1203/H1203)</f>
        <v>0.738255033557047</v>
      </c>
    </row>
    <row r="1204" customFormat="false" ht="15" hidden="false" customHeight="false" outlineLevel="0" collapsed="false">
      <c r="A1204" s="0" t="s">
        <v>774</v>
      </c>
      <c r="B1204" s="6" t="n">
        <v>40885.4347222222</v>
      </c>
      <c r="C1204" s="0" t="s">
        <v>775</v>
      </c>
      <c r="D1204" s="0" t="s">
        <v>260</v>
      </c>
      <c r="E1204" s="0" t="n">
        <v>36</v>
      </c>
      <c r="F1204" s="0" t="n">
        <v>0.39</v>
      </c>
      <c r="G1204" s="7" t="str">
        <f aca="false">_xlfn.XLOOKUP(D1204,Catalog!$B$2:$B$4102,Catalog!$A$2:$A$4102,"NOT IN CATALOG")</f>
        <v>CERAMIC STRAWBERRY CAKE MONEY BANK</v>
      </c>
      <c r="H1204" s="7" t="n">
        <f aca="false">_xlfn.IFNA(VLOOKUP(D1204,Catalog!$B$2:$C$4102,2,FALSE()),"")</f>
        <v>1.45</v>
      </c>
      <c r="I1204" s="7" t="str">
        <f aca="false">HLOOKUP(C1204,Regions!$B$1:$S$2,2,FALSE())</f>
        <v>EU</v>
      </c>
      <c r="J1204" s="7" t="n">
        <f aca="false">E1204*F1204</f>
        <v>14.04</v>
      </c>
      <c r="K1204" s="8" t="n">
        <f aca="false">IF(H1204="","",1-F1204/H1204)</f>
        <v>0.731034482758621</v>
      </c>
    </row>
    <row r="1205" customFormat="false" ht="15" hidden="false" customHeight="false" outlineLevel="0" collapsed="false">
      <c r="A1205" s="0" t="s">
        <v>774</v>
      </c>
      <c r="B1205" s="6" t="n">
        <v>40885.4347222222</v>
      </c>
      <c r="C1205" s="0" t="s">
        <v>775</v>
      </c>
      <c r="D1205" s="0" t="s">
        <v>39</v>
      </c>
      <c r="E1205" s="0" t="n">
        <v>4</v>
      </c>
      <c r="F1205" s="0" t="n">
        <v>40</v>
      </c>
      <c r="G1205" s="7" t="str">
        <f aca="false">_xlfn.XLOOKUP(D1205,Catalog!$B$2:$B$4102,Catalog!$A$2:$A$4102,"NOT IN CATALOG")</f>
        <v>POSTAGE</v>
      </c>
      <c r="H1205" s="7" t="n">
        <f aca="false">_xlfn.IFNA(VLOOKUP(D1205,Catalog!$B$2:$C$4102,2,FALSE()),"")</f>
        <v>18</v>
      </c>
      <c r="I1205" s="7" t="str">
        <f aca="false">HLOOKUP(C1205,Regions!$B$1:$S$2,2,FALSE())</f>
        <v>EU</v>
      </c>
      <c r="J1205" s="7" t="n">
        <f aca="false">E1205*F1205</f>
        <v>160</v>
      </c>
      <c r="K1205" s="8" t="n">
        <f aca="false">IF(H1205="","",1-F1205/H1205)</f>
        <v>-1.22222222222222</v>
      </c>
    </row>
    <row r="1206" customFormat="false" ht="15" hidden="false" customHeight="false" outlineLevel="0" collapsed="false">
      <c r="A1206" s="0" t="s">
        <v>779</v>
      </c>
      <c r="B1206" s="6" t="n">
        <v>40885.4756944445</v>
      </c>
      <c r="C1206" s="0" t="s">
        <v>29</v>
      </c>
      <c r="D1206" s="0" t="s">
        <v>698</v>
      </c>
      <c r="E1206" s="0" t="n">
        <v>12</v>
      </c>
      <c r="F1206" s="0" t="n">
        <v>2.89</v>
      </c>
      <c r="G1206" s="7" t="str">
        <f aca="false">_xlfn.XLOOKUP(D1206,Catalog!$B$2:$B$4102,Catalog!$A$2:$A$4102,"NOT IN CATALOG")</f>
        <v>NOT IN CATALOG</v>
      </c>
      <c r="H1206" s="7" t="str">
        <f aca="false">_xlfn.IFNA(VLOOKUP(D1206,Catalog!$B$2:$C$4102,2,FALSE()),"")</f>
        <v/>
      </c>
      <c r="I1206" s="7" t="str">
        <f aca="false">HLOOKUP(C1206,Regions!$B$1:$S$2,2,FALSE())</f>
        <v>EU</v>
      </c>
      <c r="J1206" s="7" t="n">
        <f aca="false">E1206*F1206</f>
        <v>34.68</v>
      </c>
      <c r="K1206" s="8" t="str">
        <f aca="false">IF(H1206="","",1-F1206/H1206)</f>
        <v/>
      </c>
    </row>
    <row r="1207" customFormat="false" ht="15" hidden="false" customHeight="false" outlineLevel="0" collapsed="false">
      <c r="A1207" s="0" t="s">
        <v>779</v>
      </c>
      <c r="B1207" s="6" t="n">
        <v>40885.4756944445</v>
      </c>
      <c r="C1207" s="0" t="s">
        <v>29</v>
      </c>
      <c r="D1207" s="0" t="s">
        <v>462</v>
      </c>
      <c r="E1207" s="0" t="n">
        <v>6</v>
      </c>
      <c r="F1207" s="0" t="n">
        <v>2.25</v>
      </c>
      <c r="G1207" s="7" t="str">
        <f aca="false">_xlfn.XLOOKUP(D1207,Catalog!$B$2:$B$4102,Catalog!$A$2:$A$4102,"NOT IN CATALOG")</f>
        <v>LETS GO SHOPPING COTTON TOTE BAG</v>
      </c>
      <c r="H1207" s="7" t="n">
        <f aca="false">_xlfn.IFNA(VLOOKUP(D1207,Catalog!$B$2:$C$4102,2,FALSE()),"")</f>
        <v>2.25</v>
      </c>
      <c r="I1207" s="7" t="str">
        <f aca="false">HLOOKUP(C1207,Regions!$B$1:$S$2,2,FALSE())</f>
        <v>EU</v>
      </c>
      <c r="J1207" s="7" t="n">
        <f aca="false">E1207*F1207</f>
        <v>13.5</v>
      </c>
      <c r="K1207" s="8" t="n">
        <f aca="false">IF(H1207="","",1-F1207/H1207)</f>
        <v>0</v>
      </c>
    </row>
    <row r="1208" customFormat="false" ht="15" hidden="false" customHeight="false" outlineLevel="0" collapsed="false">
      <c r="A1208" s="0" t="s">
        <v>779</v>
      </c>
      <c r="B1208" s="6" t="n">
        <v>40885.4756944445</v>
      </c>
      <c r="C1208" s="0" t="s">
        <v>29</v>
      </c>
      <c r="D1208" s="0" t="s">
        <v>361</v>
      </c>
      <c r="E1208" s="0" t="n">
        <v>10</v>
      </c>
      <c r="F1208" s="0" t="n">
        <v>0.85</v>
      </c>
      <c r="G1208" s="7" t="str">
        <f aca="false">_xlfn.XLOOKUP(D1208,Catalog!$B$2:$B$4102,Catalog!$A$2:$A$4102,"NOT IN CATALOG")</f>
        <v>WOODLAND CHARLOTTE BAG</v>
      </c>
      <c r="H1208" s="7" t="n">
        <f aca="false">_xlfn.IFNA(VLOOKUP(D1208,Catalog!$B$2:$C$4102,2,FALSE()),"")</f>
        <v>0.85</v>
      </c>
      <c r="I1208" s="7" t="str">
        <f aca="false">HLOOKUP(C1208,Regions!$B$1:$S$2,2,FALSE())</f>
        <v>EU</v>
      </c>
      <c r="J1208" s="7" t="n">
        <f aca="false">E1208*F1208</f>
        <v>8.5</v>
      </c>
      <c r="K1208" s="8" t="n">
        <f aca="false">IF(H1208="","",1-F1208/H1208)</f>
        <v>0</v>
      </c>
    </row>
    <row r="1209" customFormat="false" ht="15" hidden="false" customHeight="false" outlineLevel="0" collapsed="false">
      <c r="A1209" s="0" t="s">
        <v>779</v>
      </c>
      <c r="B1209" s="6" t="n">
        <v>40885.4756944445</v>
      </c>
      <c r="C1209" s="0" t="s">
        <v>29</v>
      </c>
      <c r="D1209" s="0" t="s">
        <v>576</v>
      </c>
      <c r="E1209" s="0" t="n">
        <v>4</v>
      </c>
      <c r="F1209" s="0" t="n">
        <v>4.15</v>
      </c>
      <c r="G1209" s="7" t="str">
        <f aca="false">_xlfn.XLOOKUP(D1209,Catalog!$B$2:$B$4102,Catalog!$A$2:$A$4102,"NOT IN CATALOG")</f>
        <v>NOT IN CATALOG</v>
      </c>
      <c r="H1209" s="7" t="str">
        <f aca="false">_xlfn.IFNA(VLOOKUP(D1209,Catalog!$B$2:$C$4102,2,FALSE()),"")</f>
        <v/>
      </c>
      <c r="I1209" s="7" t="str">
        <f aca="false">HLOOKUP(C1209,Regions!$B$1:$S$2,2,FALSE())</f>
        <v>EU</v>
      </c>
      <c r="J1209" s="7" t="n">
        <f aca="false">E1209*F1209</f>
        <v>16.6</v>
      </c>
      <c r="K1209" s="8" t="str">
        <f aca="false">IF(H1209="","",1-F1209/H1209)</f>
        <v/>
      </c>
    </row>
    <row r="1210" customFormat="false" ht="15" hidden="false" customHeight="false" outlineLevel="0" collapsed="false">
      <c r="A1210" s="0" t="s">
        <v>779</v>
      </c>
      <c r="B1210" s="6" t="n">
        <v>40885.4756944445</v>
      </c>
      <c r="C1210" s="0" t="s">
        <v>29</v>
      </c>
      <c r="D1210" s="0" t="s">
        <v>233</v>
      </c>
      <c r="E1210" s="0" t="n">
        <v>12</v>
      </c>
      <c r="F1210" s="0" t="n">
        <v>0.42</v>
      </c>
      <c r="G1210" s="7" t="str">
        <f aca="false">_xlfn.XLOOKUP(D1210,Catalog!$B$2:$B$4102,Catalog!$A$2:$A$4102,"NOT IN CATALOG")</f>
        <v>ELEPHANT, BIRTHDAY CARD,</v>
      </c>
      <c r="H1210" s="7" t="n">
        <f aca="false">_xlfn.IFNA(VLOOKUP(D1210,Catalog!$B$2:$C$4102,2,FALSE()),"")</f>
        <v>0.42</v>
      </c>
      <c r="I1210" s="7" t="str">
        <f aca="false">HLOOKUP(C1210,Regions!$B$1:$S$2,2,FALSE())</f>
        <v>EU</v>
      </c>
      <c r="J1210" s="7" t="n">
        <f aca="false">E1210*F1210</f>
        <v>5.04</v>
      </c>
      <c r="K1210" s="8" t="n">
        <f aca="false">IF(H1210="","",1-F1210/H1210)</f>
        <v>0</v>
      </c>
    </row>
    <row r="1211" customFormat="false" ht="15" hidden="false" customHeight="false" outlineLevel="0" collapsed="false">
      <c r="A1211" s="0" t="s">
        <v>779</v>
      </c>
      <c r="B1211" s="6" t="n">
        <v>40885.4756944445</v>
      </c>
      <c r="C1211" s="0" t="s">
        <v>29</v>
      </c>
      <c r="D1211" s="0" t="s">
        <v>780</v>
      </c>
      <c r="E1211" s="0" t="n">
        <v>12</v>
      </c>
      <c r="F1211" s="0" t="n">
        <v>0.42</v>
      </c>
      <c r="G1211" s="7" t="str">
        <f aca="false">_xlfn.XLOOKUP(D1211,Catalog!$B$2:$B$4102,Catalog!$A$2:$A$4102,"NOT IN CATALOG")</f>
        <v>GIN &amp; TONIC DIET GREETING CARD</v>
      </c>
      <c r="H1211" s="7" t="n">
        <f aca="false">_xlfn.IFNA(VLOOKUP(D1211,Catalog!$B$2:$C$4102,2,FALSE()),"")</f>
        <v>0.42</v>
      </c>
      <c r="I1211" s="7" t="str">
        <f aca="false">HLOOKUP(C1211,Regions!$B$1:$S$2,2,FALSE())</f>
        <v>EU</v>
      </c>
      <c r="J1211" s="7" t="n">
        <f aca="false">E1211*F1211</f>
        <v>5.04</v>
      </c>
      <c r="K1211" s="8" t="n">
        <f aca="false">IF(H1211="","",1-F1211/H1211)</f>
        <v>0</v>
      </c>
    </row>
    <row r="1212" customFormat="false" ht="15" hidden="false" customHeight="false" outlineLevel="0" collapsed="false">
      <c r="A1212" s="0" t="s">
        <v>779</v>
      </c>
      <c r="B1212" s="6" t="n">
        <v>40885.4756944445</v>
      </c>
      <c r="C1212" s="0" t="s">
        <v>29</v>
      </c>
      <c r="D1212" s="0" t="s">
        <v>368</v>
      </c>
      <c r="E1212" s="0" t="n">
        <v>25</v>
      </c>
      <c r="F1212" s="0" t="n">
        <v>0.42</v>
      </c>
      <c r="G1212" s="7" t="str">
        <f aca="false">_xlfn.XLOOKUP(D1212,Catalog!$B$2:$B$4102,Catalog!$A$2:$A$4102,"NOT IN CATALOG")</f>
        <v>NOT IN CATALOG</v>
      </c>
      <c r="H1212" s="7" t="str">
        <f aca="false">_xlfn.IFNA(VLOOKUP(D1212,Catalog!$B$2:$C$4102,2,FALSE()),"")</f>
        <v/>
      </c>
      <c r="I1212" s="7" t="str">
        <f aca="false">HLOOKUP(C1212,Regions!$B$1:$S$2,2,FALSE())</f>
        <v>EU</v>
      </c>
      <c r="J1212" s="7" t="n">
        <f aca="false">E1212*F1212</f>
        <v>10.5</v>
      </c>
      <c r="K1212" s="8" t="str">
        <f aca="false">IF(H1212="","",1-F1212/H1212)</f>
        <v/>
      </c>
    </row>
    <row r="1213" customFormat="false" ht="15" hidden="false" customHeight="false" outlineLevel="0" collapsed="false">
      <c r="A1213" s="0" t="s">
        <v>779</v>
      </c>
      <c r="B1213" s="6" t="n">
        <v>40885.4756944445</v>
      </c>
      <c r="C1213" s="0" t="s">
        <v>29</v>
      </c>
      <c r="D1213" s="0" t="s">
        <v>159</v>
      </c>
      <c r="E1213" s="0" t="n">
        <v>25</v>
      </c>
      <c r="F1213" s="0" t="n">
        <v>0.42</v>
      </c>
      <c r="G1213" s="7" t="str">
        <f aca="false">_xlfn.XLOOKUP(D1213,Catalog!$B$2:$B$4102,Catalog!$A$2:$A$4102,"NOT IN CATALOG")</f>
        <v>WRAP RED APPLES</v>
      </c>
      <c r="H1213" s="7" t="n">
        <f aca="false">_xlfn.IFNA(VLOOKUP(D1213,Catalog!$B$2:$C$4102,2,FALSE()),"")</f>
        <v>0.42</v>
      </c>
      <c r="I1213" s="7" t="str">
        <f aca="false">HLOOKUP(C1213,Regions!$B$1:$S$2,2,FALSE())</f>
        <v>EU</v>
      </c>
      <c r="J1213" s="7" t="n">
        <f aca="false">E1213*F1213</f>
        <v>10.5</v>
      </c>
      <c r="K1213" s="8" t="n">
        <f aca="false">IF(H1213="","",1-F1213/H1213)</f>
        <v>0</v>
      </c>
    </row>
    <row r="1214" customFormat="false" ht="15" hidden="false" customHeight="false" outlineLevel="0" collapsed="false">
      <c r="A1214" s="0" t="s">
        <v>779</v>
      </c>
      <c r="B1214" s="6" t="n">
        <v>40885.4756944445</v>
      </c>
      <c r="C1214" s="0" t="s">
        <v>29</v>
      </c>
      <c r="D1214" s="0" t="s">
        <v>781</v>
      </c>
      <c r="E1214" s="0" t="n">
        <v>25</v>
      </c>
      <c r="F1214" s="0" t="n">
        <v>0.42</v>
      </c>
      <c r="G1214" s="7" t="str">
        <f aca="false">_xlfn.XLOOKUP(D1214,Catalog!$B$2:$B$4102,Catalog!$A$2:$A$4102,"NOT IN CATALOG")</f>
        <v>WRAP WEDDING DAY</v>
      </c>
      <c r="H1214" s="7" t="n">
        <f aca="false">_xlfn.IFNA(VLOOKUP(D1214,Catalog!$B$2:$C$4102,2,FALSE()),"")</f>
        <v>0.42</v>
      </c>
      <c r="I1214" s="7" t="str">
        <f aca="false">HLOOKUP(C1214,Regions!$B$1:$S$2,2,FALSE())</f>
        <v>EU</v>
      </c>
      <c r="J1214" s="7" t="n">
        <f aca="false">E1214*F1214</f>
        <v>10.5</v>
      </c>
      <c r="K1214" s="8" t="n">
        <f aca="false">IF(H1214="","",1-F1214/H1214)</f>
        <v>0</v>
      </c>
    </row>
    <row r="1215" customFormat="false" ht="15" hidden="false" customHeight="false" outlineLevel="0" collapsed="false">
      <c r="A1215" s="0" t="s">
        <v>779</v>
      </c>
      <c r="B1215" s="6" t="n">
        <v>40885.4756944445</v>
      </c>
      <c r="C1215" s="0" t="s">
        <v>29</v>
      </c>
      <c r="D1215" s="0" t="s">
        <v>782</v>
      </c>
      <c r="E1215" s="0" t="n">
        <v>25</v>
      </c>
      <c r="F1215" s="0" t="n">
        <v>0.42</v>
      </c>
      <c r="G1215" s="7" t="str">
        <f aca="false">_xlfn.XLOOKUP(D1215,Catalog!$B$2:$B$4102,Catalog!$A$2:$A$4102,"NOT IN CATALOG")</f>
        <v>NOT IN CATALOG</v>
      </c>
      <c r="H1215" s="7" t="str">
        <f aca="false">_xlfn.IFNA(VLOOKUP(D1215,Catalog!$B$2:$C$4102,2,FALSE()),"")</f>
        <v/>
      </c>
      <c r="I1215" s="7" t="str">
        <f aca="false">HLOOKUP(C1215,Regions!$B$1:$S$2,2,FALSE())</f>
        <v>EU</v>
      </c>
      <c r="J1215" s="7" t="n">
        <f aca="false">E1215*F1215</f>
        <v>10.5</v>
      </c>
      <c r="K1215" s="8" t="str">
        <f aca="false">IF(H1215="","",1-F1215/H1215)</f>
        <v/>
      </c>
    </row>
    <row r="1216" customFormat="false" ht="15" hidden="false" customHeight="false" outlineLevel="0" collapsed="false">
      <c r="A1216" s="0" t="s">
        <v>779</v>
      </c>
      <c r="B1216" s="6" t="n">
        <v>40885.4756944445</v>
      </c>
      <c r="C1216" s="0" t="s">
        <v>29</v>
      </c>
      <c r="D1216" s="0" t="s">
        <v>117</v>
      </c>
      <c r="E1216" s="0" t="n">
        <v>12</v>
      </c>
      <c r="F1216" s="0" t="n">
        <v>1.25</v>
      </c>
      <c r="G1216" s="7" t="str">
        <f aca="false">_xlfn.XLOOKUP(D1216,Catalog!$B$2:$B$4102,Catalog!$A$2:$A$4102,"NOT IN CATALOG")</f>
        <v>NOT IN CATALOG</v>
      </c>
      <c r="H1216" s="7" t="str">
        <f aca="false">_xlfn.IFNA(VLOOKUP(D1216,Catalog!$B$2:$C$4102,2,FALSE()),"")</f>
        <v/>
      </c>
      <c r="I1216" s="7" t="str">
        <f aca="false">HLOOKUP(C1216,Regions!$B$1:$S$2,2,FALSE())</f>
        <v>EU</v>
      </c>
      <c r="J1216" s="7" t="n">
        <f aca="false">E1216*F1216</f>
        <v>15</v>
      </c>
      <c r="K1216" s="8" t="str">
        <f aca="false">IF(H1216="","",1-F1216/H1216)</f>
        <v/>
      </c>
    </row>
    <row r="1217" customFormat="false" ht="15" hidden="false" customHeight="false" outlineLevel="0" collapsed="false">
      <c r="A1217" s="0" t="s">
        <v>779</v>
      </c>
      <c r="B1217" s="6" t="n">
        <v>40885.4756944445</v>
      </c>
      <c r="C1217" s="0" t="s">
        <v>29</v>
      </c>
      <c r="D1217" s="0" t="s">
        <v>783</v>
      </c>
      <c r="E1217" s="0" t="n">
        <v>75</v>
      </c>
      <c r="F1217" s="0" t="n">
        <v>0.42</v>
      </c>
      <c r="G1217" s="7" t="str">
        <f aca="false">_xlfn.XLOOKUP(D1217,Catalog!$B$2:$B$4102,Catalog!$A$2:$A$4102,"NOT IN CATALOG")</f>
        <v>NOT IN CATALOG</v>
      </c>
      <c r="H1217" s="7" t="str">
        <f aca="false">_xlfn.IFNA(VLOOKUP(D1217,Catalog!$B$2:$C$4102,2,FALSE()),"")</f>
        <v/>
      </c>
      <c r="I1217" s="7" t="str">
        <f aca="false">HLOOKUP(C1217,Regions!$B$1:$S$2,2,FALSE())</f>
        <v>EU</v>
      </c>
      <c r="J1217" s="7" t="n">
        <f aca="false">E1217*F1217</f>
        <v>31.5</v>
      </c>
      <c r="K1217" s="8" t="str">
        <f aca="false">IF(H1217="","",1-F1217/H1217)</f>
        <v/>
      </c>
    </row>
    <row r="1218" customFormat="false" ht="15" hidden="false" customHeight="false" outlineLevel="0" collapsed="false">
      <c r="A1218" s="0" t="s">
        <v>779</v>
      </c>
      <c r="B1218" s="6" t="n">
        <v>40885.4756944445</v>
      </c>
      <c r="C1218" s="0" t="s">
        <v>29</v>
      </c>
      <c r="D1218" s="0" t="s">
        <v>784</v>
      </c>
      <c r="E1218" s="0" t="n">
        <v>12</v>
      </c>
      <c r="F1218" s="0" t="n">
        <v>0.42</v>
      </c>
      <c r="G1218" s="7" t="str">
        <f aca="false">_xlfn.XLOOKUP(D1218,Catalog!$B$2:$B$4102,Catalog!$A$2:$A$4102,"NOT IN CATALOG")</f>
        <v>CARD CHRISTMAS VILLAGE</v>
      </c>
      <c r="H1218" s="7" t="n">
        <f aca="false">_xlfn.IFNA(VLOOKUP(D1218,Catalog!$B$2:$C$4102,2,FALSE()),"")</f>
        <v>0.42</v>
      </c>
      <c r="I1218" s="7" t="str">
        <f aca="false">HLOOKUP(C1218,Regions!$B$1:$S$2,2,FALSE())</f>
        <v>EU</v>
      </c>
      <c r="J1218" s="7" t="n">
        <f aca="false">E1218*F1218</f>
        <v>5.04</v>
      </c>
      <c r="K1218" s="8" t="n">
        <f aca="false">IF(H1218="","",1-F1218/H1218)</f>
        <v>0</v>
      </c>
    </row>
    <row r="1219" customFormat="false" ht="15" hidden="false" customHeight="false" outlineLevel="0" collapsed="false">
      <c r="A1219" s="0" t="s">
        <v>779</v>
      </c>
      <c r="B1219" s="6" t="n">
        <v>40885.4756944445</v>
      </c>
      <c r="C1219" s="0" t="s">
        <v>29</v>
      </c>
      <c r="D1219" s="0" t="s">
        <v>67</v>
      </c>
      <c r="E1219" s="0" t="n">
        <v>12</v>
      </c>
      <c r="F1219" s="0" t="n">
        <v>2.89</v>
      </c>
      <c r="G1219" s="7" t="str">
        <f aca="false">_xlfn.XLOOKUP(D1219,Catalog!$B$2:$B$4102,Catalog!$A$2:$A$4102,"NOT IN CATALOG")</f>
        <v>SET OF 6 RIBBONS VINTAGE CHRISTMAS</v>
      </c>
      <c r="H1219" s="7" t="n">
        <f aca="false">_xlfn.IFNA(VLOOKUP(D1219,Catalog!$B$2:$C$4102,2,FALSE()),"")</f>
        <v>2.55</v>
      </c>
      <c r="I1219" s="7" t="str">
        <f aca="false">HLOOKUP(C1219,Regions!$B$1:$S$2,2,FALSE())</f>
        <v>EU</v>
      </c>
      <c r="J1219" s="7" t="n">
        <f aca="false">E1219*F1219</f>
        <v>34.68</v>
      </c>
      <c r="K1219" s="8" t="n">
        <f aca="false">IF(H1219="","",1-F1219/H1219)</f>
        <v>-0.133333333333334</v>
      </c>
    </row>
    <row r="1220" customFormat="false" ht="15" hidden="false" customHeight="false" outlineLevel="0" collapsed="false">
      <c r="A1220" s="0" t="s">
        <v>779</v>
      </c>
      <c r="B1220" s="6" t="n">
        <v>40885.4756944445</v>
      </c>
      <c r="C1220" s="0" t="s">
        <v>29</v>
      </c>
      <c r="D1220" s="0" t="s">
        <v>785</v>
      </c>
      <c r="E1220" s="0" t="n">
        <v>10</v>
      </c>
      <c r="F1220" s="0" t="n">
        <v>1.65</v>
      </c>
      <c r="G1220" s="7" t="str">
        <f aca="false">_xlfn.XLOOKUP(D1220,Catalog!$B$2:$B$4102,Catalog!$A$2:$A$4102,"NOT IN CATALOG")</f>
        <v>RIBBON REEL MAKING SNOWMEN</v>
      </c>
      <c r="H1220" s="7" t="n">
        <f aca="false">_xlfn.IFNA(VLOOKUP(D1220,Catalog!$B$2:$C$4102,2,FALSE()),"")</f>
        <v>1.65</v>
      </c>
      <c r="I1220" s="7" t="str">
        <f aca="false">HLOOKUP(C1220,Regions!$B$1:$S$2,2,FALSE())</f>
        <v>EU</v>
      </c>
      <c r="J1220" s="7" t="n">
        <f aca="false">E1220*F1220</f>
        <v>16.5</v>
      </c>
      <c r="K1220" s="8" t="n">
        <f aca="false">IF(H1220="","",1-F1220/H1220)</f>
        <v>0</v>
      </c>
    </row>
    <row r="1221" customFormat="false" ht="15" hidden="false" customHeight="false" outlineLevel="0" collapsed="false">
      <c r="A1221" s="0" t="s">
        <v>779</v>
      </c>
      <c r="B1221" s="6" t="n">
        <v>40885.4756944445</v>
      </c>
      <c r="C1221" s="0" t="s">
        <v>29</v>
      </c>
      <c r="D1221" s="0" t="s">
        <v>786</v>
      </c>
      <c r="E1221" s="0" t="n">
        <v>10</v>
      </c>
      <c r="F1221" s="0" t="n">
        <v>1.65</v>
      </c>
      <c r="G1221" s="7" t="str">
        <f aca="false">_xlfn.XLOOKUP(D1221,Catalog!$B$2:$B$4102,Catalog!$A$2:$A$4102,"NOT IN CATALOG")</f>
        <v>RIBBON REEL CHRISTMAS SOCK BAUBLE</v>
      </c>
      <c r="H1221" s="7" t="n">
        <f aca="false">_xlfn.IFNA(VLOOKUP(D1221,Catalog!$B$2:$C$4102,2,FALSE()),"")</f>
        <v>1.65</v>
      </c>
      <c r="I1221" s="7" t="str">
        <f aca="false">HLOOKUP(C1221,Regions!$B$1:$S$2,2,FALSE())</f>
        <v>EU</v>
      </c>
      <c r="J1221" s="7" t="n">
        <f aca="false">E1221*F1221</f>
        <v>16.5</v>
      </c>
      <c r="K1221" s="8" t="n">
        <f aca="false">IF(H1221="","",1-F1221/H1221)</f>
        <v>0</v>
      </c>
    </row>
    <row r="1222" customFormat="false" ht="15" hidden="false" customHeight="false" outlineLevel="0" collapsed="false">
      <c r="A1222" s="0" t="s">
        <v>779</v>
      </c>
      <c r="B1222" s="6" t="n">
        <v>40885.4756944445</v>
      </c>
      <c r="C1222" s="0" t="s">
        <v>29</v>
      </c>
      <c r="D1222" s="0" t="s">
        <v>787</v>
      </c>
      <c r="E1222" s="0" t="n">
        <v>10</v>
      </c>
      <c r="F1222" s="0" t="n">
        <v>1.65</v>
      </c>
      <c r="G1222" s="7" t="str">
        <f aca="false">_xlfn.XLOOKUP(D1222,Catalog!$B$2:$B$4102,Catalog!$A$2:$A$4102,"NOT IN CATALOG")</f>
        <v>RIBBON REEL CHRISTMAS PRESENT</v>
      </c>
      <c r="H1222" s="7" t="n">
        <f aca="false">_xlfn.IFNA(VLOOKUP(D1222,Catalog!$B$2:$C$4102,2,FALSE()),"")</f>
        <v>1.65</v>
      </c>
      <c r="I1222" s="7" t="str">
        <f aca="false">HLOOKUP(C1222,Regions!$B$1:$S$2,2,FALSE())</f>
        <v>EU</v>
      </c>
      <c r="J1222" s="7" t="n">
        <f aca="false">E1222*F1222</f>
        <v>16.5</v>
      </c>
      <c r="K1222" s="8" t="n">
        <f aca="false">IF(H1222="","",1-F1222/H1222)</f>
        <v>0</v>
      </c>
    </row>
    <row r="1223" customFormat="false" ht="15" hidden="false" customHeight="false" outlineLevel="0" collapsed="false">
      <c r="A1223" s="0" t="s">
        <v>779</v>
      </c>
      <c r="B1223" s="6" t="n">
        <v>40885.4756944445</v>
      </c>
      <c r="C1223" s="0" t="s">
        <v>29</v>
      </c>
      <c r="D1223" s="0" t="s">
        <v>788</v>
      </c>
      <c r="E1223" s="0" t="n">
        <v>10</v>
      </c>
      <c r="F1223" s="0" t="n">
        <v>1.65</v>
      </c>
      <c r="G1223" s="7" t="str">
        <f aca="false">_xlfn.XLOOKUP(D1223,Catalog!$B$2:$B$4102,Catalog!$A$2:$A$4102,"NOT IN CATALOG")</f>
        <v>RIBBON REEL SNOWY VILLAGE</v>
      </c>
      <c r="H1223" s="7" t="n">
        <f aca="false">_xlfn.IFNA(VLOOKUP(D1223,Catalog!$B$2:$C$4102,2,FALSE()),"")</f>
        <v>1.65</v>
      </c>
      <c r="I1223" s="7" t="str">
        <f aca="false">HLOOKUP(C1223,Regions!$B$1:$S$2,2,FALSE())</f>
        <v>EU</v>
      </c>
      <c r="J1223" s="7" t="n">
        <f aca="false">E1223*F1223</f>
        <v>16.5</v>
      </c>
      <c r="K1223" s="8" t="n">
        <f aca="false">IF(H1223="","",1-F1223/H1223)</f>
        <v>0</v>
      </c>
    </row>
    <row r="1224" customFormat="false" ht="15" hidden="false" customHeight="false" outlineLevel="0" collapsed="false">
      <c r="A1224" s="0" t="s">
        <v>779</v>
      </c>
      <c r="B1224" s="6" t="n">
        <v>40885.4756944445</v>
      </c>
      <c r="C1224" s="0" t="s">
        <v>29</v>
      </c>
      <c r="D1224" s="0" t="s">
        <v>706</v>
      </c>
      <c r="E1224" s="0" t="n">
        <v>1</v>
      </c>
      <c r="F1224" s="0" t="n">
        <v>9.95</v>
      </c>
      <c r="G1224" s="7" t="str">
        <f aca="false">_xlfn.XLOOKUP(D1224,Catalog!$B$2:$B$4102,Catalog!$A$2:$A$4102,"NOT IN CATALOG")</f>
        <v>WHITE WOOD GARDEN PLANT LADDER</v>
      </c>
      <c r="H1224" s="7" t="n">
        <f aca="false">_xlfn.IFNA(VLOOKUP(D1224,Catalog!$B$2:$C$4102,2,FALSE()),"")</f>
        <v>9.95</v>
      </c>
      <c r="I1224" s="7" t="str">
        <f aca="false">HLOOKUP(C1224,Regions!$B$1:$S$2,2,FALSE())</f>
        <v>EU</v>
      </c>
      <c r="J1224" s="7" t="n">
        <f aca="false">E1224*F1224</f>
        <v>9.95</v>
      </c>
      <c r="K1224" s="8" t="n">
        <f aca="false">IF(H1224="","",1-F1224/H1224)</f>
        <v>0</v>
      </c>
    </row>
    <row r="1225" customFormat="false" ht="15" hidden="false" customHeight="false" outlineLevel="0" collapsed="false">
      <c r="A1225" s="0" t="s">
        <v>779</v>
      </c>
      <c r="B1225" s="6" t="n">
        <v>40885.4756944445</v>
      </c>
      <c r="C1225" s="0" t="s">
        <v>29</v>
      </c>
      <c r="D1225" s="0" t="s">
        <v>789</v>
      </c>
      <c r="E1225" s="0" t="n">
        <v>12</v>
      </c>
      <c r="F1225" s="0" t="n">
        <v>1.25</v>
      </c>
      <c r="G1225" s="7" t="str">
        <f aca="false">_xlfn.XLOOKUP(D1225,Catalog!$B$2:$B$4102,Catalog!$A$2:$A$4102,"NOT IN CATALOG")</f>
        <v>ALPHABET STENCIL CRAFT</v>
      </c>
      <c r="H1225" s="7" t="n">
        <f aca="false">_xlfn.IFNA(VLOOKUP(D1225,Catalog!$B$2:$C$4102,2,FALSE()),"")</f>
        <v>1.25</v>
      </c>
      <c r="I1225" s="7" t="str">
        <f aca="false">HLOOKUP(C1225,Regions!$B$1:$S$2,2,FALSE())</f>
        <v>EU</v>
      </c>
      <c r="J1225" s="7" t="n">
        <f aca="false">E1225*F1225</f>
        <v>15</v>
      </c>
      <c r="K1225" s="8" t="n">
        <f aca="false">IF(H1225="","",1-F1225/H1225)</f>
        <v>0</v>
      </c>
    </row>
    <row r="1226" customFormat="false" ht="15" hidden="false" customHeight="false" outlineLevel="0" collapsed="false">
      <c r="A1226" s="0" t="s">
        <v>779</v>
      </c>
      <c r="B1226" s="6" t="n">
        <v>40885.4756944445</v>
      </c>
      <c r="C1226" s="0" t="s">
        <v>29</v>
      </c>
      <c r="D1226" s="0" t="s">
        <v>790</v>
      </c>
      <c r="E1226" s="0" t="n">
        <v>12</v>
      </c>
      <c r="F1226" s="0" t="n">
        <v>1.95</v>
      </c>
      <c r="G1226" s="7" t="str">
        <f aca="false">_xlfn.XLOOKUP(D1226,Catalog!$B$2:$B$4102,Catalog!$A$2:$A$4102,"NOT IN CATALOG")</f>
        <v>6 RIBBONS RUSTIC CHARM</v>
      </c>
      <c r="H1226" s="7" t="n">
        <f aca="false">_xlfn.IFNA(VLOOKUP(D1226,Catalog!$B$2:$C$4102,2,FALSE()),"")</f>
        <v>1.65</v>
      </c>
      <c r="I1226" s="7" t="str">
        <f aca="false">HLOOKUP(C1226,Regions!$B$1:$S$2,2,FALSE())</f>
        <v>EU</v>
      </c>
      <c r="J1226" s="7" t="n">
        <f aca="false">E1226*F1226</f>
        <v>23.4</v>
      </c>
      <c r="K1226" s="8" t="n">
        <f aca="false">IF(H1226="","",1-F1226/H1226)</f>
        <v>-0.181818181818182</v>
      </c>
    </row>
    <row r="1227" customFormat="false" ht="15" hidden="false" customHeight="false" outlineLevel="0" collapsed="false">
      <c r="A1227" s="0" t="s">
        <v>779</v>
      </c>
      <c r="B1227" s="6" t="n">
        <v>40885.4756944445</v>
      </c>
      <c r="C1227" s="0" t="s">
        <v>29</v>
      </c>
      <c r="D1227" s="0" t="s">
        <v>791</v>
      </c>
      <c r="E1227" s="0" t="n">
        <v>10</v>
      </c>
      <c r="F1227" s="0" t="n">
        <v>2.1</v>
      </c>
      <c r="G1227" s="7" t="str">
        <f aca="false">_xlfn.XLOOKUP(D1227,Catalog!$B$2:$B$4102,Catalog!$A$2:$A$4102,"NOT IN CATALOG")</f>
        <v>RIBBON REEL LACE DESIGN</v>
      </c>
      <c r="H1227" s="7" t="n">
        <f aca="false">_xlfn.IFNA(VLOOKUP(D1227,Catalog!$B$2:$C$4102,2,FALSE()),"")</f>
        <v>2.1</v>
      </c>
      <c r="I1227" s="7" t="str">
        <f aca="false">HLOOKUP(C1227,Regions!$B$1:$S$2,2,FALSE())</f>
        <v>EU</v>
      </c>
      <c r="J1227" s="7" t="n">
        <f aca="false">E1227*F1227</f>
        <v>21</v>
      </c>
      <c r="K1227" s="8" t="n">
        <f aca="false">IF(H1227="","",1-F1227/H1227)</f>
        <v>0</v>
      </c>
    </row>
    <row r="1228" customFormat="false" ht="15" hidden="false" customHeight="false" outlineLevel="0" collapsed="false">
      <c r="A1228" s="0" t="s">
        <v>779</v>
      </c>
      <c r="B1228" s="6" t="n">
        <v>40885.4756944445</v>
      </c>
      <c r="C1228" s="0" t="s">
        <v>29</v>
      </c>
      <c r="D1228" s="0" t="s">
        <v>215</v>
      </c>
      <c r="E1228" s="0" t="n">
        <v>12</v>
      </c>
      <c r="F1228" s="0" t="n">
        <v>2.1</v>
      </c>
      <c r="G1228" s="7" t="str">
        <f aca="false">_xlfn.XLOOKUP(D1228,Catalog!$B$2:$B$4102,Catalog!$A$2:$A$4102,"NOT IN CATALOG")</f>
        <v>3 PIECE SPACEBOY COOKIE CUTTER SET</v>
      </c>
      <c r="H1228" s="7" t="n">
        <f aca="false">_xlfn.IFNA(VLOOKUP(D1228,Catalog!$B$2:$C$4102,2,FALSE()),"")</f>
        <v>2.1</v>
      </c>
      <c r="I1228" s="7" t="str">
        <f aca="false">HLOOKUP(C1228,Regions!$B$1:$S$2,2,FALSE())</f>
        <v>EU</v>
      </c>
      <c r="J1228" s="7" t="n">
        <f aca="false">E1228*F1228</f>
        <v>25.2</v>
      </c>
      <c r="K1228" s="8" t="n">
        <f aca="false">IF(H1228="","",1-F1228/H1228)</f>
        <v>0</v>
      </c>
    </row>
    <row r="1229" customFormat="false" ht="15" hidden="false" customHeight="false" outlineLevel="0" collapsed="false">
      <c r="A1229" s="0" t="s">
        <v>779</v>
      </c>
      <c r="B1229" s="6" t="n">
        <v>40885.4756944445</v>
      </c>
      <c r="C1229" s="0" t="s">
        <v>29</v>
      </c>
      <c r="D1229" s="0" t="s">
        <v>472</v>
      </c>
      <c r="E1229" s="0" t="n">
        <v>12</v>
      </c>
      <c r="F1229" s="0" t="n">
        <v>2.1</v>
      </c>
      <c r="G1229" s="7" t="str">
        <f aca="false">_xlfn.XLOOKUP(D1229,Catalog!$B$2:$B$4102,Catalog!$A$2:$A$4102,"NOT IN CATALOG")</f>
        <v>SET OF 20 KIDS COOKIE CUTTERS</v>
      </c>
      <c r="H1229" s="7" t="n">
        <f aca="false">_xlfn.IFNA(VLOOKUP(D1229,Catalog!$B$2:$C$4102,2,FALSE()),"")</f>
        <v>1.95</v>
      </c>
      <c r="I1229" s="7" t="str">
        <f aca="false">HLOOKUP(C1229,Regions!$B$1:$S$2,2,FALSE())</f>
        <v>EU</v>
      </c>
      <c r="J1229" s="7" t="n">
        <f aca="false">E1229*F1229</f>
        <v>25.2</v>
      </c>
      <c r="K1229" s="8" t="n">
        <f aca="false">IF(H1229="","",1-F1229/H1229)</f>
        <v>-0.0769230769230771</v>
      </c>
    </row>
    <row r="1230" customFormat="false" ht="15" hidden="false" customHeight="false" outlineLevel="0" collapsed="false">
      <c r="A1230" s="0" t="s">
        <v>779</v>
      </c>
      <c r="B1230" s="6" t="n">
        <v>40885.4756944445</v>
      </c>
      <c r="C1230" s="0" t="s">
        <v>29</v>
      </c>
      <c r="D1230" s="0" t="s">
        <v>792</v>
      </c>
      <c r="E1230" s="0" t="n">
        <v>2</v>
      </c>
      <c r="F1230" s="0" t="n">
        <v>8.25</v>
      </c>
      <c r="G1230" s="7" t="str">
        <f aca="false">_xlfn.XLOOKUP(D1230,Catalog!$B$2:$B$4102,Catalog!$A$2:$A$4102,"NOT IN CATALOG")</f>
        <v>NOT IN CATALOG</v>
      </c>
      <c r="H1230" s="7" t="str">
        <f aca="false">_xlfn.IFNA(VLOOKUP(D1230,Catalog!$B$2:$C$4102,2,FALSE()),"")</f>
        <v/>
      </c>
      <c r="I1230" s="7" t="str">
        <f aca="false">HLOOKUP(C1230,Regions!$B$1:$S$2,2,FALSE())</f>
        <v>EU</v>
      </c>
      <c r="J1230" s="7" t="n">
        <f aca="false">E1230*F1230</f>
        <v>16.5</v>
      </c>
      <c r="K1230" s="8" t="str">
        <f aca="false">IF(H1230="","",1-F1230/H1230)</f>
        <v/>
      </c>
    </row>
    <row r="1231" customFormat="false" ht="15" hidden="false" customHeight="false" outlineLevel="0" collapsed="false">
      <c r="A1231" s="0" t="s">
        <v>779</v>
      </c>
      <c r="B1231" s="6" t="n">
        <v>40885.4756944445</v>
      </c>
      <c r="C1231" s="0" t="s">
        <v>29</v>
      </c>
      <c r="D1231" s="0" t="s">
        <v>252</v>
      </c>
      <c r="E1231" s="0" t="n">
        <v>12</v>
      </c>
      <c r="F1231" s="0" t="n">
        <v>1.65</v>
      </c>
      <c r="G1231" s="7" t="str">
        <f aca="false">_xlfn.XLOOKUP(D1231,Catalog!$B$2:$B$4102,Catalog!$A$2:$A$4102,"NOT IN CATALOG")</f>
        <v>NOT IN CATALOG</v>
      </c>
      <c r="H1231" s="7" t="str">
        <f aca="false">_xlfn.IFNA(VLOOKUP(D1231,Catalog!$B$2:$C$4102,2,FALSE()),"")</f>
        <v/>
      </c>
      <c r="I1231" s="7" t="str">
        <f aca="false">HLOOKUP(C1231,Regions!$B$1:$S$2,2,FALSE())</f>
        <v>EU</v>
      </c>
      <c r="J1231" s="7" t="n">
        <f aca="false">E1231*F1231</f>
        <v>19.8</v>
      </c>
      <c r="K1231" s="8" t="str">
        <f aca="false">IF(H1231="","",1-F1231/H1231)</f>
        <v/>
      </c>
    </row>
    <row r="1232" customFormat="false" ht="15" hidden="false" customHeight="false" outlineLevel="0" collapsed="false">
      <c r="A1232" s="0" t="s">
        <v>779</v>
      </c>
      <c r="B1232" s="6" t="n">
        <v>40885.4756944445</v>
      </c>
      <c r="C1232" s="0" t="s">
        <v>29</v>
      </c>
      <c r="D1232" s="0" t="s">
        <v>793</v>
      </c>
      <c r="E1232" s="0" t="n">
        <v>12</v>
      </c>
      <c r="F1232" s="0" t="n">
        <v>1.95</v>
      </c>
      <c r="G1232" s="7" t="str">
        <f aca="false">_xlfn.XLOOKUP(D1232,Catalog!$B$2:$B$4102,Catalog!$A$2:$A$4102,"NOT IN CATALOG")</f>
        <v>NOT IN CATALOG</v>
      </c>
      <c r="H1232" s="7" t="str">
        <f aca="false">_xlfn.IFNA(VLOOKUP(D1232,Catalog!$B$2:$C$4102,2,FALSE()),"")</f>
        <v/>
      </c>
      <c r="I1232" s="7" t="str">
        <f aca="false">HLOOKUP(C1232,Regions!$B$1:$S$2,2,FALSE())</f>
        <v>EU</v>
      </c>
      <c r="J1232" s="7" t="n">
        <f aca="false">E1232*F1232</f>
        <v>23.4</v>
      </c>
      <c r="K1232" s="8" t="str">
        <f aca="false">IF(H1232="","",1-F1232/H1232)</f>
        <v/>
      </c>
    </row>
    <row r="1233" customFormat="false" ht="15" hidden="false" customHeight="false" outlineLevel="0" collapsed="false">
      <c r="A1233" s="0" t="s">
        <v>779</v>
      </c>
      <c r="B1233" s="6" t="n">
        <v>40885.4756944445</v>
      </c>
      <c r="C1233" s="0" t="s">
        <v>29</v>
      </c>
      <c r="D1233" s="0" t="s">
        <v>794</v>
      </c>
      <c r="E1233" s="0" t="n">
        <v>1</v>
      </c>
      <c r="F1233" s="0" t="n">
        <v>14.95</v>
      </c>
      <c r="G1233" s="7" t="str">
        <f aca="false">_xlfn.XLOOKUP(D1233,Catalog!$B$2:$B$4102,Catalog!$A$2:$A$4102,"NOT IN CATALOG")</f>
        <v>TRIANGULAR POUFFE VINTAGE</v>
      </c>
      <c r="H1233" s="7" t="n">
        <f aca="false">_xlfn.IFNA(VLOOKUP(D1233,Catalog!$B$2:$C$4102,2,FALSE()),"")</f>
        <v>29.79</v>
      </c>
      <c r="I1233" s="7" t="str">
        <f aca="false">HLOOKUP(C1233,Regions!$B$1:$S$2,2,FALSE())</f>
        <v>EU</v>
      </c>
      <c r="J1233" s="7" t="n">
        <f aca="false">E1233*F1233</f>
        <v>14.95</v>
      </c>
      <c r="K1233" s="8" t="n">
        <f aca="false">IF(H1233="","",1-F1233/H1233)</f>
        <v>0.498153742866734</v>
      </c>
    </row>
    <row r="1234" customFormat="false" ht="15" hidden="false" customHeight="false" outlineLevel="0" collapsed="false">
      <c r="A1234" s="0" t="s">
        <v>779</v>
      </c>
      <c r="B1234" s="6" t="n">
        <v>40885.4756944445</v>
      </c>
      <c r="C1234" s="0" t="s">
        <v>29</v>
      </c>
      <c r="D1234" s="0" t="s">
        <v>795</v>
      </c>
      <c r="E1234" s="0" t="n">
        <v>48</v>
      </c>
      <c r="F1234" s="0" t="n">
        <v>0.19</v>
      </c>
      <c r="G1234" s="7" t="str">
        <f aca="false">_xlfn.XLOOKUP(D1234,Catalog!$B$2:$B$4102,Catalog!$A$2:$A$4102,"NOT IN CATALOG")</f>
        <v>MINI JIGSAW DINOSAUR</v>
      </c>
      <c r="H1234" s="7" t="n">
        <f aca="false">_xlfn.IFNA(VLOOKUP(D1234,Catalog!$B$2:$C$4102,2,FALSE()),"")</f>
        <v>0.42</v>
      </c>
      <c r="I1234" s="7" t="str">
        <f aca="false">HLOOKUP(C1234,Regions!$B$1:$S$2,2,FALSE())</f>
        <v>EU</v>
      </c>
      <c r="J1234" s="7" t="n">
        <f aca="false">E1234*F1234</f>
        <v>9.12</v>
      </c>
      <c r="K1234" s="8" t="n">
        <f aca="false">IF(H1234="","",1-F1234/H1234)</f>
        <v>0.547619047619048</v>
      </c>
    </row>
    <row r="1235" customFormat="false" ht="15" hidden="false" customHeight="false" outlineLevel="0" collapsed="false">
      <c r="A1235" s="0" t="s">
        <v>779</v>
      </c>
      <c r="B1235" s="6" t="n">
        <v>40885.4756944445</v>
      </c>
      <c r="C1235" s="0" t="s">
        <v>29</v>
      </c>
      <c r="D1235" s="0" t="s">
        <v>307</v>
      </c>
      <c r="E1235" s="0" t="n">
        <v>64</v>
      </c>
      <c r="F1235" s="0" t="n">
        <v>1.65</v>
      </c>
      <c r="G1235" s="7" t="str">
        <f aca="false">_xlfn.XLOOKUP(D1235,Catalog!$B$2:$B$4102,Catalog!$A$2:$A$4102,"NOT IN CATALOG")</f>
        <v>SPACEBOY LUNCH BOX</v>
      </c>
      <c r="H1235" s="7" t="n">
        <f aca="false">_xlfn.IFNA(VLOOKUP(D1235,Catalog!$B$2:$C$4102,2,FALSE()),"")</f>
        <v>1.95</v>
      </c>
      <c r="I1235" s="7" t="str">
        <f aca="false">HLOOKUP(C1235,Regions!$B$1:$S$2,2,FALSE())</f>
        <v>EU</v>
      </c>
      <c r="J1235" s="7" t="n">
        <f aca="false">E1235*F1235</f>
        <v>105.6</v>
      </c>
      <c r="K1235" s="8" t="n">
        <f aca="false">IF(H1235="","",1-F1235/H1235)</f>
        <v>0.153846153846154</v>
      </c>
    </row>
    <row r="1236" customFormat="false" ht="15" hidden="false" customHeight="false" outlineLevel="0" collapsed="false">
      <c r="A1236" s="0" t="s">
        <v>779</v>
      </c>
      <c r="B1236" s="6" t="n">
        <v>40885.4756944445</v>
      </c>
      <c r="C1236" s="0" t="s">
        <v>29</v>
      </c>
      <c r="D1236" s="0" t="s">
        <v>796</v>
      </c>
      <c r="E1236" s="0" t="n">
        <v>24</v>
      </c>
      <c r="F1236" s="0" t="n">
        <v>0.85</v>
      </c>
      <c r="G1236" s="7" t="str">
        <f aca="false">_xlfn.XLOOKUP(D1236,Catalog!$B$2:$B$4102,Catalog!$A$2:$A$4102,"NOT IN CATALOG")</f>
        <v>MAGIC TREE -PAPER FLOWERS</v>
      </c>
      <c r="H1236" s="7" t="n">
        <f aca="false">_xlfn.IFNA(VLOOKUP(D1236,Catalog!$B$2:$C$4102,2,FALSE()),"")</f>
        <v>0.85</v>
      </c>
      <c r="I1236" s="7" t="str">
        <f aca="false">HLOOKUP(C1236,Regions!$B$1:$S$2,2,FALSE())</f>
        <v>EU</v>
      </c>
      <c r="J1236" s="7" t="n">
        <f aca="false">E1236*F1236</f>
        <v>20.4</v>
      </c>
      <c r="K1236" s="8" t="n">
        <f aca="false">IF(H1236="","",1-F1236/H1236)</f>
        <v>0</v>
      </c>
    </row>
    <row r="1237" customFormat="false" ht="15" hidden="false" customHeight="false" outlineLevel="0" collapsed="false">
      <c r="A1237" s="0" t="s">
        <v>779</v>
      </c>
      <c r="B1237" s="6" t="n">
        <v>40885.4756944445</v>
      </c>
      <c r="C1237" s="0" t="s">
        <v>29</v>
      </c>
      <c r="D1237" s="0" t="s">
        <v>482</v>
      </c>
      <c r="E1237" s="0" t="n">
        <v>18</v>
      </c>
      <c r="F1237" s="0" t="n">
        <v>2.95</v>
      </c>
      <c r="G1237" s="7" t="str">
        <f aca="false">_xlfn.XLOOKUP(D1237,Catalog!$B$2:$B$4102,Catalog!$A$2:$A$4102,"NOT IN CATALOG")</f>
        <v>ROUND SNACK BOXES SET OF4 WOODLAND</v>
      </c>
      <c r="H1237" s="7" t="n">
        <f aca="false">_xlfn.IFNA(VLOOKUP(D1237,Catalog!$B$2:$C$4102,2,FALSE()),"")</f>
        <v>2.95</v>
      </c>
      <c r="I1237" s="7" t="str">
        <f aca="false">HLOOKUP(C1237,Regions!$B$1:$S$2,2,FALSE())</f>
        <v>EU</v>
      </c>
      <c r="J1237" s="7" t="n">
        <f aca="false">E1237*F1237</f>
        <v>53.1</v>
      </c>
      <c r="K1237" s="8" t="n">
        <f aca="false">IF(H1237="","",1-F1237/H1237)</f>
        <v>0</v>
      </c>
    </row>
    <row r="1238" customFormat="false" ht="15" hidden="false" customHeight="false" outlineLevel="0" collapsed="false">
      <c r="A1238" s="0" t="s">
        <v>779</v>
      </c>
      <c r="B1238" s="6" t="n">
        <v>40885.4756944445</v>
      </c>
      <c r="C1238" s="0" t="s">
        <v>29</v>
      </c>
      <c r="D1238" s="0" t="s">
        <v>441</v>
      </c>
      <c r="E1238" s="0" t="n">
        <v>18</v>
      </c>
      <c r="F1238" s="0" t="n">
        <v>2.95</v>
      </c>
      <c r="G1238" s="7" t="str">
        <f aca="false">_xlfn.XLOOKUP(D1238,Catalog!$B$2:$B$4102,Catalog!$A$2:$A$4102,"NOT IN CATALOG")</f>
        <v>ROUND SNACK BOXES SET OF 4 FRUITS</v>
      </c>
      <c r="H1238" s="7" t="n">
        <f aca="false">_xlfn.IFNA(VLOOKUP(D1238,Catalog!$B$2:$C$4102,2,FALSE()),"")</f>
        <v>2.95</v>
      </c>
      <c r="I1238" s="7" t="str">
        <f aca="false">HLOOKUP(C1238,Regions!$B$1:$S$2,2,FALSE())</f>
        <v>EU</v>
      </c>
      <c r="J1238" s="7" t="n">
        <f aca="false">E1238*F1238</f>
        <v>53.1</v>
      </c>
      <c r="K1238" s="8" t="n">
        <f aca="false">IF(H1238="","",1-F1238/H1238)</f>
        <v>0</v>
      </c>
    </row>
    <row r="1239" customFormat="false" ht="15" hidden="false" customHeight="false" outlineLevel="0" collapsed="false">
      <c r="A1239" s="0" t="s">
        <v>779</v>
      </c>
      <c r="B1239" s="6" t="n">
        <v>40885.4756944445</v>
      </c>
      <c r="C1239" s="0" t="s">
        <v>29</v>
      </c>
      <c r="D1239" s="0" t="s">
        <v>797</v>
      </c>
      <c r="E1239" s="0" t="n">
        <v>72</v>
      </c>
      <c r="F1239" s="0" t="n">
        <v>0.39</v>
      </c>
      <c r="G1239" s="7" t="str">
        <f aca="false">_xlfn.XLOOKUP(D1239,Catalog!$B$2:$B$4102,Catalog!$A$2:$A$4102,"NOT IN CATALOG")</f>
        <v>BROCADE RING PURSE</v>
      </c>
      <c r="H1239" s="7" t="n">
        <f aca="false">_xlfn.IFNA(VLOOKUP(D1239,Catalog!$B$2:$C$4102,2,FALSE()),"")</f>
        <v>0.21</v>
      </c>
      <c r="I1239" s="7" t="str">
        <f aca="false">HLOOKUP(C1239,Regions!$B$1:$S$2,2,FALSE())</f>
        <v>EU</v>
      </c>
      <c r="J1239" s="7" t="n">
        <f aca="false">E1239*F1239</f>
        <v>28.08</v>
      </c>
      <c r="K1239" s="8" t="n">
        <f aca="false">IF(H1239="","",1-F1239/H1239)</f>
        <v>-0.857142857142857</v>
      </c>
    </row>
    <row r="1240" customFormat="false" ht="15" hidden="false" customHeight="false" outlineLevel="0" collapsed="false">
      <c r="A1240" s="0" t="s">
        <v>779</v>
      </c>
      <c r="B1240" s="6" t="n">
        <v>40885.4756944445</v>
      </c>
      <c r="C1240" s="0" t="s">
        <v>29</v>
      </c>
      <c r="D1240" s="0" t="s">
        <v>125</v>
      </c>
      <c r="E1240" s="0" t="n">
        <v>12</v>
      </c>
      <c r="F1240" s="0" t="n">
        <v>1.65</v>
      </c>
      <c r="G1240" s="7" t="str">
        <f aca="false">_xlfn.XLOOKUP(D1240,Catalog!$B$2:$B$4102,Catalog!$A$2:$A$4102,"NOT IN CATALOG")</f>
        <v>CHILDREN'S SPACEBOY MUG</v>
      </c>
      <c r="H1240" s="7" t="n">
        <f aca="false">_xlfn.IFNA(VLOOKUP(D1240,Catalog!$B$2:$C$4102,2,FALSE()),"")</f>
        <v>1.65</v>
      </c>
      <c r="I1240" s="7" t="str">
        <f aca="false">HLOOKUP(C1240,Regions!$B$1:$S$2,2,FALSE())</f>
        <v>EU</v>
      </c>
      <c r="J1240" s="7" t="n">
        <f aca="false">E1240*F1240</f>
        <v>19.8</v>
      </c>
      <c r="K1240" s="8" t="n">
        <f aca="false">IF(H1240="","",1-F1240/H1240)</f>
        <v>0</v>
      </c>
    </row>
    <row r="1241" customFormat="false" ht="15" hidden="false" customHeight="false" outlineLevel="0" collapsed="false">
      <c r="A1241" s="0" t="s">
        <v>779</v>
      </c>
      <c r="B1241" s="6" t="n">
        <v>40885.4756944445</v>
      </c>
      <c r="C1241" s="0" t="s">
        <v>29</v>
      </c>
      <c r="D1241" s="0" t="s">
        <v>144</v>
      </c>
      <c r="E1241" s="0" t="n">
        <v>12</v>
      </c>
      <c r="F1241" s="0" t="n">
        <v>1.25</v>
      </c>
      <c r="G1241" s="7" t="str">
        <f aca="false">_xlfn.XLOOKUP(D1241,Catalog!$B$2:$B$4102,Catalog!$A$2:$A$4102,"NOT IN CATALOG")</f>
        <v>BLUE HARMONICA IN BOX</v>
      </c>
      <c r="H1241" s="7" t="n">
        <f aca="false">_xlfn.IFNA(VLOOKUP(D1241,Catalog!$B$2:$C$4102,2,FALSE()),"")</f>
        <v>1.25</v>
      </c>
      <c r="I1241" s="7" t="str">
        <f aca="false">HLOOKUP(C1241,Regions!$B$1:$S$2,2,FALSE())</f>
        <v>EU</v>
      </c>
      <c r="J1241" s="7" t="n">
        <f aca="false">E1241*F1241</f>
        <v>15</v>
      </c>
      <c r="K1241" s="8" t="n">
        <f aca="false">IF(H1241="","",1-F1241/H1241)</f>
        <v>0</v>
      </c>
    </row>
    <row r="1242" customFormat="false" ht="15" hidden="false" customHeight="false" outlineLevel="0" collapsed="false">
      <c r="A1242" s="0" t="s">
        <v>779</v>
      </c>
      <c r="B1242" s="6" t="n">
        <v>40885.4756944445</v>
      </c>
      <c r="C1242" s="0" t="s">
        <v>29</v>
      </c>
      <c r="D1242" s="0" t="s">
        <v>798</v>
      </c>
      <c r="E1242" s="0" t="n">
        <v>12</v>
      </c>
      <c r="F1242" s="0" t="n">
        <v>0.42</v>
      </c>
      <c r="G1242" s="7" t="str">
        <f aca="false">_xlfn.XLOOKUP(D1242,Catalog!$B$2:$B$4102,Catalog!$A$2:$A$4102,"NOT IN CATALOG")</f>
        <v>BAG 125g SWIRLY MARBLES</v>
      </c>
      <c r="H1242" s="7" t="n">
        <f aca="false">_xlfn.IFNA(VLOOKUP(D1242,Catalog!$B$2:$C$4102,2,FALSE()),"")</f>
        <v>0.42</v>
      </c>
      <c r="I1242" s="7" t="str">
        <f aca="false">HLOOKUP(C1242,Regions!$B$1:$S$2,2,FALSE())</f>
        <v>EU</v>
      </c>
      <c r="J1242" s="7" t="n">
        <f aca="false">E1242*F1242</f>
        <v>5.04</v>
      </c>
      <c r="K1242" s="8" t="n">
        <f aca="false">IF(H1242="","",1-F1242/H1242)</f>
        <v>0</v>
      </c>
    </row>
    <row r="1243" customFormat="false" ht="15" hidden="false" customHeight="false" outlineLevel="0" collapsed="false">
      <c r="A1243" s="0" t="s">
        <v>779</v>
      </c>
      <c r="B1243" s="6" t="n">
        <v>40885.4756944445</v>
      </c>
      <c r="C1243" s="0" t="s">
        <v>29</v>
      </c>
      <c r="D1243" s="0" t="s">
        <v>527</v>
      </c>
      <c r="E1243" s="0" t="n">
        <v>12</v>
      </c>
      <c r="F1243" s="0" t="n">
        <v>0.39</v>
      </c>
      <c r="G1243" s="7" t="str">
        <f aca="false">_xlfn.XLOOKUP(D1243,Catalog!$B$2:$B$4102,Catalog!$A$2:$A$4102,"NOT IN CATALOG")</f>
        <v>MULTICOLOUR HONEYCOMB FAN</v>
      </c>
      <c r="H1243" s="7" t="n">
        <f aca="false">_xlfn.IFNA(VLOOKUP(D1243,Catalog!$B$2:$C$4102,2,FALSE()),"")</f>
        <v>1.65</v>
      </c>
      <c r="I1243" s="7" t="str">
        <f aca="false">HLOOKUP(C1243,Regions!$B$1:$S$2,2,FALSE())</f>
        <v>EU</v>
      </c>
      <c r="J1243" s="7" t="n">
        <f aca="false">E1243*F1243</f>
        <v>4.68</v>
      </c>
      <c r="K1243" s="8" t="n">
        <f aca="false">IF(H1243="","",1-F1243/H1243)</f>
        <v>0.763636363636364</v>
      </c>
    </row>
    <row r="1244" customFormat="false" ht="15" hidden="false" customHeight="false" outlineLevel="0" collapsed="false">
      <c r="A1244" s="0" t="s">
        <v>779</v>
      </c>
      <c r="B1244" s="6" t="n">
        <v>40885.4756944445</v>
      </c>
      <c r="C1244" s="0" t="s">
        <v>29</v>
      </c>
      <c r="D1244" s="0" t="s">
        <v>799</v>
      </c>
      <c r="E1244" s="0" t="n">
        <v>12</v>
      </c>
      <c r="F1244" s="0" t="n">
        <v>0.39</v>
      </c>
      <c r="G1244" s="7" t="str">
        <f aca="false">_xlfn.XLOOKUP(D1244,Catalog!$B$2:$B$4102,Catalog!$A$2:$A$4102,"NOT IN CATALOG")</f>
        <v>PASTEL COLOUR HONEYCOMB FAN</v>
      </c>
      <c r="H1244" s="7" t="n">
        <f aca="false">_xlfn.IFNA(VLOOKUP(D1244,Catalog!$B$2:$C$4102,2,FALSE()),"")</f>
        <v>1.65</v>
      </c>
      <c r="I1244" s="7" t="str">
        <f aca="false">HLOOKUP(C1244,Regions!$B$1:$S$2,2,FALSE())</f>
        <v>EU</v>
      </c>
      <c r="J1244" s="7" t="n">
        <f aca="false">E1244*F1244</f>
        <v>4.68</v>
      </c>
      <c r="K1244" s="8" t="n">
        <f aca="false">IF(H1244="","",1-F1244/H1244)</f>
        <v>0.763636363636364</v>
      </c>
    </row>
    <row r="1245" customFormat="false" ht="15" hidden="false" customHeight="false" outlineLevel="0" collapsed="false">
      <c r="A1245" s="0" t="s">
        <v>779</v>
      </c>
      <c r="B1245" s="6" t="n">
        <v>40885.4756944445</v>
      </c>
      <c r="C1245" s="0" t="s">
        <v>29</v>
      </c>
      <c r="D1245" s="0" t="s">
        <v>800</v>
      </c>
      <c r="E1245" s="0" t="n">
        <v>12</v>
      </c>
      <c r="F1245" s="0" t="n">
        <v>0.65</v>
      </c>
      <c r="G1245" s="7" t="str">
        <f aca="false">_xlfn.XLOOKUP(D1245,Catalog!$B$2:$B$4102,Catalog!$A$2:$A$4102,"NOT IN CATALOG")</f>
        <v>PINK HONEYCOMB PAPER FAN</v>
      </c>
      <c r="H1245" s="7" t="n">
        <f aca="false">_xlfn.IFNA(VLOOKUP(D1245,Catalog!$B$2:$C$4102,2,FALSE()),"")</f>
        <v>2.1</v>
      </c>
      <c r="I1245" s="7" t="str">
        <f aca="false">HLOOKUP(C1245,Regions!$B$1:$S$2,2,FALSE())</f>
        <v>EU</v>
      </c>
      <c r="J1245" s="7" t="n">
        <f aca="false">E1245*F1245</f>
        <v>7.8</v>
      </c>
      <c r="K1245" s="8" t="n">
        <f aca="false">IF(H1245="","",1-F1245/H1245)</f>
        <v>0.690476190476191</v>
      </c>
    </row>
    <row r="1246" customFormat="false" ht="15" hidden="false" customHeight="false" outlineLevel="0" collapsed="false">
      <c r="A1246" s="0" t="s">
        <v>779</v>
      </c>
      <c r="B1246" s="6" t="n">
        <v>40885.4756944445</v>
      </c>
      <c r="C1246" s="0" t="s">
        <v>29</v>
      </c>
      <c r="D1246" s="0" t="s">
        <v>801</v>
      </c>
      <c r="E1246" s="0" t="n">
        <v>48</v>
      </c>
      <c r="F1246" s="0" t="n">
        <v>0.12</v>
      </c>
      <c r="G1246" s="7" t="str">
        <f aca="false">_xlfn.XLOOKUP(D1246,Catalog!$B$2:$B$4102,Catalog!$A$2:$A$4102,"NOT IN CATALOG")</f>
        <v>SMALL FOLDING SCISSOR(POINTED EDGE)</v>
      </c>
      <c r="H1246" s="7" t="n">
        <f aca="false">_xlfn.IFNA(VLOOKUP(D1246,Catalog!$B$2:$C$4102,2,FALSE()),"")</f>
        <v>0.25</v>
      </c>
      <c r="I1246" s="7" t="str">
        <f aca="false">HLOOKUP(C1246,Regions!$B$1:$S$2,2,FALSE())</f>
        <v>EU</v>
      </c>
      <c r="J1246" s="7" t="n">
        <f aca="false">E1246*F1246</f>
        <v>5.76</v>
      </c>
      <c r="K1246" s="8" t="n">
        <f aca="false">IF(H1246="","",1-F1246/H1246)</f>
        <v>0.52</v>
      </c>
    </row>
    <row r="1247" customFormat="false" ht="15" hidden="false" customHeight="false" outlineLevel="0" collapsed="false">
      <c r="A1247" s="0" t="s">
        <v>779</v>
      </c>
      <c r="B1247" s="6" t="n">
        <v>40885.4756944445</v>
      </c>
      <c r="C1247" s="0" t="s">
        <v>29</v>
      </c>
      <c r="D1247" s="0" t="s">
        <v>802</v>
      </c>
      <c r="E1247" s="0" t="n">
        <v>12</v>
      </c>
      <c r="F1247" s="0" t="n">
        <v>0.65</v>
      </c>
      <c r="G1247" s="7" t="str">
        <f aca="false">_xlfn.XLOOKUP(D1247,Catalog!$B$2:$B$4102,Catalog!$A$2:$A$4102,"NOT IN CATALOG")</f>
        <v>CURIOUS IMAGES GIFT WRAP SET</v>
      </c>
      <c r="H1247" s="7" t="n">
        <f aca="false">_xlfn.IFNA(VLOOKUP(D1247,Catalog!$B$2:$C$4102,2,FALSE()),"")</f>
        <v>2.1</v>
      </c>
      <c r="I1247" s="7" t="str">
        <f aca="false">HLOOKUP(C1247,Regions!$B$1:$S$2,2,FALSE())</f>
        <v>EU</v>
      </c>
      <c r="J1247" s="7" t="n">
        <f aca="false">E1247*F1247</f>
        <v>7.8</v>
      </c>
      <c r="K1247" s="8" t="n">
        <f aca="false">IF(H1247="","",1-F1247/H1247)</f>
        <v>0.690476190476191</v>
      </c>
    </row>
    <row r="1248" customFormat="false" ht="15" hidden="false" customHeight="false" outlineLevel="0" collapsed="false">
      <c r="A1248" s="0" t="s">
        <v>779</v>
      </c>
      <c r="B1248" s="6" t="n">
        <v>40885.4756944445</v>
      </c>
      <c r="C1248" s="0" t="s">
        <v>29</v>
      </c>
      <c r="D1248" s="0" t="s">
        <v>803</v>
      </c>
      <c r="E1248" s="0" t="n">
        <v>12</v>
      </c>
      <c r="F1248" s="0" t="n">
        <v>0.65</v>
      </c>
      <c r="G1248" s="7" t="str">
        <f aca="false">_xlfn.XLOOKUP(D1248,Catalog!$B$2:$B$4102,Catalog!$A$2:$A$4102,"NOT IN CATALOG")</f>
        <v>BLOSSOM IMAGES GIFT WRAP SET</v>
      </c>
      <c r="H1248" s="7" t="n">
        <f aca="false">_xlfn.IFNA(VLOOKUP(D1248,Catalog!$B$2:$C$4102,2,FALSE()),"")</f>
        <v>2.1</v>
      </c>
      <c r="I1248" s="7" t="str">
        <f aca="false">HLOOKUP(C1248,Regions!$B$1:$S$2,2,FALSE())</f>
        <v>EU</v>
      </c>
      <c r="J1248" s="7" t="n">
        <f aca="false">E1248*F1248</f>
        <v>7.8</v>
      </c>
      <c r="K1248" s="8" t="n">
        <f aca="false">IF(H1248="","",1-F1248/H1248)</f>
        <v>0.690476190476191</v>
      </c>
    </row>
    <row r="1249" customFormat="false" ht="15" hidden="false" customHeight="false" outlineLevel="0" collapsed="false">
      <c r="A1249" s="0" t="s">
        <v>779</v>
      </c>
      <c r="B1249" s="6" t="n">
        <v>40885.4756944445</v>
      </c>
      <c r="C1249" s="0" t="s">
        <v>29</v>
      </c>
      <c r="D1249" s="0" t="s">
        <v>804</v>
      </c>
      <c r="E1249" s="0" t="n">
        <v>24</v>
      </c>
      <c r="F1249" s="0" t="n">
        <v>0.39</v>
      </c>
      <c r="G1249" s="7" t="str">
        <f aca="false">_xlfn.XLOOKUP(D1249,Catalog!$B$2:$B$4102,Catalog!$A$2:$A$4102,"NOT IN CATALOG")</f>
        <v>6 RIBBONS ELEGANT CHRISTMAS</v>
      </c>
      <c r="H1249" s="7" t="n">
        <f aca="false">_xlfn.IFNA(VLOOKUP(D1249,Catalog!$B$2:$C$4102,2,FALSE()),"")</f>
        <v>1.65</v>
      </c>
      <c r="I1249" s="7" t="str">
        <f aca="false">HLOOKUP(C1249,Regions!$B$1:$S$2,2,FALSE())</f>
        <v>EU</v>
      </c>
      <c r="J1249" s="7" t="n">
        <f aca="false">E1249*F1249</f>
        <v>9.36</v>
      </c>
      <c r="K1249" s="8" t="n">
        <f aca="false">IF(H1249="","",1-F1249/H1249)</f>
        <v>0.763636363636364</v>
      </c>
    </row>
    <row r="1250" customFormat="false" ht="15" hidden="false" customHeight="false" outlineLevel="0" collapsed="false">
      <c r="A1250" s="0" t="s">
        <v>779</v>
      </c>
      <c r="B1250" s="6" t="n">
        <v>40885.4756944445</v>
      </c>
      <c r="C1250" s="0" t="s">
        <v>29</v>
      </c>
      <c r="D1250" s="0" t="s">
        <v>805</v>
      </c>
      <c r="E1250" s="0" t="n">
        <v>24</v>
      </c>
      <c r="F1250" s="0" t="n">
        <v>0.39</v>
      </c>
      <c r="G1250" s="7" t="str">
        <f aca="false">_xlfn.XLOOKUP(D1250,Catalog!$B$2:$B$4102,Catalog!$A$2:$A$4102,"NOT IN CATALOG")</f>
        <v>6 RIBBONS SHIMMERING PINKS</v>
      </c>
      <c r="H1250" s="7" t="n">
        <f aca="false">_xlfn.IFNA(VLOOKUP(D1250,Catalog!$B$2:$C$4102,2,FALSE()),"")</f>
        <v>1.65</v>
      </c>
      <c r="I1250" s="7" t="str">
        <f aca="false">HLOOKUP(C1250,Regions!$B$1:$S$2,2,FALSE())</f>
        <v>EU</v>
      </c>
      <c r="J1250" s="7" t="n">
        <f aca="false">E1250*F1250</f>
        <v>9.36</v>
      </c>
      <c r="K1250" s="8" t="n">
        <f aca="false">IF(H1250="","",1-F1250/H1250)</f>
        <v>0.763636363636364</v>
      </c>
    </row>
    <row r="1251" customFormat="false" ht="15" hidden="false" customHeight="false" outlineLevel="0" collapsed="false">
      <c r="A1251" s="0" t="s">
        <v>779</v>
      </c>
      <c r="B1251" s="6" t="n">
        <v>40885.4756944445</v>
      </c>
      <c r="C1251" s="0" t="s">
        <v>29</v>
      </c>
      <c r="D1251" s="0" t="s">
        <v>331</v>
      </c>
      <c r="E1251" s="0" t="n">
        <v>12</v>
      </c>
      <c r="F1251" s="0" t="n">
        <v>0.79</v>
      </c>
      <c r="G1251" s="7" t="str">
        <f aca="false">_xlfn.XLOOKUP(D1251,Catalog!$B$2:$B$4102,Catalog!$A$2:$A$4102,"NOT IN CATALOG")</f>
        <v>PING MICROWAVE APRON</v>
      </c>
      <c r="H1251" s="7" t="n">
        <f aca="false">_xlfn.IFNA(VLOOKUP(D1251,Catalog!$B$2:$C$4102,2,FALSE()),"")</f>
        <v>5.06</v>
      </c>
      <c r="I1251" s="7" t="str">
        <f aca="false">HLOOKUP(C1251,Regions!$B$1:$S$2,2,FALSE())</f>
        <v>EU</v>
      </c>
      <c r="J1251" s="7" t="n">
        <f aca="false">E1251*F1251</f>
        <v>9.48</v>
      </c>
      <c r="K1251" s="8" t="n">
        <f aca="false">IF(H1251="","",1-F1251/H1251)</f>
        <v>0.843873517786561</v>
      </c>
    </row>
    <row r="1252" customFormat="false" ht="15" hidden="false" customHeight="false" outlineLevel="0" collapsed="false">
      <c r="A1252" s="0" t="s">
        <v>779</v>
      </c>
      <c r="B1252" s="6" t="n">
        <v>40885.4756944445</v>
      </c>
      <c r="C1252" s="0" t="s">
        <v>29</v>
      </c>
      <c r="D1252" s="0" t="s">
        <v>806</v>
      </c>
      <c r="E1252" s="0" t="n">
        <v>50</v>
      </c>
      <c r="F1252" s="0" t="n">
        <v>0.39</v>
      </c>
      <c r="G1252" s="7" t="str">
        <f aca="false">_xlfn.XLOOKUP(D1252,Catalog!$B$2:$B$4102,Catalog!$A$2:$A$4102,"NOT IN CATALOG")</f>
        <v>BALLOON ART MAKE YOUR OWN FLOWERS</v>
      </c>
      <c r="H1252" s="7" t="n">
        <f aca="false">_xlfn.IFNA(VLOOKUP(D1252,Catalog!$B$2:$C$4102,2,FALSE()),"")</f>
        <v>1.95</v>
      </c>
      <c r="I1252" s="7" t="str">
        <f aca="false">HLOOKUP(C1252,Regions!$B$1:$S$2,2,FALSE())</f>
        <v>EU</v>
      </c>
      <c r="J1252" s="7" t="n">
        <f aca="false">E1252*F1252</f>
        <v>19.5</v>
      </c>
      <c r="K1252" s="8" t="n">
        <f aca="false">IF(H1252="","",1-F1252/H1252)</f>
        <v>0.8</v>
      </c>
    </row>
    <row r="1253" customFormat="false" ht="15" hidden="false" customHeight="false" outlineLevel="0" collapsed="false">
      <c r="A1253" s="0" t="s">
        <v>779</v>
      </c>
      <c r="B1253" s="6" t="n">
        <v>40885.4756944445</v>
      </c>
      <c r="C1253" s="0" t="s">
        <v>29</v>
      </c>
      <c r="D1253" s="0" t="s">
        <v>807</v>
      </c>
      <c r="E1253" s="0" t="n">
        <v>6</v>
      </c>
      <c r="F1253" s="0" t="n">
        <v>1.65</v>
      </c>
      <c r="G1253" s="7" t="str">
        <f aca="false">_xlfn.XLOOKUP(D1253,Catalog!$B$2:$B$4102,Catalog!$A$2:$A$4102,"NOT IN CATALOG")</f>
        <v>NOT IN CATALOG</v>
      </c>
      <c r="H1253" s="7" t="str">
        <f aca="false">_xlfn.IFNA(VLOOKUP(D1253,Catalog!$B$2:$C$4102,2,FALSE()),"")</f>
        <v/>
      </c>
      <c r="I1253" s="7" t="str">
        <f aca="false">HLOOKUP(C1253,Regions!$B$1:$S$2,2,FALSE())</f>
        <v>EU</v>
      </c>
      <c r="J1253" s="7" t="n">
        <f aca="false">E1253*F1253</f>
        <v>9.9</v>
      </c>
      <c r="K1253" s="8" t="str">
        <f aca="false">IF(H1253="","",1-F1253/H1253)</f>
        <v/>
      </c>
    </row>
    <row r="1254" customFormat="false" ht="15" hidden="false" customHeight="false" outlineLevel="0" collapsed="false">
      <c r="A1254" s="0" t="s">
        <v>779</v>
      </c>
      <c r="B1254" s="6" t="n">
        <v>40885.4756944445</v>
      </c>
      <c r="C1254" s="0" t="s">
        <v>29</v>
      </c>
      <c r="D1254" s="0" t="s">
        <v>209</v>
      </c>
      <c r="E1254" s="0" t="n">
        <v>12</v>
      </c>
      <c r="F1254" s="0" t="n">
        <v>2.08</v>
      </c>
      <c r="G1254" s="7" t="str">
        <f aca="false">_xlfn.XLOOKUP(D1254,Catalog!$B$2:$B$4102,Catalog!$A$2:$A$4102,"NOT IN CATALOG")</f>
        <v>NOT IN CATALOG</v>
      </c>
      <c r="H1254" s="7" t="str">
        <f aca="false">_xlfn.IFNA(VLOOKUP(D1254,Catalog!$B$2:$C$4102,2,FALSE()),"")</f>
        <v/>
      </c>
      <c r="I1254" s="7" t="str">
        <f aca="false">HLOOKUP(C1254,Regions!$B$1:$S$2,2,FALSE())</f>
        <v>EU</v>
      </c>
      <c r="J1254" s="7" t="n">
        <f aca="false">E1254*F1254</f>
        <v>24.96</v>
      </c>
      <c r="K1254" s="8" t="str">
        <f aca="false">IF(H1254="","",1-F1254/H1254)</f>
        <v/>
      </c>
    </row>
    <row r="1255" customFormat="false" ht="15" hidden="false" customHeight="false" outlineLevel="0" collapsed="false">
      <c r="A1255" s="0" t="s">
        <v>779</v>
      </c>
      <c r="B1255" s="6" t="n">
        <v>40885.4756944445</v>
      </c>
      <c r="C1255" s="0" t="s">
        <v>29</v>
      </c>
      <c r="D1255" s="0" t="s">
        <v>724</v>
      </c>
      <c r="E1255" s="0" t="n">
        <v>12</v>
      </c>
      <c r="F1255" s="0" t="n">
        <v>1.45</v>
      </c>
      <c r="G1255" s="7" t="str">
        <f aca="false">_xlfn.XLOOKUP(D1255,Catalog!$B$2:$B$4102,Catalog!$A$2:$A$4102,"NOT IN CATALOG")</f>
        <v>NOT IN CATALOG</v>
      </c>
      <c r="H1255" s="7" t="str">
        <f aca="false">_xlfn.IFNA(VLOOKUP(D1255,Catalog!$B$2:$C$4102,2,FALSE()),"")</f>
        <v/>
      </c>
      <c r="I1255" s="7" t="str">
        <f aca="false">HLOOKUP(C1255,Regions!$B$1:$S$2,2,FALSE())</f>
        <v>EU</v>
      </c>
      <c r="J1255" s="7" t="n">
        <f aca="false">E1255*F1255</f>
        <v>17.4</v>
      </c>
      <c r="K1255" s="8" t="str">
        <f aca="false">IF(H1255="","",1-F1255/H1255)</f>
        <v/>
      </c>
    </row>
    <row r="1256" customFormat="false" ht="15" hidden="false" customHeight="false" outlineLevel="0" collapsed="false">
      <c r="A1256" s="0" t="s">
        <v>779</v>
      </c>
      <c r="B1256" s="6" t="n">
        <v>40885.4756944445</v>
      </c>
      <c r="C1256" s="0" t="s">
        <v>29</v>
      </c>
      <c r="D1256" s="0" t="s">
        <v>594</v>
      </c>
      <c r="E1256" s="0" t="n">
        <v>12</v>
      </c>
      <c r="F1256" s="0" t="n">
        <v>1.45</v>
      </c>
      <c r="G1256" s="7" t="str">
        <f aca="false">_xlfn.XLOOKUP(D1256,Catalog!$B$2:$B$4102,Catalog!$A$2:$A$4102,"NOT IN CATALOG")</f>
        <v>NOT IN CATALOG</v>
      </c>
      <c r="H1256" s="7" t="str">
        <f aca="false">_xlfn.IFNA(VLOOKUP(D1256,Catalog!$B$2:$C$4102,2,FALSE()),"")</f>
        <v/>
      </c>
      <c r="I1256" s="7" t="str">
        <f aca="false">HLOOKUP(C1256,Regions!$B$1:$S$2,2,FALSE())</f>
        <v>EU</v>
      </c>
      <c r="J1256" s="7" t="n">
        <f aca="false">E1256*F1256</f>
        <v>17.4</v>
      </c>
      <c r="K1256" s="8" t="str">
        <f aca="false">IF(H1256="","",1-F1256/H1256)</f>
        <v/>
      </c>
    </row>
    <row r="1257" customFormat="false" ht="15" hidden="false" customHeight="false" outlineLevel="0" collapsed="false">
      <c r="A1257" s="0" t="s">
        <v>779</v>
      </c>
      <c r="B1257" s="6" t="n">
        <v>40885.4756944445</v>
      </c>
      <c r="C1257" s="0" t="s">
        <v>29</v>
      </c>
      <c r="D1257" s="0" t="s">
        <v>214</v>
      </c>
      <c r="E1257" s="0" t="n">
        <v>12</v>
      </c>
      <c r="F1257" s="0" t="n">
        <v>4.95</v>
      </c>
      <c r="G1257" s="7" t="str">
        <f aca="false">_xlfn.XLOOKUP(D1257,Catalog!$B$2:$B$4102,Catalog!$A$2:$A$4102,"NOT IN CATALOG")</f>
        <v>NOT IN CATALOG</v>
      </c>
      <c r="H1257" s="7" t="str">
        <f aca="false">_xlfn.IFNA(VLOOKUP(D1257,Catalog!$B$2:$C$4102,2,FALSE()),"")</f>
        <v/>
      </c>
      <c r="I1257" s="7" t="str">
        <f aca="false">HLOOKUP(C1257,Regions!$B$1:$S$2,2,FALSE())</f>
        <v>EU</v>
      </c>
      <c r="J1257" s="7" t="n">
        <f aca="false">E1257*F1257</f>
        <v>59.4</v>
      </c>
      <c r="K1257" s="8" t="str">
        <f aca="false">IF(H1257="","",1-F1257/H1257)</f>
        <v/>
      </c>
    </row>
    <row r="1258" customFormat="false" ht="15" hidden="false" customHeight="false" outlineLevel="0" collapsed="false">
      <c r="A1258" s="0" t="s">
        <v>779</v>
      </c>
      <c r="B1258" s="6" t="n">
        <v>40885.4756944445</v>
      </c>
      <c r="C1258" s="0" t="s">
        <v>29</v>
      </c>
      <c r="D1258" s="0" t="s">
        <v>379</v>
      </c>
      <c r="E1258" s="0" t="n">
        <v>12</v>
      </c>
      <c r="F1258" s="0" t="n">
        <v>1.25</v>
      </c>
      <c r="G1258" s="7" t="str">
        <f aca="false">_xlfn.XLOOKUP(D1258,Catalog!$B$2:$B$4102,Catalog!$A$2:$A$4102,"NOT IN CATALOG")</f>
        <v>NOT IN CATALOG</v>
      </c>
      <c r="H1258" s="7" t="str">
        <f aca="false">_xlfn.IFNA(VLOOKUP(D1258,Catalog!$B$2:$C$4102,2,FALSE()),"")</f>
        <v/>
      </c>
      <c r="I1258" s="7" t="str">
        <f aca="false">HLOOKUP(C1258,Regions!$B$1:$S$2,2,FALSE())</f>
        <v>EU</v>
      </c>
      <c r="J1258" s="7" t="n">
        <f aca="false">E1258*F1258</f>
        <v>15</v>
      </c>
      <c r="K1258" s="8" t="str">
        <f aca="false">IF(H1258="","",1-F1258/H1258)</f>
        <v/>
      </c>
    </row>
    <row r="1259" customFormat="false" ht="15" hidden="false" customHeight="false" outlineLevel="0" collapsed="false">
      <c r="A1259" s="0" t="s">
        <v>779</v>
      </c>
      <c r="B1259" s="6" t="n">
        <v>40885.4756944445</v>
      </c>
      <c r="C1259" s="0" t="s">
        <v>29</v>
      </c>
      <c r="D1259" s="0" t="s">
        <v>431</v>
      </c>
      <c r="E1259" s="0" t="n">
        <v>6</v>
      </c>
      <c r="F1259" s="0" t="n">
        <v>2.89</v>
      </c>
      <c r="G1259" s="7" t="str">
        <f aca="false">_xlfn.XLOOKUP(D1259,Catalog!$B$2:$B$4102,Catalog!$A$2:$A$4102,"NOT IN CATALOG")</f>
        <v>NOT IN CATALOG</v>
      </c>
      <c r="H1259" s="7" t="str">
        <f aca="false">_xlfn.IFNA(VLOOKUP(D1259,Catalog!$B$2:$C$4102,2,FALSE()),"")</f>
        <v/>
      </c>
      <c r="I1259" s="7" t="str">
        <f aca="false">HLOOKUP(C1259,Regions!$B$1:$S$2,2,FALSE())</f>
        <v>EU</v>
      </c>
      <c r="J1259" s="7" t="n">
        <f aca="false">E1259*F1259</f>
        <v>17.34</v>
      </c>
      <c r="K1259" s="8" t="str">
        <f aca="false">IF(H1259="","",1-F1259/H1259)</f>
        <v/>
      </c>
    </row>
    <row r="1260" customFormat="false" ht="15" hidden="false" customHeight="false" outlineLevel="0" collapsed="false">
      <c r="A1260" s="0" t="s">
        <v>779</v>
      </c>
      <c r="B1260" s="6" t="n">
        <v>40885.4756944445</v>
      </c>
      <c r="C1260" s="0" t="s">
        <v>29</v>
      </c>
      <c r="D1260" s="0" t="s">
        <v>535</v>
      </c>
      <c r="E1260" s="0" t="n">
        <v>12</v>
      </c>
      <c r="F1260" s="0" t="n">
        <v>2.89</v>
      </c>
      <c r="G1260" s="7" t="str">
        <f aca="false">_xlfn.XLOOKUP(D1260,Catalog!$B$2:$B$4102,Catalog!$A$2:$A$4102,"NOT IN CATALOG")</f>
        <v>NOT IN CATALOG</v>
      </c>
      <c r="H1260" s="7" t="str">
        <f aca="false">_xlfn.IFNA(VLOOKUP(D1260,Catalog!$B$2:$C$4102,2,FALSE()),"")</f>
        <v/>
      </c>
      <c r="I1260" s="7" t="str">
        <f aca="false">HLOOKUP(C1260,Regions!$B$1:$S$2,2,FALSE())</f>
        <v>EU</v>
      </c>
      <c r="J1260" s="7" t="n">
        <f aca="false">E1260*F1260</f>
        <v>34.68</v>
      </c>
      <c r="K1260" s="8" t="str">
        <f aca="false">IF(H1260="","",1-F1260/H1260)</f>
        <v/>
      </c>
    </row>
    <row r="1261" customFormat="false" ht="15" hidden="false" customHeight="false" outlineLevel="0" collapsed="false">
      <c r="A1261" s="0" t="s">
        <v>779</v>
      </c>
      <c r="B1261" s="6" t="n">
        <v>40885.4756944445</v>
      </c>
      <c r="C1261" s="0" t="s">
        <v>29</v>
      </c>
      <c r="D1261" s="0" t="s">
        <v>277</v>
      </c>
      <c r="E1261" s="0" t="n">
        <v>12</v>
      </c>
      <c r="F1261" s="0" t="n">
        <v>2.89</v>
      </c>
      <c r="G1261" s="7" t="str">
        <f aca="false">_xlfn.XLOOKUP(D1261,Catalog!$B$2:$B$4102,Catalog!$A$2:$A$4102,"NOT IN CATALOG")</f>
        <v>NOT IN CATALOG</v>
      </c>
      <c r="H1261" s="7" t="str">
        <f aca="false">_xlfn.IFNA(VLOOKUP(D1261,Catalog!$B$2:$C$4102,2,FALSE()),"")</f>
        <v/>
      </c>
      <c r="I1261" s="7" t="str">
        <f aca="false">HLOOKUP(C1261,Regions!$B$1:$S$2,2,FALSE())</f>
        <v>EU</v>
      </c>
      <c r="J1261" s="7" t="n">
        <f aca="false">E1261*F1261</f>
        <v>34.68</v>
      </c>
      <c r="K1261" s="8" t="str">
        <f aca="false">IF(H1261="","",1-F1261/H1261)</f>
        <v/>
      </c>
    </row>
    <row r="1262" customFormat="false" ht="15" hidden="false" customHeight="false" outlineLevel="0" collapsed="false">
      <c r="A1262" s="0" t="s">
        <v>779</v>
      </c>
      <c r="B1262" s="6" t="n">
        <v>40885.4756944445</v>
      </c>
      <c r="C1262" s="0" t="s">
        <v>29</v>
      </c>
      <c r="D1262" s="0" t="s">
        <v>39</v>
      </c>
      <c r="E1262" s="0" t="n">
        <v>5</v>
      </c>
      <c r="F1262" s="0" t="n">
        <v>18</v>
      </c>
      <c r="G1262" s="7" t="str">
        <f aca="false">_xlfn.XLOOKUP(D1262,Catalog!$B$2:$B$4102,Catalog!$A$2:$A$4102,"NOT IN CATALOG")</f>
        <v>POSTAGE</v>
      </c>
      <c r="H1262" s="7" t="n">
        <f aca="false">_xlfn.IFNA(VLOOKUP(D1262,Catalog!$B$2:$C$4102,2,FALSE()),"")</f>
        <v>18</v>
      </c>
      <c r="I1262" s="7" t="str">
        <f aca="false">HLOOKUP(C1262,Regions!$B$1:$S$2,2,FALSE())</f>
        <v>EU</v>
      </c>
      <c r="J1262" s="7" t="n">
        <f aca="false">E1262*F1262</f>
        <v>90</v>
      </c>
      <c r="K1262" s="8" t="n">
        <f aca="false">IF(H1262="","",1-F1262/H1262)</f>
        <v>0</v>
      </c>
    </row>
    <row r="1263" customFormat="false" ht="15" hidden="false" customHeight="false" outlineLevel="0" collapsed="false">
      <c r="A1263" s="0" t="s">
        <v>808</v>
      </c>
      <c r="B1263" s="6" t="n">
        <v>40885.4826388889</v>
      </c>
      <c r="C1263" s="0" t="s">
        <v>81</v>
      </c>
      <c r="D1263" s="0" t="s">
        <v>809</v>
      </c>
      <c r="E1263" s="0" t="n">
        <v>12</v>
      </c>
      <c r="F1263" s="0" t="n">
        <v>2.95</v>
      </c>
      <c r="G1263" s="7" t="str">
        <f aca="false">_xlfn.XLOOKUP(D1263,Catalog!$B$2:$B$4102,Catalog!$A$2:$A$4102,"NOT IN CATALOG")</f>
        <v>CAKE STAND WHITE TWO TIER LACE</v>
      </c>
      <c r="H1263" s="7" t="n">
        <f aca="false">_xlfn.IFNA(VLOOKUP(D1263,Catalog!$B$2:$C$4102,2,FALSE()),"")</f>
        <v>8.5</v>
      </c>
      <c r="I1263" s="7" t="str">
        <f aca="false">HLOOKUP(C1263,Regions!$B$1:$S$2,2,FALSE())</f>
        <v>EU</v>
      </c>
      <c r="J1263" s="7" t="n">
        <f aca="false">E1263*F1263</f>
        <v>35.4</v>
      </c>
      <c r="K1263" s="8" t="n">
        <f aca="false">IF(H1263="","",1-F1263/H1263)</f>
        <v>0.652941176470588</v>
      </c>
    </row>
    <row r="1264" customFormat="false" ht="15" hidden="false" customHeight="false" outlineLevel="0" collapsed="false">
      <c r="A1264" s="0" t="s">
        <v>808</v>
      </c>
      <c r="B1264" s="6" t="n">
        <v>40885.4826388889</v>
      </c>
      <c r="C1264" s="0" t="s">
        <v>81</v>
      </c>
      <c r="D1264" s="0" t="s">
        <v>54</v>
      </c>
      <c r="E1264" s="0" t="n">
        <v>6</v>
      </c>
      <c r="F1264" s="0" t="n">
        <v>12.75</v>
      </c>
      <c r="G1264" s="7" t="str">
        <f aca="false">_xlfn.XLOOKUP(D1264,Catalog!$B$2:$B$4102,Catalog!$A$2:$A$4102,"NOT IN CATALOG")</f>
        <v>REGENCY CAKESTAND 3 TIER</v>
      </c>
      <c r="H1264" s="7" t="n">
        <f aca="false">_xlfn.IFNA(VLOOKUP(D1264,Catalog!$B$2:$C$4102,2,FALSE()),"")</f>
        <v>12.75</v>
      </c>
      <c r="I1264" s="7" t="str">
        <f aca="false">HLOOKUP(C1264,Regions!$B$1:$S$2,2,FALSE())</f>
        <v>EU</v>
      </c>
      <c r="J1264" s="7" t="n">
        <f aca="false">E1264*F1264</f>
        <v>76.5</v>
      </c>
      <c r="K1264" s="8" t="n">
        <f aca="false">IF(H1264="","",1-F1264/H1264)</f>
        <v>0</v>
      </c>
    </row>
    <row r="1265" customFormat="false" ht="15" hidden="false" customHeight="false" outlineLevel="0" collapsed="false">
      <c r="A1265" s="0" t="s">
        <v>808</v>
      </c>
      <c r="B1265" s="6" t="n">
        <v>40885.4826388889</v>
      </c>
      <c r="C1265" s="0" t="s">
        <v>81</v>
      </c>
      <c r="D1265" s="0" t="s">
        <v>39</v>
      </c>
      <c r="E1265" s="0" t="n">
        <v>3</v>
      </c>
      <c r="F1265" s="0" t="n">
        <v>18</v>
      </c>
      <c r="G1265" s="7" t="str">
        <f aca="false">_xlfn.XLOOKUP(D1265,Catalog!$B$2:$B$4102,Catalog!$A$2:$A$4102,"NOT IN CATALOG")</f>
        <v>POSTAGE</v>
      </c>
      <c r="H1265" s="7" t="n">
        <f aca="false">_xlfn.IFNA(VLOOKUP(D1265,Catalog!$B$2:$C$4102,2,FALSE()),"")</f>
        <v>18</v>
      </c>
      <c r="I1265" s="7" t="str">
        <f aca="false">HLOOKUP(C1265,Regions!$B$1:$S$2,2,FALSE())</f>
        <v>EU</v>
      </c>
      <c r="J1265" s="7" t="n">
        <f aca="false">E1265*F1265</f>
        <v>54</v>
      </c>
      <c r="K1265" s="8" t="n">
        <f aca="false">IF(H1265="","",1-F1265/H1265)</f>
        <v>0</v>
      </c>
    </row>
    <row r="1266" customFormat="false" ht="15" hidden="false" customHeight="false" outlineLevel="0" collapsed="false">
      <c r="A1266" s="0" t="s">
        <v>810</v>
      </c>
      <c r="B1266" s="6" t="n">
        <v>40885.5083333333</v>
      </c>
      <c r="C1266" s="0" t="s">
        <v>683</v>
      </c>
      <c r="D1266" s="0" t="s">
        <v>227</v>
      </c>
      <c r="E1266" s="0" t="n">
        <v>140</v>
      </c>
      <c r="F1266" s="0" t="n">
        <v>1.79</v>
      </c>
      <c r="G1266" s="7" t="str">
        <f aca="false">_xlfn.XLOOKUP(D1266,Catalog!$B$2:$B$4102,Catalog!$A$2:$A$4102,"NOT IN CATALOG")</f>
        <v>NOT IN CATALOG</v>
      </c>
      <c r="H1266" s="7" t="str">
        <f aca="false">_xlfn.IFNA(VLOOKUP(D1266,Catalog!$B$2:$C$4102,2,FALSE()),"")</f>
        <v/>
      </c>
      <c r="I1266" s="7" t="str">
        <f aca="false">HLOOKUP(C1266,Regions!$B$1:$S$2,2,FALSE())</f>
        <v>EU</v>
      </c>
      <c r="J1266" s="7" t="n">
        <f aca="false">E1266*F1266</f>
        <v>250.6</v>
      </c>
      <c r="K1266" s="8" t="str">
        <f aca="false">IF(H1266="","",1-F1266/H1266)</f>
        <v/>
      </c>
    </row>
    <row r="1267" customFormat="false" ht="15" hidden="false" customHeight="false" outlineLevel="0" collapsed="false">
      <c r="A1267" s="0" t="s">
        <v>811</v>
      </c>
      <c r="B1267" s="6" t="n">
        <v>40885.6625</v>
      </c>
      <c r="C1267" s="0" t="s">
        <v>41</v>
      </c>
      <c r="D1267" s="0" t="s">
        <v>812</v>
      </c>
      <c r="E1267" s="0" t="n">
        <v>12</v>
      </c>
      <c r="F1267" s="0" t="n">
        <v>2.95</v>
      </c>
      <c r="G1267" s="7" t="str">
        <f aca="false">_xlfn.XLOOKUP(D1267,Catalog!$B$2:$B$4102,Catalog!$A$2:$A$4102,"NOT IN CATALOG")</f>
        <v>CHRISTMAS LIGHTS 10 SANTAS</v>
      </c>
      <c r="H1267" s="7" t="n">
        <f aca="false">_xlfn.IFNA(VLOOKUP(D1267,Catalog!$B$2:$C$4102,2,FALSE()),"")</f>
        <v>8.5</v>
      </c>
      <c r="I1267" s="7" t="str">
        <f aca="false">HLOOKUP(C1267,Regions!$B$1:$S$2,2,FALSE())</f>
        <v>EU</v>
      </c>
      <c r="J1267" s="7" t="n">
        <f aca="false">E1267*F1267</f>
        <v>35.4</v>
      </c>
      <c r="K1267" s="8" t="n">
        <f aca="false">IF(H1267="","",1-F1267/H1267)</f>
        <v>0.652941176470588</v>
      </c>
    </row>
    <row r="1268" customFormat="false" ht="15" hidden="false" customHeight="false" outlineLevel="0" collapsed="false">
      <c r="A1268" s="0" t="s">
        <v>811</v>
      </c>
      <c r="B1268" s="6" t="n">
        <v>40885.6625</v>
      </c>
      <c r="C1268" s="0" t="s">
        <v>41</v>
      </c>
      <c r="D1268" s="0" t="s">
        <v>813</v>
      </c>
      <c r="E1268" s="0" t="n">
        <v>3</v>
      </c>
      <c r="F1268" s="0" t="n">
        <v>4.95</v>
      </c>
      <c r="G1268" s="7" t="str">
        <f aca="false">_xlfn.XLOOKUP(D1268,Catalog!$B$2:$B$4102,Catalog!$A$2:$A$4102,"NOT IN CATALOG")</f>
        <v>LANTERN CREAM GAZEBO</v>
      </c>
      <c r="H1268" s="7" t="n">
        <f aca="false">_xlfn.IFNA(VLOOKUP(D1268,Catalog!$B$2:$C$4102,2,FALSE()),"")</f>
        <v>4.95</v>
      </c>
      <c r="I1268" s="7" t="str">
        <f aca="false">HLOOKUP(C1268,Regions!$B$1:$S$2,2,FALSE())</f>
        <v>EU</v>
      </c>
      <c r="J1268" s="7" t="n">
        <f aca="false">E1268*F1268</f>
        <v>14.85</v>
      </c>
      <c r="K1268" s="8" t="n">
        <f aca="false">IF(H1268="","",1-F1268/H1268)</f>
        <v>0</v>
      </c>
    </row>
    <row r="1269" customFormat="false" ht="15" hidden="false" customHeight="false" outlineLevel="0" collapsed="false">
      <c r="A1269" s="0" t="s">
        <v>811</v>
      </c>
      <c r="B1269" s="6" t="n">
        <v>40885.6625</v>
      </c>
      <c r="C1269" s="0" t="s">
        <v>41</v>
      </c>
      <c r="D1269" s="0" t="s">
        <v>414</v>
      </c>
      <c r="E1269" s="0" t="n">
        <v>12</v>
      </c>
      <c r="F1269" s="0" t="n">
        <v>0.79</v>
      </c>
      <c r="G1269" s="7" t="str">
        <f aca="false">_xlfn.XLOOKUP(D1269,Catalog!$B$2:$B$4102,Catalog!$A$2:$A$4102,"NOT IN CATALOG")</f>
        <v>HANGING METAL STAR LANTERN</v>
      </c>
      <c r="H1269" s="7" t="n">
        <f aca="false">_xlfn.IFNA(VLOOKUP(D1269,Catalog!$B$2:$C$4102,2,FALSE()),"")</f>
        <v>1.65</v>
      </c>
      <c r="I1269" s="7" t="str">
        <f aca="false">HLOOKUP(C1269,Regions!$B$1:$S$2,2,FALSE())</f>
        <v>EU</v>
      </c>
      <c r="J1269" s="7" t="n">
        <f aca="false">E1269*F1269</f>
        <v>9.48</v>
      </c>
      <c r="K1269" s="8" t="n">
        <f aca="false">IF(H1269="","",1-F1269/H1269)</f>
        <v>0.521212121212121</v>
      </c>
    </row>
    <row r="1270" customFormat="false" ht="15" hidden="false" customHeight="false" outlineLevel="0" collapsed="false">
      <c r="A1270" s="0" t="s">
        <v>811</v>
      </c>
      <c r="B1270" s="6" t="n">
        <v>40885.6625</v>
      </c>
      <c r="C1270" s="0" t="s">
        <v>41</v>
      </c>
      <c r="D1270" s="0" t="s">
        <v>620</v>
      </c>
      <c r="E1270" s="0" t="n">
        <v>12</v>
      </c>
      <c r="F1270" s="0" t="n">
        <v>0.79</v>
      </c>
      <c r="G1270" s="7" t="str">
        <f aca="false">_xlfn.XLOOKUP(D1270,Catalog!$B$2:$B$4102,Catalog!$A$2:$A$4102,"NOT IN CATALOG")</f>
        <v>HANGING METAL HEART LANTERN</v>
      </c>
      <c r="H1270" s="7" t="n">
        <f aca="false">_xlfn.IFNA(VLOOKUP(D1270,Catalog!$B$2:$C$4102,2,FALSE()),"")</f>
        <v>1.65</v>
      </c>
      <c r="I1270" s="7" t="str">
        <f aca="false">HLOOKUP(C1270,Regions!$B$1:$S$2,2,FALSE())</f>
        <v>EU</v>
      </c>
      <c r="J1270" s="7" t="n">
        <f aca="false">E1270*F1270</f>
        <v>9.48</v>
      </c>
      <c r="K1270" s="8" t="n">
        <f aca="false">IF(H1270="","",1-F1270/H1270)</f>
        <v>0.521212121212121</v>
      </c>
    </row>
    <row r="1271" customFormat="false" ht="15" hidden="false" customHeight="false" outlineLevel="0" collapsed="false">
      <c r="A1271" s="0" t="s">
        <v>811</v>
      </c>
      <c r="B1271" s="6" t="n">
        <v>40885.6625</v>
      </c>
      <c r="C1271" s="0" t="s">
        <v>41</v>
      </c>
      <c r="D1271" s="0" t="s">
        <v>656</v>
      </c>
      <c r="E1271" s="0" t="n">
        <v>3</v>
      </c>
      <c r="F1271" s="0" t="n">
        <v>5.95</v>
      </c>
      <c r="G1271" s="7" t="str">
        <f aca="false">_xlfn.XLOOKUP(D1271,Catalog!$B$2:$B$4102,Catalog!$A$2:$A$4102,"NOT IN CATALOG")</f>
        <v>RED/WHITE DOTS RUFFLED UMBRELLA</v>
      </c>
      <c r="H1271" s="7" t="n">
        <f aca="false">_xlfn.IFNA(VLOOKUP(D1271,Catalog!$B$2:$C$4102,2,FALSE()),"")</f>
        <v>5.95</v>
      </c>
      <c r="I1271" s="7" t="str">
        <f aca="false">HLOOKUP(C1271,Regions!$B$1:$S$2,2,FALSE())</f>
        <v>EU</v>
      </c>
      <c r="J1271" s="7" t="n">
        <f aca="false">E1271*F1271</f>
        <v>17.85</v>
      </c>
      <c r="K1271" s="8" t="n">
        <f aca="false">IF(H1271="","",1-F1271/H1271)</f>
        <v>0</v>
      </c>
    </row>
    <row r="1272" customFormat="false" ht="15" hidden="false" customHeight="false" outlineLevel="0" collapsed="false">
      <c r="A1272" s="0" t="s">
        <v>811</v>
      </c>
      <c r="B1272" s="6" t="n">
        <v>40885.6625</v>
      </c>
      <c r="C1272" s="0" t="s">
        <v>41</v>
      </c>
      <c r="D1272" s="0" t="s">
        <v>776</v>
      </c>
      <c r="E1272" s="0" t="n">
        <v>3</v>
      </c>
      <c r="F1272" s="0" t="n">
        <v>5.95</v>
      </c>
      <c r="G1272" s="7" t="str">
        <f aca="false">_xlfn.XLOOKUP(D1272,Catalog!$B$2:$B$4102,Catalog!$A$2:$A$4102,"NOT IN CATALOG")</f>
        <v>EDWARDIAN PARASOL RED</v>
      </c>
      <c r="H1272" s="7" t="n">
        <f aca="false">_xlfn.IFNA(VLOOKUP(D1272,Catalog!$B$2:$C$4102,2,FALSE()),"")</f>
        <v>5.95</v>
      </c>
      <c r="I1272" s="7" t="str">
        <f aca="false">HLOOKUP(C1272,Regions!$B$1:$S$2,2,FALSE())</f>
        <v>EU</v>
      </c>
      <c r="J1272" s="7" t="n">
        <f aca="false">E1272*F1272</f>
        <v>17.85</v>
      </c>
      <c r="K1272" s="8" t="n">
        <f aca="false">IF(H1272="","",1-F1272/H1272)</f>
        <v>0</v>
      </c>
    </row>
    <row r="1273" customFormat="false" ht="15" hidden="false" customHeight="false" outlineLevel="0" collapsed="false">
      <c r="A1273" s="0" t="s">
        <v>811</v>
      </c>
      <c r="B1273" s="6" t="n">
        <v>40885.6625</v>
      </c>
      <c r="C1273" s="0" t="s">
        <v>41</v>
      </c>
      <c r="D1273" s="0" t="s">
        <v>814</v>
      </c>
      <c r="E1273" s="0" t="n">
        <v>6</v>
      </c>
      <c r="F1273" s="0" t="n">
        <v>2.55</v>
      </c>
      <c r="G1273" s="7" t="str">
        <f aca="false">_xlfn.XLOOKUP(D1273,Catalog!$B$2:$B$4102,Catalog!$A$2:$A$4102,"NOT IN CATALOG")</f>
        <v>RED SPOTTY PEG BAG</v>
      </c>
      <c r="H1273" s="7" t="n">
        <f aca="false">_xlfn.IFNA(VLOOKUP(D1273,Catalog!$B$2:$C$4102,2,FALSE()),"")</f>
        <v>2.1</v>
      </c>
      <c r="I1273" s="7" t="str">
        <f aca="false">HLOOKUP(C1273,Regions!$B$1:$S$2,2,FALSE())</f>
        <v>EU</v>
      </c>
      <c r="J1273" s="7" t="n">
        <f aca="false">E1273*F1273</f>
        <v>15.3</v>
      </c>
      <c r="K1273" s="8" t="n">
        <f aca="false">IF(H1273="","",1-F1273/H1273)</f>
        <v>-0.214285714285714</v>
      </c>
    </row>
    <row r="1274" customFormat="false" ht="15" hidden="false" customHeight="false" outlineLevel="0" collapsed="false">
      <c r="A1274" s="0" t="s">
        <v>811</v>
      </c>
      <c r="B1274" s="6" t="n">
        <v>40885.6625</v>
      </c>
      <c r="C1274" s="0" t="s">
        <v>41</v>
      </c>
      <c r="D1274" s="0" t="s">
        <v>567</v>
      </c>
      <c r="E1274" s="0" t="n">
        <v>6</v>
      </c>
      <c r="F1274" s="0" t="n">
        <v>4.25</v>
      </c>
      <c r="G1274" s="7" t="str">
        <f aca="false">_xlfn.XLOOKUP(D1274,Catalog!$B$2:$B$4102,Catalog!$A$2:$A$4102,"NOT IN CATALOG")</f>
        <v>JAM MAKING SET WITH JARS</v>
      </c>
      <c r="H1274" s="7" t="n">
        <f aca="false">_xlfn.IFNA(VLOOKUP(D1274,Catalog!$B$2:$C$4102,2,FALSE()),"")</f>
        <v>4.25</v>
      </c>
      <c r="I1274" s="7" t="str">
        <f aca="false">HLOOKUP(C1274,Regions!$B$1:$S$2,2,FALSE())</f>
        <v>EU</v>
      </c>
      <c r="J1274" s="7" t="n">
        <f aca="false">E1274*F1274</f>
        <v>25.5</v>
      </c>
      <c r="K1274" s="8" t="n">
        <f aca="false">IF(H1274="","",1-F1274/H1274)</f>
        <v>0</v>
      </c>
    </row>
    <row r="1275" customFormat="false" ht="15" hidden="false" customHeight="false" outlineLevel="0" collapsed="false">
      <c r="A1275" s="0" t="s">
        <v>811</v>
      </c>
      <c r="B1275" s="6" t="n">
        <v>40885.6625</v>
      </c>
      <c r="C1275" s="0" t="s">
        <v>41</v>
      </c>
      <c r="D1275" s="0" t="s">
        <v>654</v>
      </c>
      <c r="E1275" s="0" t="n">
        <v>12</v>
      </c>
      <c r="F1275" s="0" t="n">
        <v>0.59</v>
      </c>
      <c r="G1275" s="7" t="str">
        <f aca="false">_xlfn.XLOOKUP(D1275,Catalog!$B$2:$B$4102,Catalog!$A$2:$A$4102,"NOT IN CATALOG")</f>
        <v>RETRO SPOT CANDLE LARGE</v>
      </c>
      <c r="H1275" s="7" t="n">
        <f aca="false">_xlfn.IFNA(VLOOKUP(D1275,Catalog!$B$2:$C$4102,2,FALSE()),"")</f>
        <v>2.55</v>
      </c>
      <c r="I1275" s="7" t="str">
        <f aca="false">HLOOKUP(C1275,Regions!$B$1:$S$2,2,FALSE())</f>
        <v>EU</v>
      </c>
      <c r="J1275" s="7" t="n">
        <f aca="false">E1275*F1275</f>
        <v>7.08</v>
      </c>
      <c r="K1275" s="8" t="n">
        <f aca="false">IF(H1275="","",1-F1275/H1275)</f>
        <v>0.768627450980392</v>
      </c>
    </row>
    <row r="1276" customFormat="false" ht="15" hidden="false" customHeight="false" outlineLevel="0" collapsed="false">
      <c r="A1276" s="0" t="s">
        <v>811</v>
      </c>
      <c r="B1276" s="6" t="n">
        <v>40885.6625</v>
      </c>
      <c r="C1276" s="0" t="s">
        <v>41</v>
      </c>
      <c r="D1276" s="0" t="s">
        <v>653</v>
      </c>
      <c r="E1276" s="0" t="n">
        <v>12</v>
      </c>
      <c r="F1276" s="0" t="n">
        <v>0.39</v>
      </c>
      <c r="G1276" s="7" t="str">
        <f aca="false">_xlfn.XLOOKUP(D1276,Catalog!$B$2:$B$4102,Catalog!$A$2:$A$4102,"NOT IN CATALOG")</f>
        <v>RETRO SPOT CANDLE MEDIUM</v>
      </c>
      <c r="H1276" s="7" t="n">
        <f aca="false">_xlfn.IFNA(VLOOKUP(D1276,Catalog!$B$2:$C$4102,2,FALSE()),"")</f>
        <v>2.1</v>
      </c>
      <c r="I1276" s="7" t="str">
        <f aca="false">HLOOKUP(C1276,Regions!$B$1:$S$2,2,FALSE())</f>
        <v>EU</v>
      </c>
      <c r="J1276" s="7" t="n">
        <f aca="false">E1276*F1276</f>
        <v>4.68</v>
      </c>
      <c r="K1276" s="8" t="n">
        <f aca="false">IF(H1276="","",1-F1276/H1276)</f>
        <v>0.814285714285714</v>
      </c>
    </row>
    <row r="1277" customFormat="false" ht="15" hidden="false" customHeight="false" outlineLevel="0" collapsed="false">
      <c r="A1277" s="0" t="s">
        <v>811</v>
      </c>
      <c r="B1277" s="6" t="n">
        <v>40885.6625</v>
      </c>
      <c r="C1277" s="0" t="s">
        <v>41</v>
      </c>
      <c r="D1277" s="0" t="s">
        <v>815</v>
      </c>
      <c r="E1277" s="0" t="n">
        <v>24</v>
      </c>
      <c r="F1277" s="0" t="n">
        <v>0.19</v>
      </c>
      <c r="G1277" s="7" t="str">
        <f aca="false">_xlfn.XLOOKUP(D1277,Catalog!$B$2:$B$4102,Catalog!$A$2:$A$4102,"NOT IN CATALOG")</f>
        <v>GREEN BIRDHOUSE DECORATION</v>
      </c>
      <c r="H1277" s="7" t="n">
        <f aca="false">_xlfn.IFNA(VLOOKUP(D1277,Catalog!$B$2:$C$4102,2,FALSE()),"")</f>
        <v>0.85</v>
      </c>
      <c r="I1277" s="7" t="str">
        <f aca="false">HLOOKUP(C1277,Regions!$B$1:$S$2,2,FALSE())</f>
        <v>EU</v>
      </c>
      <c r="J1277" s="7" t="n">
        <f aca="false">E1277*F1277</f>
        <v>4.56</v>
      </c>
      <c r="K1277" s="8" t="n">
        <f aca="false">IF(H1277="","",1-F1277/H1277)</f>
        <v>0.776470588235294</v>
      </c>
    </row>
    <row r="1278" customFormat="false" ht="15" hidden="false" customHeight="false" outlineLevel="0" collapsed="false">
      <c r="A1278" s="0" t="s">
        <v>811</v>
      </c>
      <c r="B1278" s="6" t="n">
        <v>40885.6625</v>
      </c>
      <c r="C1278" s="0" t="s">
        <v>41</v>
      </c>
      <c r="D1278" s="0" t="s">
        <v>329</v>
      </c>
      <c r="E1278" s="0" t="n">
        <v>8</v>
      </c>
      <c r="F1278" s="0" t="n">
        <v>1.95</v>
      </c>
      <c r="G1278" s="7" t="str">
        <f aca="false">_xlfn.XLOOKUP(D1278,Catalog!$B$2:$B$4102,Catalog!$A$2:$A$4102,"NOT IN CATALOG")</f>
        <v>NURSERY A,B,C PAINTED LETTERS</v>
      </c>
      <c r="H1278" s="7" t="n">
        <f aca="false">_xlfn.IFNA(VLOOKUP(D1278,Catalog!$B$2:$C$4102,2,FALSE()),"")</f>
        <v>6.75</v>
      </c>
      <c r="I1278" s="7" t="str">
        <f aca="false">HLOOKUP(C1278,Regions!$B$1:$S$2,2,FALSE())</f>
        <v>EU</v>
      </c>
      <c r="J1278" s="7" t="n">
        <f aca="false">E1278*F1278</f>
        <v>15.6</v>
      </c>
      <c r="K1278" s="8" t="n">
        <f aca="false">IF(H1278="","",1-F1278/H1278)</f>
        <v>0.711111111111111</v>
      </c>
    </row>
    <row r="1279" customFormat="false" ht="15" hidden="false" customHeight="false" outlineLevel="0" collapsed="false">
      <c r="A1279" s="0" t="s">
        <v>811</v>
      </c>
      <c r="B1279" s="6" t="n">
        <v>40885.6625</v>
      </c>
      <c r="C1279" s="0" t="s">
        <v>41</v>
      </c>
      <c r="D1279" s="0" t="s">
        <v>741</v>
      </c>
      <c r="E1279" s="0" t="n">
        <v>24</v>
      </c>
      <c r="F1279" s="0" t="n">
        <v>0.39</v>
      </c>
      <c r="G1279" s="7" t="str">
        <f aca="false">_xlfn.XLOOKUP(D1279,Catalog!$B$2:$B$4102,Catalog!$A$2:$A$4102,"NOT IN CATALOG")</f>
        <v>CERAMIC STRWBERRY DESIGN MUG</v>
      </c>
      <c r="H1279" s="7" t="n">
        <f aca="false">_xlfn.IFNA(VLOOKUP(D1279,Catalog!$B$2:$C$4102,2,FALSE()),"")</f>
        <v>1.49</v>
      </c>
      <c r="I1279" s="7" t="str">
        <f aca="false">HLOOKUP(C1279,Regions!$B$1:$S$2,2,FALSE())</f>
        <v>EU</v>
      </c>
      <c r="J1279" s="7" t="n">
        <f aca="false">E1279*F1279</f>
        <v>9.36</v>
      </c>
      <c r="K1279" s="8" t="n">
        <f aca="false">IF(H1279="","",1-F1279/H1279)</f>
        <v>0.738255033557047</v>
      </c>
    </row>
    <row r="1280" customFormat="false" ht="15" hidden="false" customHeight="false" outlineLevel="0" collapsed="false">
      <c r="A1280" s="0" t="s">
        <v>811</v>
      </c>
      <c r="B1280" s="6" t="n">
        <v>40885.6625</v>
      </c>
      <c r="C1280" s="0" t="s">
        <v>41</v>
      </c>
      <c r="D1280" s="0" t="s">
        <v>740</v>
      </c>
      <c r="E1280" s="0" t="n">
        <v>16</v>
      </c>
      <c r="F1280" s="0" t="n">
        <v>0.39</v>
      </c>
      <c r="G1280" s="7" t="str">
        <f aca="false">_xlfn.XLOOKUP(D1280,Catalog!$B$2:$B$4102,Catalog!$A$2:$A$4102,"NOT IN CATALOG")</f>
        <v>CERAMIC PLATE STRAWBERRY DESIGN</v>
      </c>
      <c r="H1280" s="7" t="n">
        <f aca="false">_xlfn.IFNA(VLOOKUP(D1280,Catalog!$B$2:$C$4102,2,FALSE()),"")</f>
        <v>1.49</v>
      </c>
      <c r="I1280" s="7" t="str">
        <f aca="false">HLOOKUP(C1280,Regions!$B$1:$S$2,2,FALSE())</f>
        <v>EU</v>
      </c>
      <c r="J1280" s="7" t="n">
        <f aca="false">E1280*F1280</f>
        <v>6.24</v>
      </c>
      <c r="K1280" s="8" t="n">
        <f aca="false">IF(H1280="","",1-F1280/H1280)</f>
        <v>0.738255033557047</v>
      </c>
    </row>
    <row r="1281" customFormat="false" ht="15" hidden="false" customHeight="false" outlineLevel="0" collapsed="false">
      <c r="A1281" s="0" t="s">
        <v>811</v>
      </c>
      <c r="B1281" s="6" t="n">
        <v>40885.6625</v>
      </c>
      <c r="C1281" s="0" t="s">
        <v>41</v>
      </c>
      <c r="D1281" s="0" t="s">
        <v>569</v>
      </c>
      <c r="E1281" s="0" t="n">
        <v>12</v>
      </c>
      <c r="F1281" s="0" t="n">
        <v>1.25</v>
      </c>
      <c r="G1281" s="7" t="str">
        <f aca="false">_xlfn.XLOOKUP(D1281,Catalog!$B$2:$B$4102,Catalog!$A$2:$A$4102,"NOT IN CATALOG")</f>
        <v>RED RETROSPOT TEA CUP AND SAUCER</v>
      </c>
      <c r="H1281" s="7" t="n">
        <f aca="false">_xlfn.IFNA(VLOOKUP(D1281,Catalog!$B$2:$C$4102,2,FALSE()),"")</f>
        <v>3.75</v>
      </c>
      <c r="I1281" s="7" t="str">
        <f aca="false">HLOOKUP(C1281,Regions!$B$1:$S$2,2,FALSE())</f>
        <v>EU</v>
      </c>
      <c r="J1281" s="7" t="n">
        <f aca="false">E1281*F1281</f>
        <v>15</v>
      </c>
      <c r="K1281" s="8" t="n">
        <f aca="false">IF(H1281="","",1-F1281/H1281)</f>
        <v>0.666666666666667</v>
      </c>
    </row>
    <row r="1282" customFormat="false" ht="15" hidden="false" customHeight="false" outlineLevel="0" collapsed="false">
      <c r="A1282" s="0" t="s">
        <v>811</v>
      </c>
      <c r="B1282" s="6" t="n">
        <v>40885.6625</v>
      </c>
      <c r="C1282" s="0" t="s">
        <v>41</v>
      </c>
      <c r="D1282" s="0" t="s">
        <v>765</v>
      </c>
      <c r="E1282" s="0" t="n">
        <v>24</v>
      </c>
      <c r="F1282" s="0" t="n">
        <v>0.39</v>
      </c>
      <c r="G1282" s="7" t="str">
        <f aca="false">_xlfn.XLOOKUP(D1282,Catalog!$B$2:$B$4102,Catalog!$A$2:$A$4102,"NOT IN CATALOG")</f>
        <v>PAPERWEIGHT HOME SWEET HOME</v>
      </c>
      <c r="H1282" s="7" t="n">
        <f aca="false">_xlfn.IFNA(VLOOKUP(D1282,Catalog!$B$2:$C$4102,2,FALSE()),"")</f>
        <v>2.55</v>
      </c>
      <c r="I1282" s="7" t="str">
        <f aca="false">HLOOKUP(C1282,Regions!$B$1:$S$2,2,FALSE())</f>
        <v>EU</v>
      </c>
      <c r="J1282" s="7" t="n">
        <f aca="false">E1282*F1282</f>
        <v>9.36</v>
      </c>
      <c r="K1282" s="8" t="n">
        <f aca="false">IF(H1282="","",1-F1282/H1282)</f>
        <v>0.847058823529412</v>
      </c>
    </row>
    <row r="1283" customFormat="false" ht="15" hidden="false" customHeight="false" outlineLevel="0" collapsed="false">
      <c r="A1283" s="0" t="s">
        <v>811</v>
      </c>
      <c r="B1283" s="6" t="n">
        <v>40885.6625</v>
      </c>
      <c r="C1283" s="0" t="s">
        <v>41</v>
      </c>
      <c r="D1283" s="0" t="s">
        <v>557</v>
      </c>
      <c r="E1283" s="0" t="n">
        <v>12</v>
      </c>
      <c r="F1283" s="0" t="n">
        <v>0.39</v>
      </c>
      <c r="G1283" s="7" t="str">
        <f aca="false">_xlfn.XLOOKUP(D1283,Catalog!$B$2:$B$4102,Catalog!$A$2:$A$4102,"NOT IN CATALOG")</f>
        <v>PAPERWEIGHT CHILDHOOD MEMORIES</v>
      </c>
      <c r="H1283" s="7" t="n">
        <f aca="false">_xlfn.IFNA(VLOOKUP(D1283,Catalog!$B$2:$C$4102,2,FALSE()),"")</f>
        <v>2.55</v>
      </c>
      <c r="I1283" s="7" t="str">
        <f aca="false">HLOOKUP(C1283,Regions!$B$1:$S$2,2,FALSE())</f>
        <v>EU</v>
      </c>
      <c r="J1283" s="7" t="n">
        <f aca="false">E1283*F1283</f>
        <v>4.68</v>
      </c>
      <c r="K1283" s="8" t="n">
        <f aca="false">IF(H1283="","",1-F1283/H1283)</f>
        <v>0.847058823529412</v>
      </c>
    </row>
    <row r="1284" customFormat="false" ht="15" hidden="false" customHeight="false" outlineLevel="0" collapsed="false">
      <c r="A1284" s="0" t="s">
        <v>811</v>
      </c>
      <c r="B1284" s="6" t="n">
        <v>40885.6625</v>
      </c>
      <c r="C1284" s="0" t="s">
        <v>41</v>
      </c>
      <c r="D1284" s="0" t="s">
        <v>333</v>
      </c>
      <c r="E1284" s="0" t="n">
        <v>24</v>
      </c>
      <c r="F1284" s="0" t="n">
        <v>0.39</v>
      </c>
      <c r="G1284" s="7" t="str">
        <f aca="false">_xlfn.XLOOKUP(D1284,Catalog!$B$2:$B$4102,Catalog!$A$2:$A$4102,"NOT IN CATALOG")</f>
        <v>PAPERWEIGHT VINTAGE COLLAGE</v>
      </c>
      <c r="H1284" s="7" t="n">
        <f aca="false">_xlfn.IFNA(VLOOKUP(D1284,Catalog!$B$2:$C$4102,2,FALSE()),"")</f>
        <v>2.55</v>
      </c>
      <c r="I1284" s="7" t="str">
        <f aca="false">HLOOKUP(C1284,Regions!$B$1:$S$2,2,FALSE())</f>
        <v>EU</v>
      </c>
      <c r="J1284" s="7" t="n">
        <f aca="false">E1284*F1284</f>
        <v>9.36</v>
      </c>
      <c r="K1284" s="8" t="n">
        <f aca="false">IF(H1284="","",1-F1284/H1284)</f>
        <v>0.847058823529412</v>
      </c>
    </row>
    <row r="1285" customFormat="false" ht="15" hidden="false" customHeight="false" outlineLevel="0" collapsed="false">
      <c r="A1285" s="0" t="s">
        <v>811</v>
      </c>
      <c r="B1285" s="6" t="n">
        <v>40885.6625</v>
      </c>
      <c r="C1285" s="0" t="s">
        <v>41</v>
      </c>
      <c r="D1285" s="0" t="s">
        <v>816</v>
      </c>
      <c r="E1285" s="0" t="n">
        <v>12</v>
      </c>
      <c r="F1285" s="0" t="n">
        <v>0.39</v>
      </c>
      <c r="G1285" s="7" t="str">
        <f aca="false">_xlfn.XLOOKUP(D1285,Catalog!$B$2:$B$4102,Catalog!$A$2:$A$4102,"NOT IN CATALOG")</f>
        <v>MONEY BOX HOUSEKEEPING DESIGN</v>
      </c>
      <c r="H1285" s="7" t="n">
        <f aca="false">_xlfn.IFNA(VLOOKUP(D1285,Catalog!$B$2:$C$4102,2,FALSE()),"")</f>
        <v>1.25</v>
      </c>
      <c r="I1285" s="7" t="str">
        <f aca="false">HLOOKUP(C1285,Regions!$B$1:$S$2,2,FALSE())</f>
        <v>EU</v>
      </c>
      <c r="J1285" s="7" t="n">
        <f aca="false">E1285*F1285</f>
        <v>4.68</v>
      </c>
      <c r="K1285" s="8" t="n">
        <f aca="false">IF(H1285="","",1-F1285/H1285)</f>
        <v>0.688</v>
      </c>
    </row>
    <row r="1286" customFormat="false" ht="15" hidden="false" customHeight="false" outlineLevel="0" collapsed="false">
      <c r="A1286" s="0" t="s">
        <v>811</v>
      </c>
      <c r="B1286" s="6" t="n">
        <v>40885.6625</v>
      </c>
      <c r="C1286" s="0" t="s">
        <v>41</v>
      </c>
      <c r="D1286" s="0" t="s">
        <v>585</v>
      </c>
      <c r="E1286" s="0" t="n">
        <v>12</v>
      </c>
      <c r="F1286" s="0" t="n">
        <v>0.39</v>
      </c>
      <c r="G1286" s="7" t="str">
        <f aca="false">_xlfn.XLOOKUP(D1286,Catalog!$B$2:$B$4102,Catalog!$A$2:$A$4102,"NOT IN CATALOG")</f>
        <v>MONEY BOX POCKET MONEY DESIGN</v>
      </c>
      <c r="H1286" s="7" t="n">
        <f aca="false">_xlfn.IFNA(VLOOKUP(D1286,Catalog!$B$2:$C$4102,2,FALSE()),"")</f>
        <v>1.25</v>
      </c>
      <c r="I1286" s="7" t="str">
        <f aca="false">HLOOKUP(C1286,Regions!$B$1:$S$2,2,FALSE())</f>
        <v>EU</v>
      </c>
      <c r="J1286" s="7" t="n">
        <f aca="false">E1286*F1286</f>
        <v>4.68</v>
      </c>
      <c r="K1286" s="8" t="n">
        <f aca="false">IF(H1286="","",1-F1286/H1286)</f>
        <v>0.688</v>
      </c>
    </row>
    <row r="1287" customFormat="false" ht="15" hidden="false" customHeight="false" outlineLevel="0" collapsed="false">
      <c r="A1287" s="0" t="s">
        <v>811</v>
      </c>
      <c r="B1287" s="6" t="n">
        <v>40885.6625</v>
      </c>
      <c r="C1287" s="0" t="s">
        <v>41</v>
      </c>
      <c r="D1287" s="0" t="s">
        <v>817</v>
      </c>
      <c r="E1287" s="0" t="n">
        <v>12</v>
      </c>
      <c r="F1287" s="0" t="n">
        <v>0.39</v>
      </c>
      <c r="G1287" s="7" t="str">
        <f aca="false">_xlfn.XLOOKUP(D1287,Catalog!$B$2:$B$4102,Catalog!$A$2:$A$4102,"NOT IN CATALOG")</f>
        <v>PAPERWEIGHT VINTAGE PAISLEY</v>
      </c>
      <c r="H1287" s="7" t="n">
        <f aca="false">_xlfn.IFNA(VLOOKUP(D1287,Catalog!$B$2:$C$4102,2,FALSE()),"")</f>
        <v>2.55</v>
      </c>
      <c r="I1287" s="7" t="str">
        <f aca="false">HLOOKUP(C1287,Regions!$B$1:$S$2,2,FALSE())</f>
        <v>EU</v>
      </c>
      <c r="J1287" s="7" t="n">
        <f aca="false">E1287*F1287</f>
        <v>4.68</v>
      </c>
      <c r="K1287" s="8" t="n">
        <f aca="false">IF(H1287="","",1-F1287/H1287)</f>
        <v>0.847058823529412</v>
      </c>
    </row>
    <row r="1288" customFormat="false" ht="15" hidden="false" customHeight="false" outlineLevel="0" collapsed="false">
      <c r="A1288" s="0" t="s">
        <v>811</v>
      </c>
      <c r="B1288" s="6" t="n">
        <v>40885.6625</v>
      </c>
      <c r="C1288" s="0" t="s">
        <v>41</v>
      </c>
      <c r="D1288" s="0" t="s">
        <v>735</v>
      </c>
      <c r="E1288" s="0" t="n">
        <v>12</v>
      </c>
      <c r="F1288" s="0" t="n">
        <v>1.95</v>
      </c>
      <c r="G1288" s="7" t="str">
        <f aca="false">_xlfn.XLOOKUP(D1288,Catalog!$B$2:$B$4102,Catalog!$A$2:$A$4102,"NOT IN CATALOG")</f>
        <v>GROW YOUR OWN FLOWERS SET OF 3</v>
      </c>
      <c r="H1288" s="7" t="n">
        <f aca="false">_xlfn.IFNA(VLOOKUP(D1288,Catalog!$B$2:$C$4102,2,FALSE()),"")</f>
        <v>7.95</v>
      </c>
      <c r="I1288" s="7" t="str">
        <f aca="false">HLOOKUP(C1288,Regions!$B$1:$S$2,2,FALSE())</f>
        <v>EU</v>
      </c>
      <c r="J1288" s="7" t="n">
        <f aca="false">E1288*F1288</f>
        <v>23.4</v>
      </c>
      <c r="K1288" s="8" t="n">
        <f aca="false">IF(H1288="","",1-F1288/H1288)</f>
        <v>0.754716981132076</v>
      </c>
    </row>
    <row r="1289" customFormat="false" ht="15" hidden="false" customHeight="false" outlineLevel="0" collapsed="false">
      <c r="A1289" s="0" t="s">
        <v>811</v>
      </c>
      <c r="B1289" s="6" t="n">
        <v>40885.6625</v>
      </c>
      <c r="C1289" s="0" t="s">
        <v>41</v>
      </c>
      <c r="D1289" s="0" t="s">
        <v>608</v>
      </c>
      <c r="E1289" s="0" t="n">
        <v>8</v>
      </c>
      <c r="F1289" s="0" t="n">
        <v>1.95</v>
      </c>
      <c r="G1289" s="7" t="str">
        <f aca="false">_xlfn.XLOOKUP(D1289,Catalog!$B$2:$B$4102,Catalog!$A$2:$A$4102,"NOT IN CATALOG")</f>
        <v>TV DINNER TRAY DOLLY GIRL</v>
      </c>
      <c r="H1289" s="7" t="n">
        <f aca="false">_xlfn.IFNA(VLOOKUP(D1289,Catalog!$B$2:$C$4102,2,FALSE()),"")</f>
        <v>4.95</v>
      </c>
      <c r="I1289" s="7" t="str">
        <f aca="false">HLOOKUP(C1289,Regions!$B$1:$S$2,2,FALSE())</f>
        <v>EU</v>
      </c>
      <c r="J1289" s="7" t="n">
        <f aca="false">E1289*F1289</f>
        <v>15.6</v>
      </c>
      <c r="K1289" s="8" t="n">
        <f aca="false">IF(H1289="","",1-F1289/H1289)</f>
        <v>0.606060606060606</v>
      </c>
    </row>
    <row r="1290" customFormat="false" ht="15" hidden="false" customHeight="false" outlineLevel="0" collapsed="false">
      <c r="A1290" s="0" t="s">
        <v>811</v>
      </c>
      <c r="B1290" s="6" t="n">
        <v>40885.6625</v>
      </c>
      <c r="C1290" s="0" t="s">
        <v>41</v>
      </c>
      <c r="D1290" s="0" t="s">
        <v>336</v>
      </c>
      <c r="E1290" s="0" t="n">
        <v>8</v>
      </c>
      <c r="F1290" s="0" t="n">
        <v>1.95</v>
      </c>
      <c r="G1290" s="7" t="str">
        <f aca="false">_xlfn.XLOOKUP(D1290,Catalog!$B$2:$B$4102,Catalog!$A$2:$A$4102,"NOT IN CATALOG")</f>
        <v>TV DINNER TRAY VINTAGE PAISLEY</v>
      </c>
      <c r="H1290" s="7" t="n">
        <f aca="false">_xlfn.IFNA(VLOOKUP(D1290,Catalog!$B$2:$C$4102,2,FALSE()),"")</f>
        <v>4.95</v>
      </c>
      <c r="I1290" s="7" t="str">
        <f aca="false">HLOOKUP(C1290,Regions!$B$1:$S$2,2,FALSE())</f>
        <v>EU</v>
      </c>
      <c r="J1290" s="7" t="n">
        <f aca="false">E1290*F1290</f>
        <v>15.6</v>
      </c>
      <c r="K1290" s="8" t="n">
        <f aca="false">IF(H1290="","",1-F1290/H1290)</f>
        <v>0.606060606060606</v>
      </c>
    </row>
    <row r="1291" customFormat="false" ht="15" hidden="false" customHeight="false" outlineLevel="0" collapsed="false">
      <c r="A1291" s="0" t="s">
        <v>811</v>
      </c>
      <c r="B1291" s="6" t="n">
        <v>40885.6625</v>
      </c>
      <c r="C1291" s="0" t="s">
        <v>41</v>
      </c>
      <c r="D1291" s="0" t="s">
        <v>337</v>
      </c>
      <c r="E1291" s="0" t="n">
        <v>4</v>
      </c>
      <c r="F1291" s="0" t="n">
        <v>3.95</v>
      </c>
      <c r="G1291" s="7" t="str">
        <f aca="false">_xlfn.XLOOKUP(D1291,Catalog!$B$2:$B$4102,Catalog!$A$2:$A$4102,"NOT IN CATALOG")</f>
        <v>SEWING BOX RETROSPOT DESIGN</v>
      </c>
      <c r="H1291" s="7" t="n">
        <f aca="false">_xlfn.IFNA(VLOOKUP(D1291,Catalog!$B$2:$C$4102,2,FALSE()),"")</f>
        <v>16.95</v>
      </c>
      <c r="I1291" s="7" t="str">
        <f aca="false">HLOOKUP(C1291,Regions!$B$1:$S$2,2,FALSE())</f>
        <v>EU</v>
      </c>
      <c r="J1291" s="7" t="n">
        <f aca="false">E1291*F1291</f>
        <v>15.8</v>
      </c>
      <c r="K1291" s="8" t="n">
        <f aca="false">IF(H1291="","",1-F1291/H1291)</f>
        <v>0.766961651917404</v>
      </c>
    </row>
    <row r="1292" customFormat="false" ht="15" hidden="false" customHeight="false" outlineLevel="0" collapsed="false">
      <c r="A1292" s="0" t="s">
        <v>811</v>
      </c>
      <c r="B1292" s="6" t="n">
        <v>40885.6625</v>
      </c>
      <c r="C1292" s="0" t="s">
        <v>41</v>
      </c>
      <c r="D1292" s="0" t="s">
        <v>818</v>
      </c>
      <c r="E1292" s="0" t="n">
        <v>36</v>
      </c>
      <c r="F1292" s="0" t="n">
        <v>0.39</v>
      </c>
      <c r="G1292" s="7" t="str">
        <f aca="false">_xlfn.XLOOKUP(D1292,Catalog!$B$2:$B$4102,Catalog!$A$2:$A$4102,"NOT IN CATALOG")</f>
        <v>CERAMIC LOVE HEART MONEY BANK</v>
      </c>
      <c r="H1292" s="7" t="n">
        <f aca="false">_xlfn.IFNA(VLOOKUP(D1292,Catalog!$B$2:$C$4102,2,FALSE()),"")</f>
        <v>1.45</v>
      </c>
      <c r="I1292" s="7" t="str">
        <f aca="false">HLOOKUP(C1292,Regions!$B$1:$S$2,2,FALSE())</f>
        <v>EU</v>
      </c>
      <c r="J1292" s="7" t="n">
        <f aca="false">E1292*F1292</f>
        <v>14.04</v>
      </c>
      <c r="K1292" s="8" t="n">
        <f aca="false">IF(H1292="","",1-F1292/H1292)</f>
        <v>0.731034482758621</v>
      </c>
    </row>
    <row r="1293" customFormat="false" ht="15" hidden="false" customHeight="false" outlineLevel="0" collapsed="false">
      <c r="A1293" s="0" t="s">
        <v>811</v>
      </c>
      <c r="B1293" s="6" t="n">
        <v>40885.6625</v>
      </c>
      <c r="C1293" s="0" t="s">
        <v>41</v>
      </c>
      <c r="D1293" s="0" t="s">
        <v>568</v>
      </c>
      <c r="E1293" s="0" t="n">
        <v>12</v>
      </c>
      <c r="F1293" s="0" t="n">
        <v>1.25</v>
      </c>
      <c r="G1293" s="7" t="str">
        <f aca="false">_xlfn.XLOOKUP(D1293,Catalog!$B$2:$B$4102,Catalog!$A$2:$A$4102,"NOT IN CATALOG")</f>
        <v>NOT IN CATALOG</v>
      </c>
      <c r="H1293" s="7" t="str">
        <f aca="false">_xlfn.IFNA(VLOOKUP(D1293,Catalog!$B$2:$C$4102,2,FALSE()),"")</f>
        <v/>
      </c>
      <c r="I1293" s="7" t="str">
        <f aca="false">HLOOKUP(C1293,Regions!$B$1:$S$2,2,FALSE())</f>
        <v>EU</v>
      </c>
      <c r="J1293" s="7" t="n">
        <f aca="false">E1293*F1293</f>
        <v>15</v>
      </c>
      <c r="K1293" s="8" t="str">
        <f aca="false">IF(H1293="","",1-F1293/H1293)</f>
        <v/>
      </c>
    </row>
    <row r="1294" customFormat="false" ht="15" hidden="false" customHeight="false" outlineLevel="0" collapsed="false">
      <c r="A1294" s="0" t="s">
        <v>811</v>
      </c>
      <c r="B1294" s="6" t="n">
        <v>40885.6625</v>
      </c>
      <c r="C1294" s="0" t="s">
        <v>41</v>
      </c>
      <c r="D1294" s="0" t="s">
        <v>338</v>
      </c>
      <c r="E1294" s="0" t="n">
        <v>12</v>
      </c>
      <c r="F1294" s="0" t="n">
        <v>1.95</v>
      </c>
      <c r="G1294" s="7" t="str">
        <f aca="false">_xlfn.XLOOKUP(D1294,Catalog!$B$2:$B$4102,Catalog!$A$2:$A$4102,"NOT IN CATALOG")</f>
        <v>NOT IN CATALOG</v>
      </c>
      <c r="H1294" s="7" t="str">
        <f aca="false">_xlfn.IFNA(VLOOKUP(D1294,Catalog!$B$2:$C$4102,2,FALSE()),"")</f>
        <v/>
      </c>
      <c r="I1294" s="7" t="str">
        <f aca="false">HLOOKUP(C1294,Regions!$B$1:$S$2,2,FALSE())</f>
        <v>EU</v>
      </c>
      <c r="J1294" s="7" t="n">
        <f aca="false">E1294*F1294</f>
        <v>23.4</v>
      </c>
      <c r="K1294" s="8" t="str">
        <f aca="false">IF(H1294="","",1-F1294/H1294)</f>
        <v/>
      </c>
    </row>
    <row r="1295" customFormat="false" ht="15" hidden="false" customHeight="false" outlineLevel="0" collapsed="false">
      <c r="A1295" s="0" t="s">
        <v>811</v>
      </c>
      <c r="B1295" s="6" t="n">
        <v>40885.6625</v>
      </c>
      <c r="C1295" s="0" t="s">
        <v>41</v>
      </c>
      <c r="D1295" s="0" t="s">
        <v>819</v>
      </c>
      <c r="E1295" s="0" t="n">
        <v>12</v>
      </c>
      <c r="F1295" s="0" t="n">
        <v>0.79</v>
      </c>
      <c r="G1295" s="7" t="str">
        <f aca="false">_xlfn.XLOOKUP(D1295,Catalog!$B$2:$B$4102,Catalog!$A$2:$A$4102,"NOT IN CATALOG")</f>
        <v>MAKE YOUR OWN FLOWERPOWER CARD KIT</v>
      </c>
      <c r="H1295" s="7" t="n">
        <f aca="false">_xlfn.IFNA(VLOOKUP(D1295,Catalog!$B$2:$C$4102,2,FALSE()),"")</f>
        <v>2.95</v>
      </c>
      <c r="I1295" s="7" t="str">
        <f aca="false">HLOOKUP(C1295,Regions!$B$1:$S$2,2,FALSE())</f>
        <v>EU</v>
      </c>
      <c r="J1295" s="7" t="n">
        <f aca="false">E1295*F1295</f>
        <v>9.48</v>
      </c>
      <c r="K1295" s="8" t="n">
        <f aca="false">IF(H1295="","",1-F1295/H1295)</f>
        <v>0.732203389830509</v>
      </c>
    </row>
    <row r="1296" customFormat="false" ht="15" hidden="false" customHeight="false" outlineLevel="0" collapsed="false">
      <c r="A1296" s="0" t="s">
        <v>811</v>
      </c>
      <c r="B1296" s="6" t="n">
        <v>40885.6625</v>
      </c>
      <c r="C1296" s="0" t="s">
        <v>41</v>
      </c>
      <c r="D1296" s="0" t="s">
        <v>820</v>
      </c>
      <c r="E1296" s="0" t="n">
        <v>12</v>
      </c>
      <c r="F1296" s="0" t="n">
        <v>0.79</v>
      </c>
      <c r="G1296" s="7" t="str">
        <f aca="false">_xlfn.XLOOKUP(D1296,Catalog!$B$2:$B$4102,Catalog!$A$2:$A$4102,"NOT IN CATALOG")</f>
        <v>MAKE YOUR OWN MONSOON CARD KIT</v>
      </c>
      <c r="H1296" s="7" t="n">
        <f aca="false">_xlfn.IFNA(VLOOKUP(D1296,Catalog!$B$2:$C$4102,2,FALSE()),"")</f>
        <v>2.95</v>
      </c>
      <c r="I1296" s="7" t="str">
        <f aca="false">HLOOKUP(C1296,Regions!$B$1:$S$2,2,FALSE())</f>
        <v>EU</v>
      </c>
      <c r="J1296" s="7" t="n">
        <f aca="false">E1296*F1296</f>
        <v>9.48</v>
      </c>
      <c r="K1296" s="8" t="n">
        <f aca="false">IF(H1296="","",1-F1296/H1296)</f>
        <v>0.732203389830509</v>
      </c>
    </row>
    <row r="1297" customFormat="false" ht="15" hidden="false" customHeight="false" outlineLevel="0" collapsed="false">
      <c r="A1297" s="0" t="s">
        <v>811</v>
      </c>
      <c r="B1297" s="6" t="n">
        <v>40885.6625</v>
      </c>
      <c r="C1297" s="0" t="s">
        <v>41</v>
      </c>
      <c r="D1297" s="0" t="s">
        <v>821</v>
      </c>
      <c r="E1297" s="0" t="n">
        <v>12</v>
      </c>
      <c r="F1297" s="0" t="n">
        <v>0.79</v>
      </c>
      <c r="G1297" s="7" t="str">
        <f aca="false">_xlfn.XLOOKUP(D1297,Catalog!$B$2:$B$4102,Catalog!$A$2:$A$4102,"NOT IN CATALOG")</f>
        <v>MAKE YOUR OWN PLAYTIME CARD KIT</v>
      </c>
      <c r="H1297" s="7" t="n">
        <f aca="false">_xlfn.IFNA(VLOOKUP(D1297,Catalog!$B$2:$C$4102,2,FALSE()),"")</f>
        <v>2.95</v>
      </c>
      <c r="I1297" s="7" t="str">
        <f aca="false">HLOOKUP(C1297,Regions!$B$1:$S$2,2,FALSE())</f>
        <v>EU</v>
      </c>
      <c r="J1297" s="7" t="n">
        <f aca="false">E1297*F1297</f>
        <v>9.48</v>
      </c>
      <c r="K1297" s="8" t="n">
        <f aca="false">IF(H1297="","",1-F1297/H1297)</f>
        <v>0.732203389830509</v>
      </c>
    </row>
    <row r="1298" customFormat="false" ht="15" hidden="false" customHeight="false" outlineLevel="0" collapsed="false">
      <c r="A1298" s="0" t="s">
        <v>811</v>
      </c>
      <c r="B1298" s="6" t="n">
        <v>40885.6625</v>
      </c>
      <c r="C1298" s="0" t="s">
        <v>41</v>
      </c>
      <c r="D1298" s="0" t="s">
        <v>554</v>
      </c>
      <c r="E1298" s="0" t="n">
        <v>24</v>
      </c>
      <c r="F1298" s="0" t="n">
        <v>0.39</v>
      </c>
      <c r="G1298" s="7" t="str">
        <f aca="false">_xlfn.XLOOKUP(D1298,Catalog!$B$2:$B$4102,Catalog!$A$2:$A$4102,"NOT IN CATALOG")</f>
        <v>LARGE PURPLE BABUSHKA NOTEBOOK</v>
      </c>
      <c r="H1298" s="7" t="n">
        <f aca="false">_xlfn.IFNA(VLOOKUP(D1298,Catalog!$B$2:$C$4102,2,FALSE()),"")</f>
        <v>1.25</v>
      </c>
      <c r="I1298" s="7" t="str">
        <f aca="false">HLOOKUP(C1298,Regions!$B$1:$S$2,2,FALSE())</f>
        <v>EU</v>
      </c>
      <c r="J1298" s="7" t="n">
        <f aca="false">E1298*F1298</f>
        <v>9.36</v>
      </c>
      <c r="K1298" s="8" t="n">
        <f aca="false">IF(H1298="","",1-F1298/H1298)</f>
        <v>0.688</v>
      </c>
    </row>
    <row r="1299" customFormat="false" ht="15" hidden="false" customHeight="false" outlineLevel="0" collapsed="false">
      <c r="A1299" s="0" t="s">
        <v>811</v>
      </c>
      <c r="B1299" s="6" t="n">
        <v>40885.6625</v>
      </c>
      <c r="C1299" s="0" t="s">
        <v>41</v>
      </c>
      <c r="D1299" s="0" t="s">
        <v>555</v>
      </c>
      <c r="E1299" s="0" t="n">
        <v>24</v>
      </c>
      <c r="F1299" s="0" t="n">
        <v>0.21</v>
      </c>
      <c r="G1299" s="7" t="str">
        <f aca="false">_xlfn.XLOOKUP(D1299,Catalog!$B$2:$B$4102,Catalog!$A$2:$A$4102,"NOT IN CATALOG")</f>
        <v>SMALL PURPLE BABUSHKA NOTEBOOK</v>
      </c>
      <c r="H1299" s="7" t="n">
        <f aca="false">_xlfn.IFNA(VLOOKUP(D1299,Catalog!$B$2:$C$4102,2,FALSE()),"")</f>
        <v>0.85</v>
      </c>
      <c r="I1299" s="7" t="str">
        <f aca="false">HLOOKUP(C1299,Regions!$B$1:$S$2,2,FALSE())</f>
        <v>EU</v>
      </c>
      <c r="J1299" s="7" t="n">
        <f aca="false">E1299*F1299</f>
        <v>5.04</v>
      </c>
      <c r="K1299" s="8" t="n">
        <f aca="false">IF(H1299="","",1-F1299/H1299)</f>
        <v>0.752941176470588</v>
      </c>
    </row>
    <row r="1300" customFormat="false" ht="15" hidden="false" customHeight="false" outlineLevel="0" collapsed="false">
      <c r="A1300" s="0" t="s">
        <v>811</v>
      </c>
      <c r="B1300" s="6" t="n">
        <v>40885.6625</v>
      </c>
      <c r="C1300" s="0" t="s">
        <v>41</v>
      </c>
      <c r="D1300" s="0" t="s">
        <v>146</v>
      </c>
      <c r="E1300" s="0" t="n">
        <v>12</v>
      </c>
      <c r="F1300" s="0" t="n">
        <v>1.25</v>
      </c>
      <c r="G1300" s="7" t="str">
        <f aca="false">_xlfn.XLOOKUP(D1300,Catalog!$B$2:$B$4102,Catalog!$A$2:$A$4102,"NOT IN CATALOG")</f>
        <v>NOT IN CATALOG</v>
      </c>
      <c r="H1300" s="7" t="str">
        <f aca="false">_xlfn.IFNA(VLOOKUP(D1300,Catalog!$B$2:$C$4102,2,FALSE()),"")</f>
        <v/>
      </c>
      <c r="I1300" s="7" t="str">
        <f aca="false">HLOOKUP(C1300,Regions!$B$1:$S$2,2,FALSE())</f>
        <v>EU</v>
      </c>
      <c r="J1300" s="7" t="n">
        <f aca="false">E1300*F1300</f>
        <v>15</v>
      </c>
      <c r="K1300" s="8" t="str">
        <f aca="false">IF(H1300="","",1-F1300/H1300)</f>
        <v/>
      </c>
    </row>
    <row r="1301" customFormat="false" ht="15" hidden="false" customHeight="false" outlineLevel="0" collapsed="false">
      <c r="A1301" s="0" t="s">
        <v>811</v>
      </c>
      <c r="B1301" s="6" t="n">
        <v>40885.6625</v>
      </c>
      <c r="C1301" s="0" t="s">
        <v>41</v>
      </c>
      <c r="D1301" s="0" t="s">
        <v>590</v>
      </c>
      <c r="E1301" s="0" t="n">
        <v>18</v>
      </c>
      <c r="F1301" s="0" t="n">
        <v>1.25</v>
      </c>
      <c r="G1301" s="7" t="str">
        <f aca="false">_xlfn.XLOOKUP(D1301,Catalog!$B$2:$B$4102,Catalog!$A$2:$A$4102,"NOT IN CATALOG")</f>
        <v>NOT IN CATALOG</v>
      </c>
      <c r="H1301" s="7" t="str">
        <f aca="false">_xlfn.IFNA(VLOOKUP(D1301,Catalog!$B$2:$C$4102,2,FALSE()),"")</f>
        <v/>
      </c>
      <c r="I1301" s="7" t="str">
        <f aca="false">HLOOKUP(C1301,Regions!$B$1:$S$2,2,FALSE())</f>
        <v>EU</v>
      </c>
      <c r="J1301" s="7" t="n">
        <f aca="false">E1301*F1301</f>
        <v>22.5</v>
      </c>
      <c r="K1301" s="8" t="str">
        <f aca="false">IF(H1301="","",1-F1301/H1301)</f>
        <v/>
      </c>
    </row>
    <row r="1302" customFormat="false" ht="15" hidden="false" customHeight="false" outlineLevel="0" collapsed="false">
      <c r="A1302" s="0" t="s">
        <v>811</v>
      </c>
      <c r="B1302" s="6" t="n">
        <v>40885.6625</v>
      </c>
      <c r="C1302" s="0" t="s">
        <v>41</v>
      </c>
      <c r="D1302" s="0" t="s">
        <v>822</v>
      </c>
      <c r="E1302" s="0" t="n">
        <v>12</v>
      </c>
      <c r="F1302" s="0" t="n">
        <v>1.25</v>
      </c>
      <c r="G1302" s="7" t="str">
        <f aca="false">_xlfn.XLOOKUP(D1302,Catalog!$B$2:$B$4102,Catalog!$A$2:$A$4102,"NOT IN CATALOG")</f>
        <v>NOT IN CATALOG</v>
      </c>
      <c r="H1302" s="7" t="str">
        <f aca="false">_xlfn.IFNA(VLOOKUP(D1302,Catalog!$B$2:$C$4102,2,FALSE()),"")</f>
        <v/>
      </c>
      <c r="I1302" s="7" t="str">
        <f aca="false">HLOOKUP(C1302,Regions!$B$1:$S$2,2,FALSE())</f>
        <v>EU</v>
      </c>
      <c r="J1302" s="7" t="n">
        <f aca="false">E1302*F1302</f>
        <v>15</v>
      </c>
      <c r="K1302" s="8" t="str">
        <f aca="false">IF(H1302="","",1-F1302/H1302)</f>
        <v/>
      </c>
    </row>
    <row r="1303" customFormat="false" ht="15" hidden="false" customHeight="false" outlineLevel="0" collapsed="false">
      <c r="A1303" s="0" t="s">
        <v>811</v>
      </c>
      <c r="B1303" s="6" t="n">
        <v>40885.6625</v>
      </c>
      <c r="C1303" s="0" t="s">
        <v>41</v>
      </c>
      <c r="D1303" s="0" t="s">
        <v>588</v>
      </c>
      <c r="E1303" s="0" t="n">
        <v>12</v>
      </c>
      <c r="F1303" s="0" t="n">
        <v>0.39</v>
      </c>
      <c r="G1303" s="7" t="str">
        <f aca="false">_xlfn.XLOOKUP(D1303,Catalog!$B$2:$B$4102,Catalog!$A$2:$A$4102,"NOT IN CATALOG")</f>
        <v>NOT IN CATALOG</v>
      </c>
      <c r="H1303" s="7" t="str">
        <f aca="false">_xlfn.IFNA(VLOOKUP(D1303,Catalog!$B$2:$C$4102,2,FALSE()),"")</f>
        <v/>
      </c>
      <c r="I1303" s="7" t="str">
        <f aca="false">HLOOKUP(C1303,Regions!$B$1:$S$2,2,FALSE())</f>
        <v>EU</v>
      </c>
      <c r="J1303" s="7" t="n">
        <f aca="false">E1303*F1303</f>
        <v>4.68</v>
      </c>
      <c r="K1303" s="8" t="str">
        <f aca="false">IF(H1303="","",1-F1303/H1303)</f>
        <v/>
      </c>
    </row>
    <row r="1304" customFormat="false" ht="15" hidden="false" customHeight="false" outlineLevel="0" collapsed="false">
      <c r="A1304" s="0" t="s">
        <v>811</v>
      </c>
      <c r="B1304" s="6" t="n">
        <v>40885.6625</v>
      </c>
      <c r="C1304" s="0" t="s">
        <v>41</v>
      </c>
      <c r="D1304" s="0" t="s">
        <v>823</v>
      </c>
      <c r="E1304" s="0" t="n">
        <v>12</v>
      </c>
      <c r="F1304" s="0" t="n">
        <v>0.79</v>
      </c>
      <c r="G1304" s="7" t="str">
        <f aca="false">_xlfn.XLOOKUP(D1304,Catalog!$B$2:$B$4102,Catalog!$A$2:$A$4102,"NOT IN CATALOG")</f>
        <v>IVORY PILLAR CANDLE SILVER FLOCK</v>
      </c>
      <c r="H1304" s="7" t="n">
        <f aca="false">_xlfn.IFNA(VLOOKUP(D1304,Catalog!$B$2:$C$4102,2,FALSE()),"")</f>
        <v>2.95</v>
      </c>
      <c r="I1304" s="7" t="str">
        <f aca="false">HLOOKUP(C1304,Regions!$B$1:$S$2,2,FALSE())</f>
        <v>EU</v>
      </c>
      <c r="J1304" s="7" t="n">
        <f aca="false">E1304*F1304</f>
        <v>9.48</v>
      </c>
      <c r="K1304" s="8" t="n">
        <f aca="false">IF(H1304="","",1-F1304/H1304)</f>
        <v>0.732203389830509</v>
      </c>
    </row>
    <row r="1305" customFormat="false" ht="15" hidden="false" customHeight="false" outlineLevel="0" collapsed="false">
      <c r="A1305" s="0" t="s">
        <v>811</v>
      </c>
      <c r="B1305" s="6" t="n">
        <v>40885.6625</v>
      </c>
      <c r="C1305" s="0" t="s">
        <v>41</v>
      </c>
      <c r="D1305" s="0" t="s">
        <v>344</v>
      </c>
      <c r="E1305" s="0" t="n">
        <v>12</v>
      </c>
      <c r="F1305" s="0" t="n">
        <v>1.25</v>
      </c>
      <c r="G1305" s="7" t="str">
        <f aca="false">_xlfn.XLOOKUP(D1305,Catalog!$B$2:$B$4102,Catalog!$A$2:$A$4102,"NOT IN CATALOG")</f>
        <v>CUPID DESIGN SCENTED CANDLES</v>
      </c>
      <c r="H1305" s="7" t="n">
        <f aca="false">_xlfn.IFNA(VLOOKUP(D1305,Catalog!$B$2:$C$4102,2,FALSE()),"")</f>
        <v>2.55</v>
      </c>
      <c r="I1305" s="7" t="str">
        <f aca="false">HLOOKUP(C1305,Regions!$B$1:$S$2,2,FALSE())</f>
        <v>EU</v>
      </c>
      <c r="J1305" s="7" t="n">
        <f aca="false">E1305*F1305</f>
        <v>15</v>
      </c>
      <c r="K1305" s="8" t="n">
        <f aca="false">IF(H1305="","",1-F1305/H1305)</f>
        <v>0.509803921568627</v>
      </c>
    </row>
    <row r="1306" customFormat="false" ht="15" hidden="false" customHeight="false" outlineLevel="0" collapsed="false">
      <c r="A1306" s="0" t="s">
        <v>811</v>
      </c>
      <c r="B1306" s="6" t="n">
        <v>40885.6625</v>
      </c>
      <c r="C1306" s="0" t="s">
        <v>41</v>
      </c>
      <c r="D1306" s="0" t="s">
        <v>343</v>
      </c>
      <c r="E1306" s="0" t="n">
        <v>24</v>
      </c>
      <c r="F1306" s="0" t="n">
        <v>1.25</v>
      </c>
      <c r="G1306" s="7" t="str">
        <f aca="false">_xlfn.XLOOKUP(D1306,Catalog!$B$2:$B$4102,Catalog!$A$2:$A$4102,"NOT IN CATALOG")</f>
        <v>CHARLIE+LOLA RED HOT WATER BOTTLE</v>
      </c>
      <c r="H1306" s="7" t="n">
        <f aca="false">_xlfn.IFNA(VLOOKUP(D1306,Catalog!$B$2:$C$4102,2,FALSE()),"")</f>
        <v>4.65</v>
      </c>
      <c r="I1306" s="7" t="str">
        <f aca="false">HLOOKUP(C1306,Regions!$B$1:$S$2,2,FALSE())</f>
        <v>EU</v>
      </c>
      <c r="J1306" s="7" t="n">
        <f aca="false">E1306*F1306</f>
        <v>30</v>
      </c>
      <c r="K1306" s="8" t="n">
        <f aca="false">IF(H1306="","",1-F1306/H1306)</f>
        <v>0.731182795698925</v>
      </c>
    </row>
    <row r="1307" customFormat="false" ht="15" hidden="false" customHeight="false" outlineLevel="0" collapsed="false">
      <c r="A1307" s="0" t="s">
        <v>811</v>
      </c>
      <c r="B1307" s="6" t="n">
        <v>40885.6625</v>
      </c>
      <c r="C1307" s="0" t="s">
        <v>41</v>
      </c>
      <c r="D1307" s="0" t="s">
        <v>824</v>
      </c>
      <c r="E1307" s="0" t="n">
        <v>12</v>
      </c>
      <c r="F1307" s="0" t="n">
        <v>1.25</v>
      </c>
      <c r="G1307" s="7" t="str">
        <f aca="false">_xlfn.XLOOKUP(D1307,Catalog!$B$2:$B$4102,Catalog!$A$2:$A$4102,"NOT IN CATALOG")</f>
        <v>SET OF 4 FAIRY CAKE PLACEMATS</v>
      </c>
      <c r="H1307" s="7" t="n">
        <f aca="false">_xlfn.IFNA(VLOOKUP(D1307,Catalog!$B$2:$C$4102,2,FALSE()),"")</f>
        <v>3.75</v>
      </c>
      <c r="I1307" s="7" t="str">
        <f aca="false">HLOOKUP(C1307,Regions!$B$1:$S$2,2,FALSE())</f>
        <v>EU</v>
      </c>
      <c r="J1307" s="7" t="n">
        <f aca="false">E1307*F1307</f>
        <v>15</v>
      </c>
      <c r="K1307" s="8" t="n">
        <f aca="false">IF(H1307="","",1-F1307/H1307)</f>
        <v>0.666666666666667</v>
      </c>
    </row>
    <row r="1308" customFormat="false" ht="15" hidden="false" customHeight="false" outlineLevel="0" collapsed="false">
      <c r="A1308" s="0" t="s">
        <v>811</v>
      </c>
      <c r="B1308" s="6" t="n">
        <v>40885.6625</v>
      </c>
      <c r="C1308" s="0" t="s">
        <v>41</v>
      </c>
      <c r="D1308" s="0" t="s">
        <v>825</v>
      </c>
      <c r="E1308" s="0" t="n">
        <v>12</v>
      </c>
      <c r="F1308" s="0" t="n">
        <v>1.95</v>
      </c>
      <c r="G1308" s="7" t="str">
        <f aca="false">_xlfn.XLOOKUP(D1308,Catalog!$B$2:$B$4102,Catalog!$A$2:$A$4102,"NOT IN CATALOG")</f>
        <v>PINK JEWELLED MIRROR TRINKET TRAY</v>
      </c>
      <c r="H1308" s="7" t="n">
        <f aca="false">_xlfn.IFNA(VLOOKUP(D1308,Catalog!$B$2:$C$4102,2,FALSE()),"")</f>
        <v>8.47</v>
      </c>
      <c r="I1308" s="7" t="str">
        <f aca="false">HLOOKUP(C1308,Regions!$B$1:$S$2,2,FALSE())</f>
        <v>EU</v>
      </c>
      <c r="J1308" s="7" t="n">
        <f aca="false">E1308*F1308</f>
        <v>23.4</v>
      </c>
      <c r="K1308" s="8" t="n">
        <f aca="false">IF(H1308="","",1-F1308/H1308)</f>
        <v>0.769775678866588</v>
      </c>
    </row>
    <row r="1309" customFormat="false" ht="15" hidden="false" customHeight="false" outlineLevel="0" collapsed="false">
      <c r="A1309" s="0" t="s">
        <v>811</v>
      </c>
      <c r="B1309" s="6" t="n">
        <v>40885.6625</v>
      </c>
      <c r="C1309" s="0" t="s">
        <v>41</v>
      </c>
      <c r="D1309" s="0" t="s">
        <v>593</v>
      </c>
      <c r="E1309" s="0" t="n">
        <v>48</v>
      </c>
      <c r="F1309" s="0" t="n">
        <v>0.39</v>
      </c>
      <c r="G1309" s="7" t="str">
        <f aca="false">_xlfn.XLOOKUP(D1309,Catalog!$B$2:$B$4102,Catalog!$A$2:$A$4102,"NOT IN CATALOG")</f>
        <v>DANISH ROSE DECORATIVE PLATE</v>
      </c>
      <c r="H1309" s="7" t="n">
        <f aca="false">_xlfn.IFNA(VLOOKUP(D1309,Catalog!$B$2:$C$4102,2,FALSE()),"")</f>
        <v>2.1</v>
      </c>
      <c r="I1309" s="7" t="str">
        <f aca="false">HLOOKUP(C1309,Regions!$B$1:$S$2,2,FALSE())</f>
        <v>EU</v>
      </c>
      <c r="J1309" s="7" t="n">
        <f aca="false">E1309*F1309</f>
        <v>18.72</v>
      </c>
      <c r="K1309" s="8" t="n">
        <f aca="false">IF(H1309="","",1-F1309/H1309)</f>
        <v>0.814285714285714</v>
      </c>
    </row>
    <row r="1310" customFormat="false" ht="15" hidden="false" customHeight="false" outlineLevel="0" collapsed="false">
      <c r="A1310" s="0" t="s">
        <v>811</v>
      </c>
      <c r="B1310" s="6" t="n">
        <v>40885.6625</v>
      </c>
      <c r="C1310" s="0" t="s">
        <v>41</v>
      </c>
      <c r="D1310" s="0" t="s">
        <v>570</v>
      </c>
      <c r="E1310" s="0" t="n">
        <v>16</v>
      </c>
      <c r="F1310" s="0" t="n">
        <v>0.79</v>
      </c>
      <c r="G1310" s="7" t="str">
        <f aca="false">_xlfn.XLOOKUP(D1310,Catalog!$B$2:$B$4102,Catalog!$A$2:$A$4102,"NOT IN CATALOG")</f>
        <v>DANISH ROSE TRINKET TRAYS</v>
      </c>
      <c r="H1310" s="7" t="n">
        <f aca="false">_xlfn.IFNA(VLOOKUP(D1310,Catalog!$B$2:$C$4102,2,FALSE()),"")</f>
        <v>5.95</v>
      </c>
      <c r="I1310" s="7" t="str">
        <f aca="false">HLOOKUP(C1310,Regions!$B$1:$S$2,2,FALSE())</f>
        <v>EU</v>
      </c>
      <c r="J1310" s="7" t="n">
        <f aca="false">E1310*F1310</f>
        <v>12.64</v>
      </c>
      <c r="K1310" s="8" t="n">
        <f aca="false">IF(H1310="","",1-F1310/H1310)</f>
        <v>0.867226890756303</v>
      </c>
    </row>
    <row r="1311" customFormat="false" ht="15" hidden="false" customHeight="false" outlineLevel="0" collapsed="false">
      <c r="A1311" s="0" t="s">
        <v>811</v>
      </c>
      <c r="B1311" s="6" t="n">
        <v>40885.6625</v>
      </c>
      <c r="C1311" s="0" t="s">
        <v>41</v>
      </c>
      <c r="D1311" s="0" t="s">
        <v>345</v>
      </c>
      <c r="E1311" s="0" t="n">
        <v>16</v>
      </c>
      <c r="F1311" s="0" t="n">
        <v>0.79</v>
      </c>
      <c r="G1311" s="7" t="str">
        <f aca="false">_xlfn.XLOOKUP(D1311,Catalog!$B$2:$B$4102,Catalog!$A$2:$A$4102,"NOT IN CATALOG")</f>
        <v>DANISH ROSE ROUND SEWING BOX</v>
      </c>
      <c r="H1311" s="7" t="n">
        <f aca="false">_xlfn.IFNA(VLOOKUP(D1311,Catalog!$B$2:$C$4102,2,FALSE()),"")</f>
        <v>4.25</v>
      </c>
      <c r="I1311" s="7" t="str">
        <f aca="false">HLOOKUP(C1311,Regions!$B$1:$S$2,2,FALSE())</f>
        <v>EU</v>
      </c>
      <c r="J1311" s="7" t="n">
        <f aca="false">E1311*F1311</f>
        <v>12.64</v>
      </c>
      <c r="K1311" s="8" t="n">
        <f aca="false">IF(H1311="","",1-F1311/H1311)</f>
        <v>0.814117647058824</v>
      </c>
    </row>
    <row r="1312" customFormat="false" ht="15" hidden="false" customHeight="false" outlineLevel="0" collapsed="false">
      <c r="A1312" s="0" t="s">
        <v>811</v>
      </c>
      <c r="B1312" s="6" t="n">
        <v>40885.6625</v>
      </c>
      <c r="C1312" s="0" t="s">
        <v>41</v>
      </c>
      <c r="D1312" s="0" t="s">
        <v>826</v>
      </c>
      <c r="E1312" s="0" t="n">
        <v>24</v>
      </c>
      <c r="F1312" s="0" t="n">
        <v>0.19</v>
      </c>
      <c r="G1312" s="7" t="str">
        <f aca="false">_xlfn.XLOOKUP(D1312,Catalog!$B$2:$B$4102,Catalog!$A$2:$A$4102,"NOT IN CATALOG")</f>
        <v>DANISH ROSE DELUXE COASTER</v>
      </c>
      <c r="H1312" s="7" t="n">
        <f aca="false">_xlfn.IFNA(VLOOKUP(D1312,Catalog!$B$2:$C$4102,2,FALSE()),"")</f>
        <v>0.85</v>
      </c>
      <c r="I1312" s="7" t="str">
        <f aca="false">HLOOKUP(C1312,Regions!$B$1:$S$2,2,FALSE())</f>
        <v>EU</v>
      </c>
      <c r="J1312" s="7" t="n">
        <f aca="false">E1312*F1312</f>
        <v>4.56</v>
      </c>
      <c r="K1312" s="8" t="n">
        <f aca="false">IF(H1312="","",1-F1312/H1312)</f>
        <v>0.776470588235294</v>
      </c>
    </row>
    <row r="1313" customFormat="false" ht="15" hidden="false" customHeight="false" outlineLevel="0" collapsed="false">
      <c r="A1313" s="0" t="s">
        <v>811</v>
      </c>
      <c r="B1313" s="6" t="n">
        <v>40885.6625</v>
      </c>
      <c r="C1313" s="0" t="s">
        <v>41</v>
      </c>
      <c r="D1313" s="0" t="s">
        <v>827</v>
      </c>
      <c r="E1313" s="0" t="n">
        <v>2</v>
      </c>
      <c r="F1313" s="0" t="n">
        <v>8.5</v>
      </c>
      <c r="G1313" s="7" t="str">
        <f aca="false">_xlfn.XLOOKUP(D1313,Catalog!$B$2:$B$4102,Catalog!$A$2:$A$4102,"NOT IN CATALOG")</f>
        <v>3 HOOK PHOTO SHELF ANTIQUE WHITE</v>
      </c>
      <c r="H1313" s="7" t="n">
        <f aca="false">_xlfn.IFNA(VLOOKUP(D1313,Catalog!$B$2:$C$4102,2,FALSE()),"")</f>
        <v>8.5</v>
      </c>
      <c r="I1313" s="7" t="str">
        <f aca="false">HLOOKUP(C1313,Regions!$B$1:$S$2,2,FALSE())</f>
        <v>EU</v>
      </c>
      <c r="J1313" s="7" t="n">
        <f aca="false">E1313*F1313</f>
        <v>17</v>
      </c>
      <c r="K1313" s="8" t="n">
        <f aca="false">IF(H1313="","",1-F1313/H1313)</f>
        <v>0</v>
      </c>
    </row>
    <row r="1314" customFormat="false" ht="15" hidden="false" customHeight="false" outlineLevel="0" collapsed="false">
      <c r="A1314" s="0" t="s">
        <v>811</v>
      </c>
      <c r="B1314" s="6" t="n">
        <v>40885.6625</v>
      </c>
      <c r="C1314" s="0" t="s">
        <v>41</v>
      </c>
      <c r="D1314" s="0" t="s">
        <v>77</v>
      </c>
      <c r="E1314" s="0" t="n">
        <v>3</v>
      </c>
      <c r="F1314" s="0" t="n">
        <v>4.95</v>
      </c>
      <c r="G1314" s="7" t="str">
        <f aca="false">_xlfn.XLOOKUP(D1314,Catalog!$B$2:$B$4102,Catalog!$A$2:$A$4102,"NOT IN CATALOG")</f>
        <v>BLUE COAT RACK PARIS FASHION</v>
      </c>
      <c r="H1314" s="7" t="n">
        <f aca="false">_xlfn.IFNA(VLOOKUP(D1314,Catalog!$B$2:$C$4102,2,FALSE()),"")</f>
        <v>4.95</v>
      </c>
      <c r="I1314" s="7" t="str">
        <f aca="false">HLOOKUP(C1314,Regions!$B$1:$S$2,2,FALSE())</f>
        <v>EU</v>
      </c>
      <c r="J1314" s="7" t="n">
        <f aca="false">E1314*F1314</f>
        <v>14.85</v>
      </c>
      <c r="K1314" s="8" t="n">
        <f aca="false">IF(H1314="","",1-F1314/H1314)</f>
        <v>0</v>
      </c>
    </row>
    <row r="1315" customFormat="false" ht="15" hidden="false" customHeight="false" outlineLevel="0" collapsed="false">
      <c r="A1315" s="0" t="s">
        <v>811</v>
      </c>
      <c r="B1315" s="6" t="n">
        <v>40885.6625</v>
      </c>
      <c r="C1315" s="0" t="s">
        <v>41</v>
      </c>
      <c r="D1315" s="0" t="s">
        <v>469</v>
      </c>
      <c r="E1315" s="0" t="n">
        <v>10</v>
      </c>
      <c r="F1315" s="0" t="n">
        <v>1.25</v>
      </c>
      <c r="G1315" s="7" t="str">
        <f aca="false">_xlfn.XLOOKUP(D1315,Catalog!$B$2:$B$4102,Catalog!$A$2:$A$4102,"NOT IN CATALOG")</f>
        <v>RED SPOTTY SHOPPER BAG</v>
      </c>
      <c r="H1315" s="7" t="n">
        <f aca="false">_xlfn.IFNA(VLOOKUP(D1315,Catalog!$B$2:$C$4102,2,FALSE()),"")</f>
        <v>1.25</v>
      </c>
      <c r="I1315" s="7" t="str">
        <f aca="false">HLOOKUP(C1315,Regions!$B$1:$S$2,2,FALSE())</f>
        <v>EU</v>
      </c>
      <c r="J1315" s="7" t="n">
        <f aca="false">E1315*F1315</f>
        <v>12.5</v>
      </c>
      <c r="K1315" s="8" t="n">
        <f aca="false">IF(H1315="","",1-F1315/H1315)</f>
        <v>0</v>
      </c>
    </row>
    <row r="1316" customFormat="false" ht="15" hidden="false" customHeight="false" outlineLevel="0" collapsed="false">
      <c r="A1316" s="0" t="s">
        <v>811</v>
      </c>
      <c r="B1316" s="6" t="n">
        <v>40885.6625</v>
      </c>
      <c r="C1316" s="0" t="s">
        <v>41</v>
      </c>
      <c r="D1316" s="0" t="s">
        <v>828</v>
      </c>
      <c r="E1316" s="0" t="n">
        <v>18</v>
      </c>
      <c r="F1316" s="0" t="n">
        <v>0.79</v>
      </c>
      <c r="G1316" s="7" t="str">
        <f aca="false">_xlfn.XLOOKUP(D1316,Catalog!$B$2:$B$4102,Catalog!$A$2:$A$4102,"NOT IN CATALOG")</f>
        <v>FAIRY CAKE FLANNEL ASSORTED COLOUR</v>
      </c>
      <c r="H1316" s="7" t="n">
        <f aca="false">_xlfn.IFNA(VLOOKUP(D1316,Catalog!$B$2:$C$4102,2,FALSE()),"")</f>
        <v>2.55</v>
      </c>
      <c r="I1316" s="7" t="str">
        <f aca="false">HLOOKUP(C1316,Regions!$B$1:$S$2,2,FALSE())</f>
        <v>EU</v>
      </c>
      <c r="J1316" s="7" t="n">
        <f aca="false">E1316*F1316</f>
        <v>14.22</v>
      </c>
      <c r="K1316" s="8" t="n">
        <f aca="false">IF(H1316="","",1-F1316/H1316)</f>
        <v>0.690196078431373</v>
      </c>
    </row>
    <row r="1317" customFormat="false" ht="15" hidden="false" customHeight="false" outlineLevel="0" collapsed="false">
      <c r="A1317" s="0" t="s">
        <v>811</v>
      </c>
      <c r="B1317" s="6" t="n">
        <v>40885.6625</v>
      </c>
      <c r="C1317" s="0" t="s">
        <v>41</v>
      </c>
      <c r="D1317" s="0" t="s">
        <v>829</v>
      </c>
      <c r="E1317" s="0" t="n">
        <v>24</v>
      </c>
      <c r="F1317" s="0" t="n">
        <v>1.25</v>
      </c>
      <c r="G1317" s="7" t="str">
        <f aca="false">_xlfn.XLOOKUP(D1317,Catalog!$B$2:$B$4102,Catalog!$A$2:$A$4102,"NOT IN CATALOG")</f>
        <v>SWISS ROLL TOWEL, CHOCOLATE SPOTS</v>
      </c>
      <c r="H1317" s="7" t="n">
        <f aca="false">_xlfn.IFNA(VLOOKUP(D1317,Catalog!$B$2:$C$4102,2,FALSE()),"")</f>
        <v>2.95</v>
      </c>
      <c r="I1317" s="7" t="str">
        <f aca="false">HLOOKUP(C1317,Regions!$B$1:$S$2,2,FALSE())</f>
        <v>EU</v>
      </c>
      <c r="J1317" s="7" t="n">
        <f aca="false">E1317*F1317</f>
        <v>30</v>
      </c>
      <c r="K1317" s="8" t="n">
        <f aca="false">IF(H1317="","",1-F1317/H1317)</f>
        <v>0.576271186440678</v>
      </c>
    </row>
    <row r="1318" customFormat="false" ht="15" hidden="false" customHeight="false" outlineLevel="0" collapsed="false">
      <c r="A1318" s="0" t="s">
        <v>811</v>
      </c>
      <c r="B1318" s="6" t="n">
        <v>40885.6625</v>
      </c>
      <c r="C1318" s="0" t="s">
        <v>41</v>
      </c>
      <c r="D1318" s="0" t="s">
        <v>830</v>
      </c>
      <c r="E1318" s="0" t="n">
        <v>4</v>
      </c>
      <c r="F1318" s="0" t="n">
        <v>8.95</v>
      </c>
      <c r="G1318" s="7" t="str">
        <f aca="false">_xlfn.XLOOKUP(D1318,Catalog!$B$2:$B$4102,Catalog!$A$2:$A$4102,"NOT IN CATALOG")</f>
        <v>WOOD S/3 CABINET ANT WHITE FINISH</v>
      </c>
      <c r="H1318" s="7" t="n">
        <f aca="false">_xlfn.IFNA(VLOOKUP(D1318,Catalog!$B$2:$C$4102,2,FALSE()),"")</f>
        <v>7.95</v>
      </c>
      <c r="I1318" s="7" t="str">
        <f aca="false">HLOOKUP(C1318,Regions!$B$1:$S$2,2,FALSE())</f>
        <v>EU</v>
      </c>
      <c r="J1318" s="7" t="n">
        <f aca="false">E1318*F1318</f>
        <v>35.8</v>
      </c>
      <c r="K1318" s="8" t="n">
        <f aca="false">IF(H1318="","",1-F1318/H1318)</f>
        <v>-0.125786163522013</v>
      </c>
    </row>
    <row r="1319" customFormat="false" ht="15" hidden="false" customHeight="false" outlineLevel="0" collapsed="false">
      <c r="A1319" s="0" t="s">
        <v>811</v>
      </c>
      <c r="B1319" s="6" t="n">
        <v>40885.6625</v>
      </c>
      <c r="C1319" s="0" t="s">
        <v>41</v>
      </c>
      <c r="D1319" s="0" t="s">
        <v>831</v>
      </c>
      <c r="E1319" s="0" t="n">
        <v>4</v>
      </c>
      <c r="F1319" s="0" t="n">
        <v>3.75</v>
      </c>
      <c r="G1319" s="7" t="str">
        <f aca="false">_xlfn.XLOOKUP(D1319,Catalog!$B$2:$B$4102,Catalog!$A$2:$A$4102,"NOT IN CATALOG")</f>
        <v>SET OF 4 FAIRY CAKE PLACEMATS</v>
      </c>
      <c r="H1319" s="7" t="n">
        <f aca="false">_xlfn.IFNA(VLOOKUP(D1319,Catalog!$B$2:$C$4102,2,FALSE()),"")</f>
        <v>3.75</v>
      </c>
      <c r="I1319" s="7" t="str">
        <f aca="false">HLOOKUP(C1319,Regions!$B$1:$S$2,2,FALSE())</f>
        <v>EU</v>
      </c>
      <c r="J1319" s="7" t="n">
        <f aca="false">E1319*F1319</f>
        <v>15</v>
      </c>
      <c r="K1319" s="8" t="n">
        <f aca="false">IF(H1319="","",1-F1319/H1319)</f>
        <v>0</v>
      </c>
    </row>
    <row r="1320" customFormat="false" ht="15" hidden="false" customHeight="false" outlineLevel="0" collapsed="false">
      <c r="A1320" s="0" t="s">
        <v>811</v>
      </c>
      <c r="B1320" s="6" t="n">
        <v>40885.6625</v>
      </c>
      <c r="C1320" s="0" t="s">
        <v>41</v>
      </c>
      <c r="D1320" s="0" t="s">
        <v>832</v>
      </c>
      <c r="E1320" s="0" t="n">
        <v>2</v>
      </c>
      <c r="F1320" s="0" t="n">
        <v>12.75</v>
      </c>
      <c r="G1320" s="7" t="str">
        <f aca="false">_xlfn.XLOOKUP(D1320,Catalog!$B$2:$B$4102,Catalog!$A$2:$A$4102,"NOT IN CATALOG")</f>
        <v>12 EGG HOUSE PAINTED WOOD</v>
      </c>
      <c r="H1320" s="7" t="n">
        <f aca="false">_xlfn.IFNA(VLOOKUP(D1320,Catalog!$B$2:$C$4102,2,FALSE()),"")</f>
        <v>12.75</v>
      </c>
      <c r="I1320" s="7" t="str">
        <f aca="false">HLOOKUP(C1320,Regions!$B$1:$S$2,2,FALSE())</f>
        <v>EU</v>
      </c>
      <c r="J1320" s="7" t="n">
        <f aca="false">E1320*F1320</f>
        <v>25.5</v>
      </c>
      <c r="K1320" s="8" t="n">
        <f aca="false">IF(H1320="","",1-F1320/H1320)</f>
        <v>0</v>
      </c>
    </row>
    <row r="1321" customFormat="false" ht="15" hidden="false" customHeight="false" outlineLevel="0" collapsed="false">
      <c r="A1321" s="0" t="s">
        <v>811</v>
      </c>
      <c r="B1321" s="6" t="n">
        <v>40885.6625</v>
      </c>
      <c r="C1321" s="0" t="s">
        <v>41</v>
      </c>
      <c r="D1321" s="0" t="s">
        <v>631</v>
      </c>
      <c r="E1321" s="0" t="n">
        <v>2</v>
      </c>
      <c r="F1321" s="0" t="n">
        <v>7.95</v>
      </c>
      <c r="G1321" s="7" t="str">
        <f aca="false">_xlfn.XLOOKUP(D1321,Catalog!$B$2:$B$4102,Catalog!$A$2:$A$4102,"NOT IN CATALOG")</f>
        <v>6 EGG HOUSE PAINTED WOOD</v>
      </c>
      <c r="H1321" s="7" t="n">
        <f aca="false">_xlfn.IFNA(VLOOKUP(D1321,Catalog!$B$2:$C$4102,2,FALSE()),"")</f>
        <v>7.95</v>
      </c>
      <c r="I1321" s="7" t="str">
        <f aca="false">HLOOKUP(C1321,Regions!$B$1:$S$2,2,FALSE())</f>
        <v>EU</v>
      </c>
      <c r="J1321" s="7" t="n">
        <f aca="false">E1321*F1321</f>
        <v>15.9</v>
      </c>
      <c r="K1321" s="8" t="n">
        <f aca="false">IF(H1321="","",1-F1321/H1321)</f>
        <v>0</v>
      </c>
    </row>
    <row r="1322" customFormat="false" ht="15" hidden="false" customHeight="false" outlineLevel="0" collapsed="false">
      <c r="A1322" s="0" t="s">
        <v>811</v>
      </c>
      <c r="B1322" s="6" t="n">
        <v>40885.6625</v>
      </c>
      <c r="C1322" s="0" t="s">
        <v>41</v>
      </c>
      <c r="D1322" s="0" t="s">
        <v>833</v>
      </c>
      <c r="E1322" s="0" t="n">
        <v>2</v>
      </c>
      <c r="F1322" s="0" t="n">
        <v>5.75</v>
      </c>
      <c r="G1322" s="7" t="str">
        <f aca="false">_xlfn.XLOOKUP(D1322,Catalog!$B$2:$B$4102,Catalog!$A$2:$A$4102,"NOT IN CATALOG")</f>
        <v>NOT IN CATALOG</v>
      </c>
      <c r="H1322" s="7" t="str">
        <f aca="false">_xlfn.IFNA(VLOOKUP(D1322,Catalog!$B$2:$C$4102,2,FALSE()),"")</f>
        <v/>
      </c>
      <c r="I1322" s="7" t="str">
        <f aca="false">HLOOKUP(C1322,Regions!$B$1:$S$2,2,FALSE())</f>
        <v>EU</v>
      </c>
      <c r="J1322" s="7" t="n">
        <f aca="false">E1322*F1322</f>
        <v>11.5</v>
      </c>
      <c r="K1322" s="8" t="str">
        <f aca="false">IF(H1322="","",1-F1322/H1322)</f>
        <v/>
      </c>
    </row>
    <row r="1323" customFormat="false" ht="15" hidden="false" customHeight="false" outlineLevel="0" collapsed="false">
      <c r="A1323" s="0" t="s">
        <v>811</v>
      </c>
      <c r="B1323" s="6" t="n">
        <v>40885.6625</v>
      </c>
      <c r="C1323" s="0" t="s">
        <v>41</v>
      </c>
      <c r="D1323" s="0" t="s">
        <v>665</v>
      </c>
      <c r="E1323" s="0" t="n">
        <v>6</v>
      </c>
      <c r="F1323" s="0" t="n">
        <v>1.65</v>
      </c>
      <c r="G1323" s="7" t="str">
        <f aca="false">_xlfn.XLOOKUP(D1323,Catalog!$B$2:$B$4102,Catalog!$A$2:$A$4102,"NOT IN CATALOG")</f>
        <v>NOT IN CATALOG</v>
      </c>
      <c r="H1323" s="7" t="str">
        <f aca="false">_xlfn.IFNA(VLOOKUP(D1323,Catalog!$B$2:$C$4102,2,FALSE()),"")</f>
        <v/>
      </c>
      <c r="I1323" s="7" t="str">
        <f aca="false">HLOOKUP(C1323,Regions!$B$1:$S$2,2,FALSE())</f>
        <v>EU</v>
      </c>
      <c r="J1323" s="7" t="n">
        <f aca="false">E1323*F1323</f>
        <v>9.9</v>
      </c>
      <c r="K1323" s="8" t="str">
        <f aca="false">IF(H1323="","",1-F1323/H1323)</f>
        <v/>
      </c>
    </row>
    <row r="1324" customFormat="false" ht="15" hidden="false" customHeight="false" outlineLevel="0" collapsed="false">
      <c r="A1324" s="0" t="s">
        <v>811</v>
      </c>
      <c r="B1324" s="6" t="n">
        <v>40885.6625</v>
      </c>
      <c r="C1324" s="0" t="s">
        <v>41</v>
      </c>
      <c r="D1324" s="0" t="s">
        <v>411</v>
      </c>
      <c r="E1324" s="0" t="n">
        <v>2</v>
      </c>
      <c r="F1324" s="0" t="n">
        <v>9.95</v>
      </c>
      <c r="G1324" s="7" t="str">
        <f aca="false">_xlfn.XLOOKUP(D1324,Catalog!$B$2:$B$4102,Catalog!$A$2:$A$4102,"NOT IN CATALOG")</f>
        <v>TRIPLE PHOTO FRAME CORNICE</v>
      </c>
      <c r="H1324" s="7" t="n">
        <f aca="false">_xlfn.IFNA(VLOOKUP(D1324,Catalog!$B$2:$C$4102,2,FALSE()),"")</f>
        <v>9.95</v>
      </c>
      <c r="I1324" s="7" t="str">
        <f aca="false">HLOOKUP(C1324,Regions!$B$1:$S$2,2,FALSE())</f>
        <v>EU</v>
      </c>
      <c r="J1324" s="7" t="n">
        <f aca="false">E1324*F1324</f>
        <v>19.9</v>
      </c>
      <c r="K1324" s="8" t="n">
        <f aca="false">IF(H1324="","",1-F1324/H1324)</f>
        <v>0</v>
      </c>
    </row>
    <row r="1325" customFormat="false" ht="15" hidden="false" customHeight="false" outlineLevel="0" collapsed="false">
      <c r="A1325" s="0" t="s">
        <v>811</v>
      </c>
      <c r="B1325" s="6" t="n">
        <v>40885.6625</v>
      </c>
      <c r="C1325" s="0" t="s">
        <v>41</v>
      </c>
      <c r="D1325" s="0" t="s">
        <v>834</v>
      </c>
      <c r="E1325" s="0" t="n">
        <v>2</v>
      </c>
      <c r="F1325" s="0" t="n">
        <v>9.95</v>
      </c>
      <c r="G1325" s="7" t="str">
        <f aca="false">_xlfn.XLOOKUP(D1325,Catalog!$B$2:$B$4102,Catalog!$A$2:$A$4102,"NOT IN CATALOG")</f>
        <v>FAMILY PHOTO FRAME CORNICE</v>
      </c>
      <c r="H1325" s="7" t="n">
        <f aca="false">_xlfn.IFNA(VLOOKUP(D1325,Catalog!$B$2:$C$4102,2,FALSE()),"")</f>
        <v>9.95</v>
      </c>
      <c r="I1325" s="7" t="str">
        <f aca="false">HLOOKUP(C1325,Regions!$B$1:$S$2,2,FALSE())</f>
        <v>EU</v>
      </c>
      <c r="J1325" s="7" t="n">
        <f aca="false">E1325*F1325</f>
        <v>19.9</v>
      </c>
      <c r="K1325" s="8" t="n">
        <f aca="false">IF(H1325="","",1-F1325/H1325)</f>
        <v>0</v>
      </c>
    </row>
    <row r="1326" customFormat="false" ht="15" hidden="false" customHeight="false" outlineLevel="0" collapsed="false">
      <c r="A1326" s="0" t="s">
        <v>811</v>
      </c>
      <c r="B1326" s="6" t="n">
        <v>40885.6625</v>
      </c>
      <c r="C1326" s="0" t="s">
        <v>41</v>
      </c>
      <c r="D1326" s="0" t="s">
        <v>50</v>
      </c>
      <c r="E1326" s="0" t="n">
        <v>8</v>
      </c>
      <c r="F1326" s="0" t="n">
        <v>2.95</v>
      </c>
      <c r="G1326" s="7" t="str">
        <f aca="false">_xlfn.XLOOKUP(D1326,Catalog!$B$2:$B$4102,Catalog!$A$2:$A$4102,"NOT IN CATALOG")</f>
        <v>PHOTO FRAME CORNICE</v>
      </c>
      <c r="H1326" s="7" t="n">
        <f aca="false">_xlfn.IFNA(VLOOKUP(D1326,Catalog!$B$2:$C$4102,2,FALSE()),"")</f>
        <v>2.95</v>
      </c>
      <c r="I1326" s="7" t="str">
        <f aca="false">HLOOKUP(C1326,Regions!$B$1:$S$2,2,FALSE())</f>
        <v>EU</v>
      </c>
      <c r="J1326" s="7" t="n">
        <f aca="false">E1326*F1326</f>
        <v>23.6</v>
      </c>
      <c r="K1326" s="8" t="n">
        <f aca="false">IF(H1326="","",1-F1326/H1326)</f>
        <v>0</v>
      </c>
    </row>
    <row r="1327" customFormat="false" ht="15" hidden="false" customHeight="false" outlineLevel="0" collapsed="false">
      <c r="A1327" s="0" t="s">
        <v>811</v>
      </c>
      <c r="B1327" s="6" t="n">
        <v>40885.6625</v>
      </c>
      <c r="C1327" s="0" t="s">
        <v>41</v>
      </c>
      <c r="D1327" s="0" t="s">
        <v>416</v>
      </c>
      <c r="E1327" s="0" t="n">
        <v>2</v>
      </c>
      <c r="F1327" s="0" t="n">
        <v>8.5</v>
      </c>
      <c r="G1327" s="7" t="str">
        <f aca="false">_xlfn.XLOOKUP(D1327,Catalog!$B$2:$B$4102,Catalog!$A$2:$A$4102,"NOT IN CATALOG")</f>
        <v>FAMILY ALBUM WHITE PICTURE FRAME</v>
      </c>
      <c r="H1327" s="7" t="n">
        <f aca="false">_xlfn.IFNA(VLOOKUP(D1327,Catalog!$B$2:$C$4102,2,FALSE()),"")</f>
        <v>8.5</v>
      </c>
      <c r="I1327" s="7" t="str">
        <f aca="false">HLOOKUP(C1327,Regions!$B$1:$S$2,2,FALSE())</f>
        <v>EU</v>
      </c>
      <c r="J1327" s="7" t="n">
        <f aca="false">E1327*F1327</f>
        <v>17</v>
      </c>
      <c r="K1327" s="8" t="n">
        <f aca="false">IF(H1327="","",1-F1327/H1327)</f>
        <v>0</v>
      </c>
    </row>
    <row r="1328" customFormat="false" ht="15" hidden="false" customHeight="false" outlineLevel="0" collapsed="false">
      <c r="A1328" s="0" t="s">
        <v>811</v>
      </c>
      <c r="B1328" s="6" t="n">
        <v>40885.6625</v>
      </c>
      <c r="C1328" s="0" t="s">
        <v>41</v>
      </c>
      <c r="D1328" s="0" t="s">
        <v>835</v>
      </c>
      <c r="E1328" s="0" t="n">
        <v>2</v>
      </c>
      <c r="F1328" s="0" t="n">
        <v>9.95</v>
      </c>
      <c r="G1328" s="7" t="str">
        <f aca="false">_xlfn.XLOOKUP(D1328,Catalog!$B$2:$B$4102,Catalog!$A$2:$A$4102,"NOT IN CATALOG")</f>
        <v>PHOTO FRAME 3 CLASSIC HANGING</v>
      </c>
      <c r="H1328" s="7" t="n">
        <f aca="false">_xlfn.IFNA(VLOOKUP(D1328,Catalog!$B$2:$C$4102,2,FALSE()),"")</f>
        <v>9.95</v>
      </c>
      <c r="I1328" s="7" t="str">
        <f aca="false">HLOOKUP(C1328,Regions!$B$1:$S$2,2,FALSE())</f>
        <v>EU</v>
      </c>
      <c r="J1328" s="7" t="n">
        <f aca="false">E1328*F1328</f>
        <v>19.9</v>
      </c>
      <c r="K1328" s="8" t="n">
        <f aca="false">IF(H1328="","",1-F1328/H1328)</f>
        <v>0</v>
      </c>
    </row>
    <row r="1329" customFormat="false" ht="15" hidden="false" customHeight="false" outlineLevel="0" collapsed="false">
      <c r="A1329" s="0" t="s">
        <v>811</v>
      </c>
      <c r="B1329" s="6" t="n">
        <v>40885.6625</v>
      </c>
      <c r="C1329" s="0" t="s">
        <v>41</v>
      </c>
      <c r="D1329" s="0" t="s">
        <v>836</v>
      </c>
      <c r="E1329" s="0" t="n">
        <v>12</v>
      </c>
      <c r="F1329" s="0" t="n">
        <v>1.45</v>
      </c>
      <c r="G1329" s="7" t="str">
        <f aca="false">_xlfn.XLOOKUP(D1329,Catalog!$B$2:$B$4102,Catalog!$A$2:$A$4102,"NOT IN CATALOG")</f>
        <v>SET OF 72 RETRO SPOT PAPER DOILIES</v>
      </c>
      <c r="H1329" s="7" t="n">
        <f aca="false">_xlfn.IFNA(VLOOKUP(D1329,Catalog!$B$2:$C$4102,2,FALSE()),"")</f>
        <v>1.45</v>
      </c>
      <c r="I1329" s="7" t="str">
        <f aca="false">HLOOKUP(C1329,Regions!$B$1:$S$2,2,FALSE())</f>
        <v>EU</v>
      </c>
      <c r="J1329" s="7" t="n">
        <f aca="false">E1329*F1329</f>
        <v>17.4</v>
      </c>
      <c r="K1329" s="8" t="n">
        <f aca="false">IF(H1329="","",1-F1329/H1329)</f>
        <v>0</v>
      </c>
    </row>
    <row r="1330" customFormat="false" ht="15" hidden="false" customHeight="false" outlineLevel="0" collapsed="false">
      <c r="A1330" s="0" t="s">
        <v>811</v>
      </c>
      <c r="B1330" s="6" t="n">
        <v>40885.6625</v>
      </c>
      <c r="C1330" s="0" t="s">
        <v>41</v>
      </c>
      <c r="D1330" s="0" t="s">
        <v>59</v>
      </c>
      <c r="E1330" s="0" t="n">
        <v>6</v>
      </c>
      <c r="F1330" s="0" t="n">
        <v>2.95</v>
      </c>
      <c r="G1330" s="7" t="str">
        <f aca="false">_xlfn.XLOOKUP(D1330,Catalog!$B$2:$B$4102,Catalog!$A$2:$A$4102,"NOT IN CATALOG")</f>
        <v>ROSES REGENCY TEACUP AND SAUCER</v>
      </c>
      <c r="H1330" s="7" t="n">
        <f aca="false">_xlfn.IFNA(VLOOKUP(D1330,Catalog!$B$2:$C$4102,2,FALSE()),"")</f>
        <v>2.95</v>
      </c>
      <c r="I1330" s="7" t="str">
        <f aca="false">HLOOKUP(C1330,Regions!$B$1:$S$2,2,FALSE())</f>
        <v>EU</v>
      </c>
      <c r="J1330" s="7" t="n">
        <f aca="false">E1330*F1330</f>
        <v>17.7</v>
      </c>
      <c r="K1330" s="8" t="n">
        <f aca="false">IF(H1330="","",1-F1330/H1330)</f>
        <v>0</v>
      </c>
    </row>
    <row r="1331" customFormat="false" ht="15" hidden="false" customHeight="false" outlineLevel="0" collapsed="false">
      <c r="A1331" s="0" t="s">
        <v>811</v>
      </c>
      <c r="B1331" s="6" t="n">
        <v>40885.6625</v>
      </c>
      <c r="C1331" s="0" t="s">
        <v>41</v>
      </c>
      <c r="D1331" s="0" t="s">
        <v>60</v>
      </c>
      <c r="E1331" s="0" t="n">
        <v>6</v>
      </c>
      <c r="F1331" s="0" t="n">
        <v>2.95</v>
      </c>
      <c r="G1331" s="7" t="str">
        <f aca="false">_xlfn.XLOOKUP(D1331,Catalog!$B$2:$B$4102,Catalog!$A$2:$A$4102,"NOT IN CATALOG")</f>
        <v>GREEN REGENCY TEACUP AND SAUCER</v>
      </c>
      <c r="H1331" s="7" t="n">
        <f aca="false">_xlfn.IFNA(VLOOKUP(D1331,Catalog!$B$2:$C$4102,2,FALSE()),"")</f>
        <v>2.95</v>
      </c>
      <c r="I1331" s="7" t="str">
        <f aca="false">HLOOKUP(C1331,Regions!$B$1:$S$2,2,FALSE())</f>
        <v>EU</v>
      </c>
      <c r="J1331" s="7" t="n">
        <f aca="false">E1331*F1331</f>
        <v>17.7</v>
      </c>
      <c r="K1331" s="8" t="n">
        <f aca="false">IF(H1331="","",1-F1331/H1331)</f>
        <v>0</v>
      </c>
    </row>
    <row r="1332" customFormat="false" ht="15" hidden="false" customHeight="false" outlineLevel="0" collapsed="false">
      <c r="A1332" s="0" t="s">
        <v>811</v>
      </c>
      <c r="B1332" s="6" t="n">
        <v>40885.6625</v>
      </c>
      <c r="C1332" s="0" t="s">
        <v>41</v>
      </c>
      <c r="D1332" s="0" t="s">
        <v>58</v>
      </c>
      <c r="E1332" s="0" t="n">
        <v>6</v>
      </c>
      <c r="F1332" s="0" t="n">
        <v>2.95</v>
      </c>
      <c r="G1332" s="7" t="str">
        <f aca="false">_xlfn.XLOOKUP(D1332,Catalog!$B$2:$B$4102,Catalog!$A$2:$A$4102,"NOT IN CATALOG")</f>
        <v>PINK REGENCY TEACUP AND SAUCER</v>
      </c>
      <c r="H1332" s="7" t="n">
        <f aca="false">_xlfn.IFNA(VLOOKUP(D1332,Catalog!$B$2:$C$4102,2,FALSE()),"")</f>
        <v>2.95</v>
      </c>
      <c r="I1332" s="7" t="str">
        <f aca="false">HLOOKUP(C1332,Regions!$B$1:$S$2,2,FALSE())</f>
        <v>EU</v>
      </c>
      <c r="J1332" s="7" t="n">
        <f aca="false">E1332*F1332</f>
        <v>17.7</v>
      </c>
      <c r="K1332" s="8" t="n">
        <f aca="false">IF(H1332="","",1-F1332/H1332)</f>
        <v>0</v>
      </c>
    </row>
    <row r="1333" customFormat="false" ht="15" hidden="false" customHeight="false" outlineLevel="0" collapsed="false">
      <c r="A1333" s="0" t="s">
        <v>811</v>
      </c>
      <c r="B1333" s="6" t="n">
        <v>40885.6625</v>
      </c>
      <c r="C1333" s="0" t="s">
        <v>41</v>
      </c>
      <c r="D1333" s="0" t="s">
        <v>837</v>
      </c>
      <c r="E1333" s="0" t="n">
        <v>2</v>
      </c>
      <c r="F1333" s="0" t="n">
        <v>8.5</v>
      </c>
      <c r="G1333" s="7" t="str">
        <f aca="false">_xlfn.XLOOKUP(D1333,Catalog!$B$2:$B$4102,Catalog!$A$2:$A$4102,"NOT IN CATALOG")</f>
        <v>NOT IN CATALOG</v>
      </c>
      <c r="H1333" s="7" t="str">
        <f aca="false">_xlfn.IFNA(VLOOKUP(D1333,Catalog!$B$2:$C$4102,2,FALSE()),"")</f>
        <v/>
      </c>
      <c r="I1333" s="7" t="str">
        <f aca="false">HLOOKUP(C1333,Regions!$B$1:$S$2,2,FALSE())</f>
        <v>EU</v>
      </c>
      <c r="J1333" s="7" t="n">
        <f aca="false">E1333*F1333</f>
        <v>17</v>
      </c>
      <c r="K1333" s="8" t="str">
        <f aca="false">IF(H1333="","",1-F1333/H1333)</f>
        <v/>
      </c>
    </row>
    <row r="1334" customFormat="false" ht="15" hidden="false" customHeight="false" outlineLevel="0" collapsed="false">
      <c r="A1334" s="0" t="s">
        <v>811</v>
      </c>
      <c r="B1334" s="6" t="n">
        <v>40885.6625</v>
      </c>
      <c r="C1334" s="0" t="s">
        <v>41</v>
      </c>
      <c r="D1334" s="0" t="s">
        <v>838</v>
      </c>
      <c r="E1334" s="0" t="n">
        <v>2</v>
      </c>
      <c r="F1334" s="0" t="n">
        <v>8.5</v>
      </c>
      <c r="G1334" s="7" t="str">
        <f aca="false">_xlfn.XLOOKUP(D1334,Catalog!$B$2:$B$4102,Catalog!$A$2:$A$4102,"NOT IN CATALOG")</f>
        <v>BLUE DINER WALL CLOCK</v>
      </c>
      <c r="H1334" s="7" t="n">
        <f aca="false">_xlfn.IFNA(VLOOKUP(D1334,Catalog!$B$2:$C$4102,2,FALSE()),"")</f>
        <v>8.5</v>
      </c>
      <c r="I1334" s="7" t="str">
        <f aca="false">HLOOKUP(C1334,Regions!$B$1:$S$2,2,FALSE())</f>
        <v>EU</v>
      </c>
      <c r="J1334" s="7" t="n">
        <f aca="false">E1334*F1334</f>
        <v>17</v>
      </c>
      <c r="K1334" s="8" t="n">
        <f aca="false">IF(H1334="","",1-F1334/H1334)</f>
        <v>0</v>
      </c>
    </row>
    <row r="1335" customFormat="false" ht="15" hidden="false" customHeight="false" outlineLevel="0" collapsed="false">
      <c r="A1335" s="0" t="s">
        <v>811</v>
      </c>
      <c r="B1335" s="6" t="n">
        <v>40885.6625</v>
      </c>
      <c r="C1335" s="0" t="s">
        <v>41</v>
      </c>
      <c r="D1335" s="0" t="s">
        <v>839</v>
      </c>
      <c r="E1335" s="0" t="n">
        <v>2</v>
      </c>
      <c r="F1335" s="0" t="n">
        <v>8.25</v>
      </c>
      <c r="G1335" s="7" t="str">
        <f aca="false">_xlfn.XLOOKUP(D1335,Catalog!$B$2:$B$4102,Catalog!$A$2:$A$4102,"NOT IN CATALOG")</f>
        <v>DOOR MAT NEW ENGLAND</v>
      </c>
      <c r="H1335" s="7" t="n">
        <f aca="false">_xlfn.IFNA(VLOOKUP(D1335,Catalog!$B$2:$C$4102,2,FALSE()),"")</f>
        <v>7.49</v>
      </c>
      <c r="I1335" s="7" t="str">
        <f aca="false">HLOOKUP(C1335,Regions!$B$1:$S$2,2,FALSE())</f>
        <v>EU</v>
      </c>
      <c r="J1335" s="7" t="n">
        <f aca="false">E1335*F1335</f>
        <v>16.5</v>
      </c>
      <c r="K1335" s="8" t="n">
        <f aca="false">IF(H1335="","",1-F1335/H1335)</f>
        <v>-0.101468624833111</v>
      </c>
    </row>
    <row r="1336" customFormat="false" ht="15" hidden="false" customHeight="false" outlineLevel="0" collapsed="false">
      <c r="A1336" s="0" t="s">
        <v>811</v>
      </c>
      <c r="B1336" s="6" t="n">
        <v>40885.6625</v>
      </c>
      <c r="C1336" s="0" t="s">
        <v>41</v>
      </c>
      <c r="D1336" s="0" t="s">
        <v>650</v>
      </c>
      <c r="E1336" s="0" t="n">
        <v>2</v>
      </c>
      <c r="F1336" s="0" t="n">
        <v>8.25</v>
      </c>
      <c r="G1336" s="7" t="str">
        <f aca="false">_xlfn.XLOOKUP(D1336,Catalog!$B$2:$B$4102,Catalog!$A$2:$A$4102,"NOT IN CATALOG")</f>
        <v>DOOR MAT ENGLISH ROSE</v>
      </c>
      <c r="H1336" s="7" t="n">
        <f aca="false">_xlfn.IFNA(VLOOKUP(D1336,Catalog!$B$2:$C$4102,2,FALSE()),"")</f>
        <v>7.49</v>
      </c>
      <c r="I1336" s="7" t="str">
        <f aca="false">HLOOKUP(C1336,Regions!$B$1:$S$2,2,FALSE())</f>
        <v>EU</v>
      </c>
      <c r="J1336" s="7" t="n">
        <f aca="false">E1336*F1336</f>
        <v>16.5</v>
      </c>
      <c r="K1336" s="8" t="n">
        <f aca="false">IF(H1336="","",1-F1336/H1336)</f>
        <v>-0.101468624833111</v>
      </c>
    </row>
    <row r="1337" customFormat="false" ht="15" hidden="false" customHeight="false" outlineLevel="0" collapsed="false">
      <c r="A1337" s="0" t="s">
        <v>811</v>
      </c>
      <c r="B1337" s="6" t="n">
        <v>40885.6625</v>
      </c>
      <c r="C1337" s="0" t="s">
        <v>41</v>
      </c>
      <c r="D1337" s="0" t="s">
        <v>494</v>
      </c>
      <c r="E1337" s="0" t="n">
        <v>2</v>
      </c>
      <c r="F1337" s="0" t="n">
        <v>8.25</v>
      </c>
      <c r="G1337" s="7" t="str">
        <f aca="false">_xlfn.XLOOKUP(D1337,Catalog!$B$2:$B$4102,Catalog!$A$2:$A$4102,"NOT IN CATALOG")</f>
        <v>DOOR MAT RED SPOT</v>
      </c>
      <c r="H1337" s="7" t="n">
        <f aca="false">_xlfn.IFNA(VLOOKUP(D1337,Catalog!$B$2:$C$4102,2,FALSE()),"")</f>
        <v>7.49</v>
      </c>
      <c r="I1337" s="7" t="str">
        <f aca="false">HLOOKUP(C1337,Regions!$B$1:$S$2,2,FALSE())</f>
        <v>EU</v>
      </c>
      <c r="J1337" s="7" t="n">
        <f aca="false">E1337*F1337</f>
        <v>16.5</v>
      </c>
      <c r="K1337" s="8" t="n">
        <f aca="false">IF(H1337="","",1-F1337/H1337)</f>
        <v>-0.101468624833111</v>
      </c>
    </row>
    <row r="1338" customFormat="false" ht="15" hidden="false" customHeight="false" outlineLevel="0" collapsed="false">
      <c r="A1338" s="0" t="s">
        <v>811</v>
      </c>
      <c r="B1338" s="6" t="n">
        <v>40885.6625</v>
      </c>
      <c r="C1338" s="0" t="s">
        <v>41</v>
      </c>
      <c r="D1338" s="0" t="s">
        <v>840</v>
      </c>
      <c r="E1338" s="0" t="n">
        <v>6</v>
      </c>
      <c r="F1338" s="0" t="n">
        <v>2.95</v>
      </c>
      <c r="G1338" s="7" t="str">
        <f aca="false">_xlfn.XLOOKUP(D1338,Catalog!$B$2:$B$4102,Catalog!$A$2:$A$4102,"NOT IN CATALOG")</f>
        <v>ART LIGHTS,FUNK MONKEY</v>
      </c>
      <c r="H1338" s="7" t="n">
        <f aca="false">_xlfn.IFNA(VLOOKUP(D1338,Catalog!$B$2:$C$4102,2,FALSE()),"")</f>
        <v>2.95</v>
      </c>
      <c r="I1338" s="7" t="str">
        <f aca="false">HLOOKUP(C1338,Regions!$B$1:$S$2,2,FALSE())</f>
        <v>EU</v>
      </c>
      <c r="J1338" s="7" t="n">
        <f aca="false">E1338*F1338</f>
        <v>17.7</v>
      </c>
      <c r="K1338" s="8" t="n">
        <f aca="false">IF(H1338="","",1-F1338/H1338)</f>
        <v>0</v>
      </c>
    </row>
    <row r="1339" customFormat="false" ht="15" hidden="false" customHeight="false" outlineLevel="0" collapsed="false">
      <c r="A1339" s="0" t="s">
        <v>841</v>
      </c>
      <c r="B1339" s="6" t="n">
        <v>40886.3666666667</v>
      </c>
      <c r="C1339" s="0" t="s">
        <v>425</v>
      </c>
      <c r="D1339" s="0" t="s">
        <v>261</v>
      </c>
      <c r="E1339" s="0" t="n">
        <v>48</v>
      </c>
      <c r="F1339" s="0" t="n">
        <v>1.25</v>
      </c>
      <c r="G1339" s="7" t="str">
        <f aca="false">_xlfn.XLOOKUP(D1339,Catalog!$B$2:$B$4102,Catalog!$A$2:$A$4102,"NOT IN CATALOG")</f>
        <v>NOT IN CATALOG</v>
      </c>
      <c r="H1339" s="7" t="str">
        <f aca="false">_xlfn.IFNA(VLOOKUP(D1339,Catalog!$B$2:$C$4102,2,FALSE()),"")</f>
        <v/>
      </c>
      <c r="I1339" s="7" t="str">
        <f aca="false">HLOOKUP(C1339,Regions!$B$1:$S$2,2,FALSE())</f>
        <v>Non-EU</v>
      </c>
      <c r="J1339" s="7" t="n">
        <f aca="false">E1339*F1339</f>
        <v>60</v>
      </c>
      <c r="K1339" s="8" t="str">
        <f aca="false">IF(H1339="","",1-F1339/H1339)</f>
        <v/>
      </c>
    </row>
    <row r="1340" customFormat="false" ht="15" hidden="false" customHeight="false" outlineLevel="0" collapsed="false">
      <c r="A1340" s="0" t="s">
        <v>841</v>
      </c>
      <c r="B1340" s="6" t="n">
        <v>40886.3666666667</v>
      </c>
      <c r="C1340" s="0" t="s">
        <v>425</v>
      </c>
      <c r="D1340" s="0" t="s">
        <v>714</v>
      </c>
      <c r="E1340" s="0" t="n">
        <v>24</v>
      </c>
      <c r="F1340" s="0" t="n">
        <v>1.45</v>
      </c>
      <c r="G1340" s="7" t="str">
        <f aca="false">_xlfn.XLOOKUP(D1340,Catalog!$B$2:$B$4102,Catalog!$A$2:$A$4102,"NOT IN CATALOG")</f>
        <v>NOT IN CATALOG</v>
      </c>
      <c r="H1340" s="7" t="str">
        <f aca="false">_xlfn.IFNA(VLOOKUP(D1340,Catalog!$B$2:$C$4102,2,FALSE()),"")</f>
        <v/>
      </c>
      <c r="I1340" s="7" t="str">
        <f aca="false">HLOOKUP(C1340,Regions!$B$1:$S$2,2,FALSE())</f>
        <v>Non-EU</v>
      </c>
      <c r="J1340" s="7" t="n">
        <f aca="false">E1340*F1340</f>
        <v>34.8</v>
      </c>
      <c r="K1340" s="8" t="str">
        <f aca="false">IF(H1340="","",1-F1340/H1340)</f>
        <v/>
      </c>
    </row>
    <row r="1341" customFormat="false" ht="15" hidden="false" customHeight="false" outlineLevel="0" collapsed="false">
      <c r="A1341" s="0" t="s">
        <v>841</v>
      </c>
      <c r="B1341" s="6" t="n">
        <v>40886.3666666667</v>
      </c>
      <c r="C1341" s="0" t="s">
        <v>425</v>
      </c>
      <c r="D1341" s="0" t="s">
        <v>842</v>
      </c>
      <c r="E1341" s="0" t="n">
        <v>8</v>
      </c>
      <c r="F1341" s="0" t="n">
        <v>4.95</v>
      </c>
      <c r="G1341" s="7" t="str">
        <f aca="false">_xlfn.XLOOKUP(D1341,Catalog!$B$2:$B$4102,Catalog!$A$2:$A$4102,"NOT IN CATALOG")</f>
        <v>NOT IN CATALOG</v>
      </c>
      <c r="H1341" s="7" t="str">
        <f aca="false">_xlfn.IFNA(VLOOKUP(D1341,Catalog!$B$2:$C$4102,2,FALSE()),"")</f>
        <v/>
      </c>
      <c r="I1341" s="7" t="str">
        <f aca="false">HLOOKUP(C1341,Regions!$B$1:$S$2,2,FALSE())</f>
        <v>Non-EU</v>
      </c>
      <c r="J1341" s="7" t="n">
        <f aca="false">E1341*F1341</f>
        <v>39.6</v>
      </c>
      <c r="K1341" s="8" t="str">
        <f aca="false">IF(H1341="","",1-F1341/H1341)</f>
        <v/>
      </c>
    </row>
    <row r="1342" customFormat="false" ht="15" hidden="false" customHeight="false" outlineLevel="0" collapsed="false">
      <c r="A1342" s="0" t="s">
        <v>841</v>
      </c>
      <c r="B1342" s="6" t="n">
        <v>40886.3666666667</v>
      </c>
      <c r="C1342" s="0" t="s">
        <v>425</v>
      </c>
      <c r="D1342" s="0" t="s">
        <v>671</v>
      </c>
      <c r="E1342" s="0" t="n">
        <v>12</v>
      </c>
      <c r="F1342" s="0" t="n">
        <v>1.25</v>
      </c>
      <c r="G1342" s="7" t="str">
        <f aca="false">_xlfn.XLOOKUP(D1342,Catalog!$B$2:$B$4102,Catalog!$A$2:$A$4102,"NOT IN CATALOG")</f>
        <v>NOT IN CATALOG</v>
      </c>
      <c r="H1342" s="7" t="str">
        <f aca="false">_xlfn.IFNA(VLOOKUP(D1342,Catalog!$B$2:$C$4102,2,FALSE()),"")</f>
        <v/>
      </c>
      <c r="I1342" s="7" t="str">
        <f aca="false">HLOOKUP(C1342,Regions!$B$1:$S$2,2,FALSE())</f>
        <v>Non-EU</v>
      </c>
      <c r="J1342" s="7" t="n">
        <f aca="false">E1342*F1342</f>
        <v>15</v>
      </c>
      <c r="K1342" s="8" t="str">
        <f aca="false">IF(H1342="","",1-F1342/H1342)</f>
        <v/>
      </c>
    </row>
    <row r="1343" customFormat="false" ht="15" hidden="false" customHeight="false" outlineLevel="0" collapsed="false">
      <c r="A1343" s="0" t="s">
        <v>841</v>
      </c>
      <c r="B1343" s="6" t="n">
        <v>40886.3666666667</v>
      </c>
      <c r="C1343" s="0" t="s">
        <v>425</v>
      </c>
      <c r="D1343" s="0" t="s">
        <v>843</v>
      </c>
      <c r="E1343" s="0" t="n">
        <v>96</v>
      </c>
      <c r="F1343" s="0" t="n">
        <v>0.69</v>
      </c>
      <c r="G1343" s="7" t="str">
        <f aca="false">_xlfn.XLOOKUP(D1343,Catalog!$B$2:$B$4102,Catalog!$A$2:$A$4102,"NOT IN CATALOG")</f>
        <v>NOT IN CATALOG</v>
      </c>
      <c r="H1343" s="7" t="str">
        <f aca="false">_xlfn.IFNA(VLOOKUP(D1343,Catalog!$B$2:$C$4102,2,FALSE()),"")</f>
        <v/>
      </c>
      <c r="I1343" s="7" t="str">
        <f aca="false">HLOOKUP(C1343,Regions!$B$1:$S$2,2,FALSE())</f>
        <v>Non-EU</v>
      </c>
      <c r="J1343" s="7" t="n">
        <f aca="false">E1343*F1343</f>
        <v>66.24</v>
      </c>
      <c r="K1343" s="8" t="str">
        <f aca="false">IF(H1343="","",1-F1343/H1343)</f>
        <v/>
      </c>
    </row>
    <row r="1344" customFormat="false" ht="15" hidden="false" customHeight="false" outlineLevel="0" collapsed="false">
      <c r="A1344" s="0" t="s">
        <v>841</v>
      </c>
      <c r="B1344" s="6" t="n">
        <v>40886.3666666667</v>
      </c>
      <c r="C1344" s="0" t="s">
        <v>425</v>
      </c>
      <c r="D1344" s="0" t="s">
        <v>844</v>
      </c>
      <c r="E1344" s="0" t="n">
        <v>48</v>
      </c>
      <c r="F1344" s="0" t="n">
        <v>1.04</v>
      </c>
      <c r="G1344" s="7" t="str">
        <f aca="false">_xlfn.XLOOKUP(D1344,Catalog!$B$2:$B$4102,Catalog!$A$2:$A$4102,"NOT IN CATALOG")</f>
        <v>NOT IN CATALOG</v>
      </c>
      <c r="H1344" s="7" t="str">
        <f aca="false">_xlfn.IFNA(VLOOKUP(D1344,Catalog!$B$2:$C$4102,2,FALSE()),"")</f>
        <v/>
      </c>
      <c r="I1344" s="7" t="str">
        <f aca="false">HLOOKUP(C1344,Regions!$B$1:$S$2,2,FALSE())</f>
        <v>Non-EU</v>
      </c>
      <c r="J1344" s="7" t="n">
        <f aca="false">E1344*F1344</f>
        <v>49.92</v>
      </c>
      <c r="K1344" s="8" t="str">
        <f aca="false">IF(H1344="","",1-F1344/H1344)</f>
        <v/>
      </c>
    </row>
    <row r="1345" customFormat="false" ht="15" hidden="false" customHeight="false" outlineLevel="0" collapsed="false">
      <c r="A1345" s="0" t="s">
        <v>841</v>
      </c>
      <c r="B1345" s="6" t="n">
        <v>40886.3666666667</v>
      </c>
      <c r="C1345" s="0" t="s">
        <v>425</v>
      </c>
      <c r="D1345" s="0" t="s">
        <v>845</v>
      </c>
      <c r="E1345" s="0" t="n">
        <v>48</v>
      </c>
      <c r="F1345" s="0" t="n">
        <v>1.45</v>
      </c>
      <c r="G1345" s="7" t="str">
        <f aca="false">_xlfn.XLOOKUP(D1345,Catalog!$B$2:$B$4102,Catalog!$A$2:$A$4102,"NOT IN CATALOG")</f>
        <v>NOT IN CATALOG</v>
      </c>
      <c r="H1345" s="7" t="str">
        <f aca="false">_xlfn.IFNA(VLOOKUP(D1345,Catalog!$B$2:$C$4102,2,FALSE()),"")</f>
        <v/>
      </c>
      <c r="I1345" s="7" t="str">
        <f aca="false">HLOOKUP(C1345,Regions!$B$1:$S$2,2,FALSE())</f>
        <v>Non-EU</v>
      </c>
      <c r="J1345" s="7" t="n">
        <f aca="false">E1345*F1345</f>
        <v>69.6</v>
      </c>
      <c r="K1345" s="8" t="str">
        <f aca="false">IF(H1345="","",1-F1345/H1345)</f>
        <v/>
      </c>
    </row>
    <row r="1346" customFormat="false" ht="15" hidden="false" customHeight="false" outlineLevel="0" collapsed="false">
      <c r="A1346" s="0" t="s">
        <v>841</v>
      </c>
      <c r="B1346" s="6" t="n">
        <v>40886.3666666667</v>
      </c>
      <c r="C1346" s="0" t="s">
        <v>425</v>
      </c>
      <c r="D1346" s="0" t="s">
        <v>846</v>
      </c>
      <c r="E1346" s="0" t="n">
        <v>48</v>
      </c>
      <c r="F1346" s="0" t="n">
        <v>0.42</v>
      </c>
      <c r="G1346" s="7" t="str">
        <f aca="false">_xlfn.XLOOKUP(D1346,Catalog!$B$2:$B$4102,Catalog!$A$2:$A$4102,"NOT IN CATALOG")</f>
        <v>NOT IN CATALOG</v>
      </c>
      <c r="H1346" s="7" t="str">
        <f aca="false">_xlfn.IFNA(VLOOKUP(D1346,Catalog!$B$2:$C$4102,2,FALSE()),"")</f>
        <v/>
      </c>
      <c r="I1346" s="7" t="str">
        <f aca="false">HLOOKUP(C1346,Regions!$B$1:$S$2,2,FALSE())</f>
        <v>Non-EU</v>
      </c>
      <c r="J1346" s="7" t="n">
        <f aca="false">E1346*F1346</f>
        <v>20.16</v>
      </c>
      <c r="K1346" s="8" t="str">
        <f aca="false">IF(H1346="","",1-F1346/H1346)</f>
        <v/>
      </c>
    </row>
    <row r="1347" customFormat="false" ht="15" hidden="false" customHeight="false" outlineLevel="0" collapsed="false">
      <c r="A1347" s="0" t="s">
        <v>841</v>
      </c>
      <c r="B1347" s="6" t="n">
        <v>40886.3666666667</v>
      </c>
      <c r="C1347" s="0" t="s">
        <v>425</v>
      </c>
      <c r="D1347" s="0" t="s">
        <v>847</v>
      </c>
      <c r="E1347" s="0" t="n">
        <v>24</v>
      </c>
      <c r="F1347" s="0" t="n">
        <v>0.42</v>
      </c>
      <c r="G1347" s="7" t="str">
        <f aca="false">_xlfn.XLOOKUP(D1347,Catalog!$B$2:$B$4102,Catalog!$A$2:$A$4102,"NOT IN CATALOG")</f>
        <v>NOT IN CATALOG</v>
      </c>
      <c r="H1347" s="7" t="str">
        <f aca="false">_xlfn.IFNA(VLOOKUP(D1347,Catalog!$B$2:$C$4102,2,FALSE()),"")</f>
        <v/>
      </c>
      <c r="I1347" s="7" t="str">
        <f aca="false">HLOOKUP(C1347,Regions!$B$1:$S$2,2,FALSE())</f>
        <v>Non-EU</v>
      </c>
      <c r="J1347" s="7" t="n">
        <f aca="false">E1347*F1347</f>
        <v>10.08</v>
      </c>
      <c r="K1347" s="8" t="str">
        <f aca="false">IF(H1347="","",1-F1347/H1347)</f>
        <v/>
      </c>
    </row>
    <row r="1348" customFormat="false" ht="15" hidden="false" customHeight="false" outlineLevel="0" collapsed="false">
      <c r="A1348" s="0" t="s">
        <v>841</v>
      </c>
      <c r="B1348" s="6" t="n">
        <v>40886.3666666667</v>
      </c>
      <c r="C1348" s="0" t="s">
        <v>425</v>
      </c>
      <c r="D1348" s="0" t="s">
        <v>848</v>
      </c>
      <c r="E1348" s="0" t="n">
        <v>24</v>
      </c>
      <c r="F1348" s="0" t="n">
        <v>0.42</v>
      </c>
      <c r="G1348" s="7" t="str">
        <f aca="false">_xlfn.XLOOKUP(D1348,Catalog!$B$2:$B$4102,Catalog!$A$2:$A$4102,"NOT IN CATALOG")</f>
        <v>NOT IN CATALOG</v>
      </c>
      <c r="H1348" s="7" t="str">
        <f aca="false">_xlfn.IFNA(VLOOKUP(D1348,Catalog!$B$2:$C$4102,2,FALSE()),"")</f>
        <v/>
      </c>
      <c r="I1348" s="7" t="str">
        <f aca="false">HLOOKUP(C1348,Regions!$B$1:$S$2,2,FALSE())</f>
        <v>Non-EU</v>
      </c>
      <c r="J1348" s="7" t="n">
        <f aca="false">E1348*F1348</f>
        <v>10.08</v>
      </c>
      <c r="K1348" s="8" t="str">
        <f aca="false">IF(H1348="","",1-F1348/H1348)</f>
        <v/>
      </c>
    </row>
    <row r="1349" customFormat="false" ht="15" hidden="false" customHeight="false" outlineLevel="0" collapsed="false">
      <c r="A1349" s="0" t="s">
        <v>841</v>
      </c>
      <c r="B1349" s="6" t="n">
        <v>40886.3666666667</v>
      </c>
      <c r="C1349" s="0" t="s">
        <v>425</v>
      </c>
      <c r="D1349" s="0" t="s">
        <v>849</v>
      </c>
      <c r="E1349" s="0" t="n">
        <v>72</v>
      </c>
      <c r="F1349" s="0" t="n">
        <v>0.42</v>
      </c>
      <c r="G1349" s="7" t="str">
        <f aca="false">_xlfn.XLOOKUP(D1349,Catalog!$B$2:$B$4102,Catalog!$A$2:$A$4102,"NOT IN CATALOG")</f>
        <v>NOT IN CATALOG</v>
      </c>
      <c r="H1349" s="7" t="str">
        <f aca="false">_xlfn.IFNA(VLOOKUP(D1349,Catalog!$B$2:$C$4102,2,FALSE()),"")</f>
        <v/>
      </c>
      <c r="I1349" s="7" t="str">
        <f aca="false">HLOOKUP(C1349,Regions!$B$1:$S$2,2,FALSE())</f>
        <v>Non-EU</v>
      </c>
      <c r="J1349" s="7" t="n">
        <f aca="false">E1349*F1349</f>
        <v>30.24</v>
      </c>
      <c r="K1349" s="8" t="str">
        <f aca="false">IF(H1349="","",1-F1349/H1349)</f>
        <v/>
      </c>
    </row>
    <row r="1350" customFormat="false" ht="15" hidden="false" customHeight="false" outlineLevel="0" collapsed="false">
      <c r="A1350" s="0" t="s">
        <v>841</v>
      </c>
      <c r="B1350" s="6" t="n">
        <v>40886.3666666667</v>
      </c>
      <c r="C1350" s="0" t="s">
        <v>425</v>
      </c>
      <c r="D1350" s="0" t="s">
        <v>850</v>
      </c>
      <c r="E1350" s="0" t="n">
        <v>48</v>
      </c>
      <c r="F1350" s="0" t="n">
        <v>0.42</v>
      </c>
      <c r="G1350" s="7" t="str">
        <f aca="false">_xlfn.XLOOKUP(D1350,Catalog!$B$2:$B$4102,Catalog!$A$2:$A$4102,"NOT IN CATALOG")</f>
        <v>NOT IN CATALOG</v>
      </c>
      <c r="H1350" s="7" t="str">
        <f aca="false">_xlfn.IFNA(VLOOKUP(D1350,Catalog!$B$2:$C$4102,2,FALSE()),"")</f>
        <v/>
      </c>
      <c r="I1350" s="7" t="str">
        <f aca="false">HLOOKUP(C1350,Regions!$B$1:$S$2,2,FALSE())</f>
        <v>Non-EU</v>
      </c>
      <c r="J1350" s="7" t="n">
        <f aca="false">E1350*F1350</f>
        <v>20.16</v>
      </c>
      <c r="K1350" s="8" t="str">
        <f aca="false">IF(H1350="","",1-F1350/H1350)</f>
        <v/>
      </c>
    </row>
    <row r="1351" customFormat="false" ht="15" hidden="false" customHeight="false" outlineLevel="0" collapsed="false">
      <c r="A1351" s="0" t="s">
        <v>841</v>
      </c>
      <c r="B1351" s="6" t="n">
        <v>40886.3666666667</v>
      </c>
      <c r="C1351" s="0" t="s">
        <v>425</v>
      </c>
      <c r="D1351" s="0" t="s">
        <v>851</v>
      </c>
      <c r="E1351" s="0" t="n">
        <v>8</v>
      </c>
      <c r="F1351" s="0" t="n">
        <v>4.95</v>
      </c>
      <c r="G1351" s="7" t="str">
        <f aca="false">_xlfn.XLOOKUP(D1351,Catalog!$B$2:$B$4102,Catalog!$A$2:$A$4102,"NOT IN CATALOG")</f>
        <v>HOT WATER BOTTLE I AM SO POORLY</v>
      </c>
      <c r="H1351" s="7" t="n">
        <f aca="false">_xlfn.IFNA(VLOOKUP(D1351,Catalog!$B$2:$C$4102,2,FALSE()),"")</f>
        <v>4.65</v>
      </c>
      <c r="I1351" s="7" t="str">
        <f aca="false">HLOOKUP(C1351,Regions!$B$1:$S$2,2,FALSE())</f>
        <v>Non-EU</v>
      </c>
      <c r="J1351" s="7" t="n">
        <f aca="false">E1351*F1351</f>
        <v>39.6</v>
      </c>
      <c r="K1351" s="8" t="n">
        <f aca="false">IF(H1351="","",1-F1351/H1351)</f>
        <v>-0.064516129032258</v>
      </c>
    </row>
    <row r="1352" customFormat="false" ht="15" hidden="false" customHeight="false" outlineLevel="0" collapsed="false">
      <c r="A1352" s="0" t="s">
        <v>841</v>
      </c>
      <c r="B1352" s="6" t="n">
        <v>40886.3666666667</v>
      </c>
      <c r="C1352" s="0" t="s">
        <v>425</v>
      </c>
      <c r="D1352" s="0" t="s">
        <v>66</v>
      </c>
      <c r="E1352" s="0" t="n">
        <v>4</v>
      </c>
      <c r="F1352" s="0" t="n">
        <v>3.75</v>
      </c>
      <c r="G1352" s="7" t="str">
        <f aca="false">_xlfn.XLOOKUP(D1352,Catalog!$B$2:$B$4102,Catalog!$A$2:$A$4102,"NOT IN CATALOG")</f>
        <v>ALARM CLOCK BAKELIKE IVORY</v>
      </c>
      <c r="H1352" s="7" t="n">
        <f aca="false">_xlfn.IFNA(VLOOKUP(D1352,Catalog!$B$2:$C$4102,2,FALSE()),"")</f>
        <v>3.75</v>
      </c>
      <c r="I1352" s="7" t="str">
        <f aca="false">HLOOKUP(C1352,Regions!$B$1:$S$2,2,FALSE())</f>
        <v>Non-EU</v>
      </c>
      <c r="J1352" s="7" t="n">
        <f aca="false">E1352*F1352</f>
        <v>15</v>
      </c>
      <c r="K1352" s="8" t="n">
        <f aca="false">IF(H1352="","",1-F1352/H1352)</f>
        <v>0</v>
      </c>
    </row>
    <row r="1353" customFormat="false" ht="15" hidden="false" customHeight="false" outlineLevel="0" collapsed="false">
      <c r="A1353" s="0" t="s">
        <v>841</v>
      </c>
      <c r="B1353" s="6" t="n">
        <v>40886.3666666667</v>
      </c>
      <c r="C1353" s="0" t="s">
        <v>425</v>
      </c>
      <c r="D1353" s="0" t="s">
        <v>65</v>
      </c>
      <c r="E1353" s="0" t="n">
        <v>8</v>
      </c>
      <c r="F1353" s="0" t="n">
        <v>3.75</v>
      </c>
      <c r="G1353" s="7" t="str">
        <f aca="false">_xlfn.XLOOKUP(D1353,Catalog!$B$2:$B$4102,Catalog!$A$2:$A$4102,"NOT IN CATALOG")</f>
        <v>ALARM CLOCK BAKELIKE PINK</v>
      </c>
      <c r="H1353" s="7" t="n">
        <f aca="false">_xlfn.IFNA(VLOOKUP(D1353,Catalog!$B$2:$C$4102,2,FALSE()),"")</f>
        <v>3.75</v>
      </c>
      <c r="I1353" s="7" t="str">
        <f aca="false">HLOOKUP(C1353,Regions!$B$1:$S$2,2,FALSE())</f>
        <v>Non-EU</v>
      </c>
      <c r="J1353" s="7" t="n">
        <f aca="false">E1353*F1353</f>
        <v>30</v>
      </c>
      <c r="K1353" s="8" t="n">
        <f aca="false">IF(H1353="","",1-F1353/H1353)</f>
        <v>0</v>
      </c>
    </row>
    <row r="1354" customFormat="false" ht="15" hidden="false" customHeight="false" outlineLevel="0" collapsed="false">
      <c r="A1354" s="0" t="s">
        <v>841</v>
      </c>
      <c r="B1354" s="6" t="n">
        <v>40886.3666666667</v>
      </c>
      <c r="C1354" s="0" t="s">
        <v>425</v>
      </c>
      <c r="D1354" s="0" t="s">
        <v>63</v>
      </c>
      <c r="E1354" s="0" t="n">
        <v>8</v>
      </c>
      <c r="F1354" s="0" t="n">
        <v>3.75</v>
      </c>
      <c r="G1354" s="7" t="str">
        <f aca="false">_xlfn.XLOOKUP(D1354,Catalog!$B$2:$B$4102,Catalog!$A$2:$A$4102,"NOT IN CATALOG")</f>
        <v>ALARM CLOCK BAKELIKE RED</v>
      </c>
      <c r="H1354" s="7" t="n">
        <f aca="false">_xlfn.IFNA(VLOOKUP(D1354,Catalog!$B$2:$C$4102,2,FALSE()),"")</f>
        <v>3.75</v>
      </c>
      <c r="I1354" s="7" t="str">
        <f aca="false">HLOOKUP(C1354,Regions!$B$1:$S$2,2,FALSE())</f>
        <v>Non-EU</v>
      </c>
      <c r="J1354" s="7" t="n">
        <f aca="false">E1354*F1354</f>
        <v>30</v>
      </c>
      <c r="K1354" s="8" t="n">
        <f aca="false">IF(H1354="","",1-F1354/H1354)</f>
        <v>0</v>
      </c>
    </row>
    <row r="1355" customFormat="false" ht="15" hidden="false" customHeight="false" outlineLevel="0" collapsed="false">
      <c r="A1355" s="0" t="s">
        <v>841</v>
      </c>
      <c r="B1355" s="6" t="n">
        <v>40886.3666666667</v>
      </c>
      <c r="C1355" s="0" t="s">
        <v>425</v>
      </c>
      <c r="D1355" s="0" t="s">
        <v>64</v>
      </c>
      <c r="E1355" s="0" t="n">
        <v>4</v>
      </c>
      <c r="F1355" s="0" t="n">
        <v>3.75</v>
      </c>
      <c r="G1355" s="7" t="str">
        <f aca="false">_xlfn.XLOOKUP(D1355,Catalog!$B$2:$B$4102,Catalog!$A$2:$A$4102,"NOT IN CATALOG")</f>
        <v>ALARM CLOCK BAKELIKE GREEN</v>
      </c>
      <c r="H1355" s="7" t="n">
        <f aca="false">_xlfn.IFNA(VLOOKUP(D1355,Catalog!$B$2:$C$4102,2,FALSE()),"")</f>
        <v>3.75</v>
      </c>
      <c r="I1355" s="7" t="str">
        <f aca="false">HLOOKUP(C1355,Regions!$B$1:$S$2,2,FALSE())</f>
        <v>Non-EU</v>
      </c>
      <c r="J1355" s="7" t="n">
        <f aca="false">E1355*F1355</f>
        <v>15</v>
      </c>
      <c r="K1355" s="8" t="n">
        <f aca="false">IF(H1355="","",1-F1355/H1355)</f>
        <v>0</v>
      </c>
    </row>
    <row r="1356" customFormat="false" ht="15" hidden="false" customHeight="false" outlineLevel="0" collapsed="false">
      <c r="A1356" s="0" t="s">
        <v>841</v>
      </c>
      <c r="B1356" s="6" t="n">
        <v>40886.3666666667</v>
      </c>
      <c r="C1356" s="0" t="s">
        <v>425</v>
      </c>
      <c r="D1356" s="0" t="s">
        <v>426</v>
      </c>
      <c r="E1356" s="0" t="n">
        <v>16</v>
      </c>
      <c r="F1356" s="0" t="n">
        <v>4.25</v>
      </c>
      <c r="G1356" s="7" t="str">
        <f aca="false">_xlfn.XLOOKUP(D1356,Catalog!$B$2:$B$4102,Catalog!$A$2:$A$4102,"NOT IN CATALOG")</f>
        <v>NOT IN CATALOG</v>
      </c>
      <c r="H1356" s="7" t="str">
        <f aca="false">_xlfn.IFNA(VLOOKUP(D1356,Catalog!$B$2:$C$4102,2,FALSE()),"")</f>
        <v/>
      </c>
      <c r="I1356" s="7" t="str">
        <f aca="false">HLOOKUP(C1356,Regions!$B$1:$S$2,2,FALSE())</f>
        <v>Non-EU</v>
      </c>
      <c r="J1356" s="7" t="n">
        <f aca="false">E1356*F1356</f>
        <v>68</v>
      </c>
      <c r="K1356" s="8" t="str">
        <f aca="false">IF(H1356="","",1-F1356/H1356)</f>
        <v/>
      </c>
    </row>
    <row r="1357" customFormat="false" ht="15" hidden="false" customHeight="false" outlineLevel="0" collapsed="false">
      <c r="A1357" s="0" t="s">
        <v>841</v>
      </c>
      <c r="B1357" s="6" t="n">
        <v>40886.3666666667</v>
      </c>
      <c r="C1357" s="0" t="s">
        <v>425</v>
      </c>
      <c r="D1357" s="0" t="s">
        <v>852</v>
      </c>
      <c r="E1357" s="0" t="n">
        <v>192</v>
      </c>
      <c r="F1357" s="0" t="n">
        <v>1.06</v>
      </c>
      <c r="G1357" s="7" t="str">
        <f aca="false">_xlfn.XLOOKUP(D1357,Catalog!$B$2:$B$4102,Catalog!$A$2:$A$4102,"NOT IN CATALOG")</f>
        <v>GROW A FLYTRAP OR SUNFLOWER IN TIN</v>
      </c>
      <c r="H1357" s="7" t="n">
        <f aca="false">_xlfn.IFNA(VLOOKUP(D1357,Catalog!$B$2:$C$4102,2,FALSE()),"")</f>
        <v>1.25</v>
      </c>
      <c r="I1357" s="7" t="str">
        <f aca="false">HLOOKUP(C1357,Regions!$B$1:$S$2,2,FALSE())</f>
        <v>Non-EU</v>
      </c>
      <c r="J1357" s="7" t="n">
        <f aca="false">E1357*F1357</f>
        <v>203.52</v>
      </c>
      <c r="K1357" s="8" t="n">
        <f aca="false">IF(H1357="","",1-F1357/H1357)</f>
        <v>0.152</v>
      </c>
    </row>
    <row r="1358" customFormat="false" ht="15" hidden="false" customHeight="false" outlineLevel="0" collapsed="false">
      <c r="A1358" s="0" t="s">
        <v>841</v>
      </c>
      <c r="B1358" s="6" t="n">
        <v>40886.3666666667</v>
      </c>
      <c r="C1358" s="0" t="s">
        <v>425</v>
      </c>
      <c r="D1358" s="0" t="s">
        <v>853</v>
      </c>
      <c r="E1358" s="0" t="n">
        <v>24</v>
      </c>
      <c r="F1358" s="0" t="n">
        <v>1.25</v>
      </c>
      <c r="G1358" s="7" t="str">
        <f aca="false">_xlfn.XLOOKUP(D1358,Catalog!$B$2:$B$4102,Catalog!$A$2:$A$4102,"NOT IN CATALOG")</f>
        <v>FRENCH WC SIGN BLUE METAL</v>
      </c>
      <c r="H1358" s="7" t="n">
        <f aca="false">_xlfn.IFNA(VLOOKUP(D1358,Catalog!$B$2:$C$4102,2,FALSE()),"")</f>
        <v>1.25</v>
      </c>
      <c r="I1358" s="7" t="str">
        <f aca="false">HLOOKUP(C1358,Regions!$B$1:$S$2,2,FALSE())</f>
        <v>Non-EU</v>
      </c>
      <c r="J1358" s="7" t="n">
        <f aca="false">E1358*F1358</f>
        <v>30</v>
      </c>
      <c r="K1358" s="8" t="n">
        <f aca="false">IF(H1358="","",1-F1358/H1358)</f>
        <v>0</v>
      </c>
    </row>
    <row r="1359" customFormat="false" ht="15" hidden="false" customHeight="false" outlineLevel="0" collapsed="false">
      <c r="A1359" s="0" t="s">
        <v>841</v>
      </c>
      <c r="B1359" s="6" t="n">
        <v>40886.3666666667</v>
      </c>
      <c r="C1359" s="0" t="s">
        <v>425</v>
      </c>
      <c r="D1359" s="0" t="s">
        <v>490</v>
      </c>
      <c r="E1359" s="0" t="n">
        <v>24</v>
      </c>
      <c r="F1359" s="0" t="n">
        <v>2.55</v>
      </c>
      <c r="G1359" s="7" t="str">
        <f aca="false">_xlfn.XLOOKUP(D1359,Catalog!$B$2:$B$4102,Catalog!$A$2:$A$4102,"NOT IN CATALOG")</f>
        <v>RECIPE BOX RETROSPOT</v>
      </c>
      <c r="H1359" s="7" t="n">
        <f aca="false">_xlfn.IFNA(VLOOKUP(D1359,Catalog!$B$2:$C$4102,2,FALSE()),"")</f>
        <v>2.95</v>
      </c>
      <c r="I1359" s="7" t="str">
        <f aca="false">HLOOKUP(C1359,Regions!$B$1:$S$2,2,FALSE())</f>
        <v>Non-EU</v>
      </c>
      <c r="J1359" s="7" t="n">
        <f aca="false">E1359*F1359</f>
        <v>61.2</v>
      </c>
      <c r="K1359" s="8" t="n">
        <f aca="false">IF(H1359="","",1-F1359/H1359)</f>
        <v>0.135593220338983</v>
      </c>
    </row>
    <row r="1360" customFormat="false" ht="15" hidden="false" customHeight="false" outlineLevel="0" collapsed="false">
      <c r="A1360" s="0" t="s">
        <v>841</v>
      </c>
      <c r="B1360" s="6" t="n">
        <v>40886.3666666667</v>
      </c>
      <c r="C1360" s="0" t="s">
        <v>425</v>
      </c>
      <c r="D1360" s="0" t="s">
        <v>542</v>
      </c>
      <c r="E1360" s="0" t="n">
        <v>24</v>
      </c>
      <c r="F1360" s="0" t="n">
        <v>2.55</v>
      </c>
      <c r="G1360" s="7" t="str">
        <f aca="false">_xlfn.XLOOKUP(D1360,Catalog!$B$2:$B$4102,Catalog!$A$2:$A$4102,"NOT IN CATALOG")</f>
        <v>RECIPE BOX PANTRY YELLOW DESIGN</v>
      </c>
      <c r="H1360" s="7" t="n">
        <f aca="false">_xlfn.IFNA(VLOOKUP(D1360,Catalog!$B$2:$C$4102,2,FALSE()),"")</f>
        <v>2.95</v>
      </c>
      <c r="I1360" s="7" t="str">
        <f aca="false">HLOOKUP(C1360,Regions!$B$1:$S$2,2,FALSE())</f>
        <v>Non-EU</v>
      </c>
      <c r="J1360" s="7" t="n">
        <f aca="false">E1360*F1360</f>
        <v>61.2</v>
      </c>
      <c r="K1360" s="8" t="n">
        <f aca="false">IF(H1360="","",1-F1360/H1360)</f>
        <v>0.135593220338983</v>
      </c>
    </row>
    <row r="1361" customFormat="false" ht="15" hidden="false" customHeight="false" outlineLevel="0" collapsed="false">
      <c r="A1361" s="0" t="s">
        <v>841</v>
      </c>
      <c r="B1361" s="6" t="n">
        <v>40886.3666666667</v>
      </c>
      <c r="C1361" s="0" t="s">
        <v>425</v>
      </c>
      <c r="D1361" s="0" t="s">
        <v>464</v>
      </c>
      <c r="E1361" s="0" t="n">
        <v>12</v>
      </c>
      <c r="F1361" s="0" t="n">
        <v>1.95</v>
      </c>
      <c r="G1361" s="7" t="str">
        <f aca="false">_xlfn.XLOOKUP(D1361,Catalog!$B$2:$B$4102,Catalog!$A$2:$A$4102,"NOT IN CATALOG")</f>
        <v>CIRCUS PARADE LUNCH BOX</v>
      </c>
      <c r="H1361" s="7" t="n">
        <f aca="false">_xlfn.IFNA(VLOOKUP(D1361,Catalog!$B$2:$C$4102,2,FALSE()),"")</f>
        <v>1.95</v>
      </c>
      <c r="I1361" s="7" t="str">
        <f aca="false">HLOOKUP(C1361,Regions!$B$1:$S$2,2,FALSE())</f>
        <v>Non-EU</v>
      </c>
      <c r="J1361" s="7" t="n">
        <f aca="false">E1361*F1361</f>
        <v>23.4</v>
      </c>
      <c r="K1361" s="8" t="n">
        <f aca="false">IF(H1361="","",1-F1361/H1361)</f>
        <v>0</v>
      </c>
    </row>
    <row r="1362" customFormat="false" ht="15" hidden="false" customHeight="false" outlineLevel="0" collapsed="false">
      <c r="A1362" s="0" t="s">
        <v>841</v>
      </c>
      <c r="B1362" s="6" t="n">
        <v>40886.3666666667</v>
      </c>
      <c r="C1362" s="0" t="s">
        <v>425</v>
      </c>
      <c r="D1362" s="0" t="s">
        <v>373</v>
      </c>
      <c r="E1362" s="0" t="n">
        <v>16</v>
      </c>
      <c r="F1362" s="0" t="n">
        <v>4.95</v>
      </c>
      <c r="G1362" s="7" t="str">
        <f aca="false">_xlfn.XLOOKUP(D1362,Catalog!$B$2:$B$4102,Catalog!$A$2:$A$4102,"NOT IN CATALOG")</f>
        <v>PICNIC BOXES SET OF 3 RETROSPOT</v>
      </c>
      <c r="H1362" s="7" t="n">
        <f aca="false">_xlfn.IFNA(VLOOKUP(D1362,Catalog!$B$2:$C$4102,2,FALSE()),"")</f>
        <v>4.95</v>
      </c>
      <c r="I1362" s="7" t="str">
        <f aca="false">HLOOKUP(C1362,Regions!$B$1:$S$2,2,FALSE())</f>
        <v>Non-EU</v>
      </c>
      <c r="J1362" s="7" t="n">
        <f aca="false">E1362*F1362</f>
        <v>79.2</v>
      </c>
      <c r="K1362" s="8" t="n">
        <f aca="false">IF(H1362="","",1-F1362/H1362)</f>
        <v>0</v>
      </c>
    </row>
    <row r="1363" customFormat="false" ht="15" hidden="false" customHeight="false" outlineLevel="0" collapsed="false">
      <c r="A1363" s="0" t="s">
        <v>841</v>
      </c>
      <c r="B1363" s="6" t="n">
        <v>40886.3666666667</v>
      </c>
      <c r="C1363" s="0" t="s">
        <v>425</v>
      </c>
      <c r="D1363" s="0" t="s">
        <v>519</v>
      </c>
      <c r="E1363" s="0" t="n">
        <v>6</v>
      </c>
      <c r="F1363" s="0" t="n">
        <v>2.55</v>
      </c>
      <c r="G1363" s="7" t="str">
        <f aca="false">_xlfn.XLOOKUP(D1363,Catalog!$B$2:$B$4102,Catalog!$A$2:$A$4102,"NOT IN CATALOG")</f>
        <v>GUMBALL COAT RACK</v>
      </c>
      <c r="H1363" s="7" t="n">
        <f aca="false">_xlfn.IFNA(VLOOKUP(D1363,Catalog!$B$2:$C$4102,2,FALSE()),"")</f>
        <v>2.55</v>
      </c>
      <c r="I1363" s="7" t="str">
        <f aca="false">HLOOKUP(C1363,Regions!$B$1:$S$2,2,FALSE())</f>
        <v>Non-EU</v>
      </c>
      <c r="J1363" s="7" t="n">
        <f aca="false">E1363*F1363</f>
        <v>15.3</v>
      </c>
      <c r="K1363" s="8" t="n">
        <f aca="false">IF(H1363="","",1-F1363/H1363)</f>
        <v>0</v>
      </c>
    </row>
    <row r="1364" customFormat="false" ht="15" hidden="false" customHeight="false" outlineLevel="0" collapsed="false">
      <c r="A1364" s="0" t="s">
        <v>841</v>
      </c>
      <c r="B1364" s="6" t="n">
        <v>40886.3666666667</v>
      </c>
      <c r="C1364" s="0" t="s">
        <v>425</v>
      </c>
      <c r="D1364" s="0" t="s">
        <v>579</v>
      </c>
      <c r="E1364" s="0" t="n">
        <v>100</v>
      </c>
      <c r="F1364" s="0" t="n">
        <v>0.72</v>
      </c>
      <c r="G1364" s="7" t="str">
        <f aca="false">_xlfn.XLOOKUP(D1364,Catalog!$B$2:$B$4102,Catalog!$A$2:$A$4102,"NOT IN CATALOG")</f>
        <v>SMALL POPCORN HOLDER</v>
      </c>
      <c r="H1364" s="7" t="n">
        <f aca="false">_xlfn.IFNA(VLOOKUP(D1364,Catalog!$B$2:$C$4102,2,FALSE()),"")</f>
        <v>0.85</v>
      </c>
      <c r="I1364" s="7" t="str">
        <f aca="false">HLOOKUP(C1364,Regions!$B$1:$S$2,2,FALSE())</f>
        <v>Non-EU</v>
      </c>
      <c r="J1364" s="7" t="n">
        <f aca="false">E1364*F1364</f>
        <v>72</v>
      </c>
      <c r="K1364" s="8" t="n">
        <f aca="false">IF(H1364="","",1-F1364/H1364)</f>
        <v>0.152941176470588</v>
      </c>
    </row>
    <row r="1365" customFormat="false" ht="15" hidden="false" customHeight="false" outlineLevel="0" collapsed="false">
      <c r="A1365" s="0" t="s">
        <v>841</v>
      </c>
      <c r="B1365" s="6" t="n">
        <v>40886.3666666667</v>
      </c>
      <c r="C1365" s="0" t="s">
        <v>425</v>
      </c>
      <c r="D1365" s="0" t="s">
        <v>471</v>
      </c>
      <c r="E1365" s="0" t="n">
        <v>8</v>
      </c>
      <c r="F1365" s="0" t="n">
        <v>4.25</v>
      </c>
      <c r="G1365" s="7" t="str">
        <f aca="false">_xlfn.XLOOKUP(D1365,Catalog!$B$2:$B$4102,Catalog!$A$2:$A$4102,"NOT IN CATALOG")</f>
        <v>HOT WATER BOTTLE TEA AND SYMPATHY</v>
      </c>
      <c r="H1365" s="7" t="n">
        <f aca="false">_xlfn.IFNA(VLOOKUP(D1365,Catalog!$B$2:$C$4102,2,FALSE()),"")</f>
        <v>3.95</v>
      </c>
      <c r="I1365" s="7" t="str">
        <f aca="false">HLOOKUP(C1365,Regions!$B$1:$S$2,2,FALSE())</f>
        <v>Non-EU</v>
      </c>
      <c r="J1365" s="7" t="n">
        <f aca="false">E1365*F1365</f>
        <v>34</v>
      </c>
      <c r="K1365" s="8" t="n">
        <f aca="false">IF(H1365="","",1-F1365/H1365)</f>
        <v>-0.0759493670886076</v>
      </c>
    </row>
    <row r="1366" customFormat="false" ht="15" hidden="false" customHeight="false" outlineLevel="0" collapsed="false">
      <c r="A1366" s="0" t="s">
        <v>841</v>
      </c>
      <c r="B1366" s="6" t="n">
        <v>40886.3666666667</v>
      </c>
      <c r="C1366" s="0" t="s">
        <v>425</v>
      </c>
      <c r="D1366" s="0" t="s">
        <v>595</v>
      </c>
      <c r="E1366" s="0" t="n">
        <v>9</v>
      </c>
      <c r="F1366" s="0" t="n">
        <v>4.95</v>
      </c>
      <c r="G1366" s="7" t="str">
        <f aca="false">_xlfn.XLOOKUP(D1366,Catalog!$B$2:$B$4102,Catalog!$A$2:$A$4102,"NOT IN CATALOG")</f>
        <v>CHOCOLATE HOT WATER BOTTLE</v>
      </c>
      <c r="H1366" s="7" t="n">
        <f aca="false">_xlfn.IFNA(VLOOKUP(D1366,Catalog!$B$2:$C$4102,2,FALSE()),"")</f>
        <v>4.95</v>
      </c>
      <c r="I1366" s="7" t="str">
        <f aca="false">HLOOKUP(C1366,Regions!$B$1:$S$2,2,FALSE())</f>
        <v>Non-EU</v>
      </c>
      <c r="J1366" s="7" t="n">
        <f aca="false">E1366*F1366</f>
        <v>44.55</v>
      </c>
      <c r="K1366" s="8" t="n">
        <f aca="false">IF(H1366="","",1-F1366/H1366)</f>
        <v>0</v>
      </c>
    </row>
    <row r="1367" customFormat="false" ht="15" hidden="false" customHeight="false" outlineLevel="0" collapsed="false">
      <c r="A1367" s="0" t="s">
        <v>841</v>
      </c>
      <c r="B1367" s="6" t="n">
        <v>40886.3666666667</v>
      </c>
      <c r="C1367" s="0" t="s">
        <v>425</v>
      </c>
      <c r="D1367" s="0" t="s">
        <v>200</v>
      </c>
      <c r="E1367" s="0" t="n">
        <v>36</v>
      </c>
      <c r="F1367" s="0" t="n">
        <v>2.1</v>
      </c>
      <c r="G1367" s="7" t="str">
        <f aca="false">_xlfn.XLOOKUP(D1367,Catalog!$B$2:$B$4102,Catalog!$A$2:$A$4102,"NOT IN CATALOG")</f>
        <v>CHOCOLATE THIS WAY METAL SIGN</v>
      </c>
      <c r="H1367" s="7" t="n">
        <f aca="false">_xlfn.IFNA(VLOOKUP(D1367,Catalog!$B$2:$C$4102,2,FALSE()),"")</f>
        <v>2.1</v>
      </c>
      <c r="I1367" s="7" t="str">
        <f aca="false">HLOOKUP(C1367,Regions!$B$1:$S$2,2,FALSE())</f>
        <v>Non-EU</v>
      </c>
      <c r="J1367" s="7" t="n">
        <f aca="false">E1367*F1367</f>
        <v>75.6</v>
      </c>
      <c r="K1367" s="8" t="n">
        <f aca="false">IF(H1367="","",1-F1367/H1367)</f>
        <v>0</v>
      </c>
    </row>
    <row r="1368" customFormat="false" ht="15" hidden="false" customHeight="false" outlineLevel="0" collapsed="false">
      <c r="A1368" s="0" t="s">
        <v>841</v>
      </c>
      <c r="B1368" s="6" t="n">
        <v>40886.3666666667</v>
      </c>
      <c r="C1368" s="0" t="s">
        <v>425</v>
      </c>
      <c r="D1368" s="0" t="s">
        <v>854</v>
      </c>
      <c r="E1368" s="0" t="n">
        <v>36</v>
      </c>
      <c r="F1368" s="0" t="n">
        <v>1.45</v>
      </c>
      <c r="G1368" s="7" t="str">
        <f aca="false">_xlfn.XLOOKUP(D1368,Catalog!$B$2:$B$4102,Catalog!$A$2:$A$4102,"NOT IN CATALOG")</f>
        <v>GIN AND TONIC MUG</v>
      </c>
      <c r="H1368" s="7" t="n">
        <f aca="false">_xlfn.IFNA(VLOOKUP(D1368,Catalog!$B$2:$C$4102,2,FALSE()),"")</f>
        <v>1.25</v>
      </c>
      <c r="I1368" s="7" t="str">
        <f aca="false">HLOOKUP(C1368,Regions!$B$1:$S$2,2,FALSE())</f>
        <v>Non-EU</v>
      </c>
      <c r="J1368" s="7" t="n">
        <f aca="false">E1368*F1368</f>
        <v>52.2</v>
      </c>
      <c r="K1368" s="8" t="n">
        <f aca="false">IF(H1368="","",1-F1368/H1368)</f>
        <v>-0.16</v>
      </c>
    </row>
    <row r="1369" customFormat="false" ht="15" hidden="false" customHeight="false" outlineLevel="0" collapsed="false">
      <c r="A1369" s="0" t="s">
        <v>841</v>
      </c>
      <c r="B1369" s="6" t="n">
        <v>40886.3666666667</v>
      </c>
      <c r="C1369" s="0" t="s">
        <v>425</v>
      </c>
      <c r="D1369" s="0" t="s">
        <v>855</v>
      </c>
      <c r="E1369" s="0" t="n">
        <v>12</v>
      </c>
      <c r="F1369" s="0" t="n">
        <v>1.25</v>
      </c>
      <c r="G1369" s="7" t="str">
        <f aca="false">_xlfn.XLOOKUP(D1369,Catalog!$B$2:$B$4102,Catalog!$A$2:$A$4102,"NOT IN CATALOG")</f>
        <v>GLAMOROUS MUG</v>
      </c>
      <c r="H1369" s="7" t="n">
        <f aca="false">_xlfn.IFNA(VLOOKUP(D1369,Catalog!$B$2:$C$4102,2,FALSE()),"")</f>
        <v>1.25</v>
      </c>
      <c r="I1369" s="7" t="str">
        <f aca="false">HLOOKUP(C1369,Regions!$B$1:$S$2,2,FALSE())</f>
        <v>Non-EU</v>
      </c>
      <c r="J1369" s="7" t="n">
        <f aca="false">E1369*F1369</f>
        <v>15</v>
      </c>
      <c r="K1369" s="8" t="n">
        <f aca="false">IF(H1369="","",1-F1369/H1369)</f>
        <v>0</v>
      </c>
    </row>
    <row r="1370" customFormat="false" ht="15" hidden="false" customHeight="false" outlineLevel="0" collapsed="false">
      <c r="A1370" s="0" t="s">
        <v>841</v>
      </c>
      <c r="B1370" s="6" t="n">
        <v>40886.3666666667</v>
      </c>
      <c r="C1370" s="0" t="s">
        <v>425</v>
      </c>
      <c r="D1370" s="0" t="s">
        <v>61</v>
      </c>
      <c r="E1370" s="0" t="n">
        <v>36</v>
      </c>
      <c r="F1370" s="0" t="n">
        <v>1.45</v>
      </c>
      <c r="G1370" s="7" t="str">
        <f aca="false">_xlfn.XLOOKUP(D1370,Catalog!$B$2:$B$4102,Catalog!$A$2:$A$4102,"NOT IN CATALOG")</f>
        <v>SAVE THE PLANET MUG</v>
      </c>
      <c r="H1370" s="7" t="n">
        <f aca="false">_xlfn.IFNA(VLOOKUP(D1370,Catalog!$B$2:$C$4102,2,FALSE()),"")</f>
        <v>1.25</v>
      </c>
      <c r="I1370" s="7" t="str">
        <f aca="false">HLOOKUP(C1370,Regions!$B$1:$S$2,2,FALSE())</f>
        <v>Non-EU</v>
      </c>
      <c r="J1370" s="7" t="n">
        <f aca="false">E1370*F1370</f>
        <v>52.2</v>
      </c>
      <c r="K1370" s="8" t="n">
        <f aca="false">IF(H1370="","",1-F1370/H1370)</f>
        <v>-0.16</v>
      </c>
    </row>
    <row r="1371" customFormat="false" ht="15" hidden="false" customHeight="false" outlineLevel="0" collapsed="false">
      <c r="A1371" s="0" t="s">
        <v>841</v>
      </c>
      <c r="B1371" s="6" t="n">
        <v>40886.3666666667</v>
      </c>
      <c r="C1371" s="0" t="s">
        <v>425</v>
      </c>
      <c r="D1371" s="0" t="s">
        <v>856</v>
      </c>
      <c r="E1371" s="0" t="n">
        <v>6</v>
      </c>
      <c r="F1371" s="0" t="n">
        <v>4.95</v>
      </c>
      <c r="G1371" s="7" t="str">
        <f aca="false">_xlfn.XLOOKUP(D1371,Catalog!$B$2:$B$4102,Catalog!$A$2:$A$4102,"NOT IN CATALOG")</f>
        <v>RETRO SPOT LARGE MILK JUG</v>
      </c>
      <c r="H1371" s="7" t="n">
        <f aca="false">_xlfn.IFNA(VLOOKUP(D1371,Catalog!$B$2:$C$4102,2,FALSE()),"")</f>
        <v>4.95</v>
      </c>
      <c r="I1371" s="7" t="str">
        <f aca="false">HLOOKUP(C1371,Regions!$B$1:$S$2,2,FALSE())</f>
        <v>Non-EU</v>
      </c>
      <c r="J1371" s="7" t="n">
        <f aca="false">E1371*F1371</f>
        <v>29.7</v>
      </c>
      <c r="K1371" s="8" t="n">
        <f aca="false">IF(H1371="","",1-F1371/H1371)</f>
        <v>0</v>
      </c>
    </row>
    <row r="1372" customFormat="false" ht="15" hidden="false" customHeight="false" outlineLevel="0" collapsed="false">
      <c r="A1372" s="0" t="s">
        <v>841</v>
      </c>
      <c r="B1372" s="6" t="n">
        <v>40886.3666666667</v>
      </c>
      <c r="C1372" s="0" t="s">
        <v>425</v>
      </c>
      <c r="D1372" s="0" t="s">
        <v>224</v>
      </c>
      <c r="E1372" s="0" t="n">
        <v>12</v>
      </c>
      <c r="F1372" s="0" t="n">
        <v>3.75</v>
      </c>
      <c r="G1372" s="7" t="str">
        <f aca="false">_xlfn.XLOOKUP(D1372,Catalog!$B$2:$B$4102,Catalog!$A$2:$A$4102,"NOT IN CATALOG")</f>
        <v>FAWN BLUE HOT WATER BOTTLE</v>
      </c>
      <c r="H1372" s="7" t="n">
        <f aca="false">_xlfn.IFNA(VLOOKUP(D1372,Catalog!$B$2:$C$4102,2,FALSE()),"")</f>
        <v>2.95</v>
      </c>
      <c r="I1372" s="7" t="str">
        <f aca="false">HLOOKUP(C1372,Regions!$B$1:$S$2,2,FALSE())</f>
        <v>Non-EU</v>
      </c>
      <c r="J1372" s="7" t="n">
        <f aca="false">E1372*F1372</f>
        <v>45</v>
      </c>
      <c r="K1372" s="8" t="n">
        <f aca="false">IF(H1372="","",1-F1372/H1372)</f>
        <v>-0.271186440677966</v>
      </c>
    </row>
    <row r="1373" customFormat="false" ht="15" hidden="false" customHeight="false" outlineLevel="0" collapsed="false">
      <c r="A1373" s="0" t="s">
        <v>841</v>
      </c>
      <c r="B1373" s="6" t="n">
        <v>40886.3666666667</v>
      </c>
      <c r="C1373" s="0" t="s">
        <v>425</v>
      </c>
      <c r="D1373" s="0" t="s">
        <v>497</v>
      </c>
      <c r="E1373" s="0" t="n">
        <v>4</v>
      </c>
      <c r="F1373" s="0" t="n">
        <v>4.25</v>
      </c>
      <c r="G1373" s="7" t="str">
        <f aca="false">_xlfn.XLOOKUP(D1373,Catalog!$B$2:$B$4102,Catalog!$A$2:$A$4102,"NOT IN CATALOG")</f>
        <v>WHITE SKULL HOT WATER BOTTLE</v>
      </c>
      <c r="H1373" s="7" t="n">
        <f aca="false">_xlfn.IFNA(VLOOKUP(D1373,Catalog!$B$2:$C$4102,2,FALSE()),"")</f>
        <v>3.75</v>
      </c>
      <c r="I1373" s="7" t="str">
        <f aca="false">HLOOKUP(C1373,Regions!$B$1:$S$2,2,FALSE())</f>
        <v>Non-EU</v>
      </c>
      <c r="J1373" s="7" t="n">
        <f aca="false">E1373*F1373</f>
        <v>17</v>
      </c>
      <c r="K1373" s="8" t="n">
        <f aca="false">IF(H1373="","",1-F1373/H1373)</f>
        <v>-0.133333333333333</v>
      </c>
    </row>
    <row r="1374" customFormat="false" ht="15" hidden="false" customHeight="false" outlineLevel="0" collapsed="false">
      <c r="A1374" s="0" t="s">
        <v>841</v>
      </c>
      <c r="B1374" s="6" t="n">
        <v>40886.3666666667</v>
      </c>
      <c r="C1374" s="0" t="s">
        <v>425</v>
      </c>
      <c r="D1374" s="0" t="s">
        <v>857</v>
      </c>
      <c r="E1374" s="0" t="n">
        <v>12</v>
      </c>
      <c r="F1374" s="0" t="n">
        <v>1.45</v>
      </c>
      <c r="G1374" s="7" t="str">
        <f aca="false">_xlfn.XLOOKUP(D1374,Catalog!$B$2:$B$4102,Catalog!$A$2:$A$4102,"NOT IN CATALOG")</f>
        <v>DOOR HANGER MUM + DADS ROOM</v>
      </c>
      <c r="H1374" s="7" t="n">
        <f aca="false">_xlfn.IFNA(VLOOKUP(D1374,Catalog!$B$2:$C$4102,2,FALSE()),"")</f>
        <v>1.45</v>
      </c>
      <c r="I1374" s="7" t="str">
        <f aca="false">HLOOKUP(C1374,Regions!$B$1:$S$2,2,FALSE())</f>
        <v>Non-EU</v>
      </c>
      <c r="J1374" s="7" t="n">
        <f aca="false">E1374*F1374</f>
        <v>17.4</v>
      </c>
      <c r="K1374" s="8" t="n">
        <f aca="false">IF(H1374="","",1-F1374/H1374)</f>
        <v>0</v>
      </c>
    </row>
    <row r="1375" customFormat="false" ht="15" hidden="false" customHeight="false" outlineLevel="0" collapsed="false">
      <c r="A1375" s="0" t="s">
        <v>841</v>
      </c>
      <c r="B1375" s="6" t="n">
        <v>40886.3666666667</v>
      </c>
      <c r="C1375" s="0" t="s">
        <v>425</v>
      </c>
      <c r="D1375" s="0" t="s">
        <v>753</v>
      </c>
      <c r="E1375" s="0" t="n">
        <v>24</v>
      </c>
      <c r="F1375" s="0" t="n">
        <v>4.25</v>
      </c>
      <c r="G1375" s="7" t="str">
        <f aca="false">_xlfn.XLOOKUP(D1375,Catalog!$B$2:$B$4102,Catalog!$A$2:$A$4102,"NOT IN CATALOG")</f>
        <v>SET 3 RED SPOT TIN TEA,COFFEE,SUGAR</v>
      </c>
      <c r="H1375" s="7" t="n">
        <f aca="false">_xlfn.IFNA(VLOOKUP(D1375,Catalog!$B$2:$C$4102,2,FALSE()),"")</f>
        <v>4.95</v>
      </c>
      <c r="I1375" s="7" t="str">
        <f aca="false">HLOOKUP(C1375,Regions!$B$1:$S$2,2,FALSE())</f>
        <v>Non-EU</v>
      </c>
      <c r="J1375" s="7" t="n">
        <f aca="false">E1375*F1375</f>
        <v>102</v>
      </c>
      <c r="K1375" s="8" t="n">
        <f aca="false">IF(H1375="","",1-F1375/H1375)</f>
        <v>0.141414141414141</v>
      </c>
    </row>
    <row r="1376" customFormat="false" ht="15" hidden="false" customHeight="false" outlineLevel="0" collapsed="false">
      <c r="A1376" s="0" t="s">
        <v>841</v>
      </c>
      <c r="B1376" s="6" t="n">
        <v>40886.3666666667</v>
      </c>
      <c r="C1376" s="0" t="s">
        <v>425</v>
      </c>
      <c r="D1376" s="0" t="s">
        <v>204</v>
      </c>
      <c r="E1376" s="0" t="n">
        <v>48</v>
      </c>
      <c r="F1376" s="0" t="n">
        <v>1.85</v>
      </c>
      <c r="G1376" s="7" t="str">
        <f aca="false">_xlfn.XLOOKUP(D1376,Catalog!$B$2:$B$4102,Catalog!$A$2:$A$4102,"NOT IN CATALOG")</f>
        <v>PLEASE ONE PERSON METAL SIGN</v>
      </c>
      <c r="H1376" s="7" t="n">
        <f aca="false">_xlfn.IFNA(VLOOKUP(D1376,Catalog!$B$2:$C$4102,2,FALSE()),"")</f>
        <v>2.1</v>
      </c>
      <c r="I1376" s="7" t="str">
        <f aca="false">HLOOKUP(C1376,Regions!$B$1:$S$2,2,FALSE())</f>
        <v>Non-EU</v>
      </c>
      <c r="J1376" s="7" t="n">
        <f aca="false">E1376*F1376</f>
        <v>88.8</v>
      </c>
      <c r="K1376" s="8" t="n">
        <f aca="false">IF(H1376="","",1-F1376/H1376)</f>
        <v>0.119047619047619</v>
      </c>
    </row>
    <row r="1377" customFormat="false" ht="15" hidden="false" customHeight="false" outlineLevel="0" collapsed="false">
      <c r="A1377" s="0" t="s">
        <v>841</v>
      </c>
      <c r="B1377" s="6" t="n">
        <v>40886.3666666667</v>
      </c>
      <c r="C1377" s="0" t="s">
        <v>425</v>
      </c>
      <c r="D1377" s="0" t="s">
        <v>199</v>
      </c>
      <c r="E1377" s="0" t="n">
        <v>48</v>
      </c>
      <c r="F1377" s="0" t="n">
        <v>2.08</v>
      </c>
      <c r="G1377" s="7" t="str">
        <f aca="false">_xlfn.XLOOKUP(D1377,Catalog!$B$2:$B$4102,Catalog!$A$2:$A$4102,"NOT IN CATALOG")</f>
        <v>GIN + TONIC DIET METAL SIGN</v>
      </c>
      <c r="H1377" s="7" t="n">
        <f aca="false">_xlfn.IFNA(VLOOKUP(D1377,Catalog!$B$2:$C$4102,2,FALSE()),"")</f>
        <v>2.1</v>
      </c>
      <c r="I1377" s="7" t="str">
        <f aca="false">HLOOKUP(C1377,Regions!$B$1:$S$2,2,FALSE())</f>
        <v>Non-EU</v>
      </c>
      <c r="J1377" s="7" t="n">
        <f aca="false">E1377*F1377</f>
        <v>99.84</v>
      </c>
      <c r="K1377" s="8" t="n">
        <f aca="false">IF(H1377="","",1-F1377/H1377)</f>
        <v>0.00952380952380949</v>
      </c>
    </row>
    <row r="1378" customFormat="false" ht="15" hidden="false" customHeight="false" outlineLevel="0" collapsed="false">
      <c r="A1378" s="0" t="s">
        <v>841</v>
      </c>
      <c r="B1378" s="6" t="n">
        <v>40886.3666666667</v>
      </c>
      <c r="C1378" s="0" t="s">
        <v>425</v>
      </c>
      <c r="D1378" s="0" t="s">
        <v>207</v>
      </c>
      <c r="E1378" s="0" t="n">
        <v>48</v>
      </c>
      <c r="F1378" s="0" t="n">
        <v>1.45</v>
      </c>
      <c r="G1378" s="7" t="str">
        <f aca="false">_xlfn.XLOOKUP(D1378,Catalog!$B$2:$B$4102,Catalog!$A$2:$A$4102,"NOT IN CATALOG")</f>
        <v>YOU'RE CONFUSING ME METAL SIGN</v>
      </c>
      <c r="H1378" s="7" t="n">
        <f aca="false">_xlfn.IFNA(VLOOKUP(D1378,Catalog!$B$2:$C$4102,2,FALSE()),"")</f>
        <v>1.69</v>
      </c>
      <c r="I1378" s="7" t="str">
        <f aca="false">HLOOKUP(C1378,Regions!$B$1:$S$2,2,FALSE())</f>
        <v>Non-EU</v>
      </c>
      <c r="J1378" s="7" t="n">
        <f aca="false">E1378*F1378</f>
        <v>69.6</v>
      </c>
      <c r="K1378" s="8" t="n">
        <f aca="false">IF(H1378="","",1-F1378/H1378)</f>
        <v>0.142011834319527</v>
      </c>
    </row>
    <row r="1379" customFormat="false" ht="15" hidden="false" customHeight="false" outlineLevel="0" collapsed="false">
      <c r="A1379" s="0" t="s">
        <v>841</v>
      </c>
      <c r="B1379" s="6" t="n">
        <v>40886.3666666667</v>
      </c>
      <c r="C1379" s="0" t="s">
        <v>425</v>
      </c>
      <c r="D1379" s="0" t="s">
        <v>621</v>
      </c>
      <c r="E1379" s="0" t="n">
        <v>24</v>
      </c>
      <c r="F1379" s="0" t="n">
        <v>0.39</v>
      </c>
      <c r="G1379" s="7" t="str">
        <f aca="false">_xlfn.XLOOKUP(D1379,Catalog!$B$2:$B$4102,Catalog!$A$2:$A$4102,"NOT IN CATALOG")</f>
        <v>TOXIC AREA DOOR HANGER</v>
      </c>
      <c r="H1379" s="7" t="n">
        <f aca="false">_xlfn.IFNA(VLOOKUP(D1379,Catalog!$B$2:$C$4102,2,FALSE()),"")</f>
        <v>1.45</v>
      </c>
      <c r="I1379" s="7" t="str">
        <f aca="false">HLOOKUP(C1379,Regions!$B$1:$S$2,2,FALSE())</f>
        <v>Non-EU</v>
      </c>
      <c r="J1379" s="7" t="n">
        <f aca="false">E1379*F1379</f>
        <v>9.36</v>
      </c>
      <c r="K1379" s="8" t="n">
        <f aca="false">IF(H1379="","",1-F1379/H1379)</f>
        <v>0.731034482758621</v>
      </c>
    </row>
    <row r="1380" customFormat="false" ht="15" hidden="false" customHeight="false" outlineLevel="0" collapsed="false">
      <c r="A1380" s="0" t="s">
        <v>841</v>
      </c>
      <c r="B1380" s="6" t="n">
        <v>40886.3666666667</v>
      </c>
      <c r="C1380" s="0" t="s">
        <v>425</v>
      </c>
      <c r="D1380" s="0" t="s">
        <v>858</v>
      </c>
      <c r="E1380" s="0" t="n">
        <v>24</v>
      </c>
      <c r="F1380" s="0" t="n">
        <v>0.39</v>
      </c>
      <c r="G1380" s="7" t="str">
        <f aca="false">_xlfn.XLOOKUP(D1380,Catalog!$B$2:$B$4102,Catalog!$A$2:$A$4102,"NOT IN CATALOG")</f>
        <v>MOODY BOY DOOR HANGER</v>
      </c>
      <c r="H1380" s="7" t="n">
        <f aca="false">_xlfn.IFNA(VLOOKUP(D1380,Catalog!$B$2:$C$4102,2,FALSE()),"")</f>
        <v>1.45</v>
      </c>
      <c r="I1380" s="7" t="str">
        <f aca="false">HLOOKUP(C1380,Regions!$B$1:$S$2,2,FALSE())</f>
        <v>Non-EU</v>
      </c>
      <c r="J1380" s="7" t="n">
        <f aca="false">E1380*F1380</f>
        <v>9.36</v>
      </c>
      <c r="K1380" s="8" t="n">
        <f aca="false">IF(H1380="","",1-F1380/H1380)</f>
        <v>0.731034482758621</v>
      </c>
    </row>
    <row r="1381" customFormat="false" ht="15" hidden="false" customHeight="false" outlineLevel="0" collapsed="false">
      <c r="A1381" s="0" t="s">
        <v>841</v>
      </c>
      <c r="B1381" s="6" t="n">
        <v>40886.3666666667</v>
      </c>
      <c r="C1381" s="0" t="s">
        <v>425</v>
      </c>
      <c r="D1381" s="0" t="s">
        <v>859</v>
      </c>
      <c r="E1381" s="0" t="n">
        <v>24</v>
      </c>
      <c r="F1381" s="0" t="n">
        <v>0.39</v>
      </c>
      <c r="G1381" s="7" t="str">
        <f aca="false">_xlfn.XLOOKUP(D1381,Catalog!$B$2:$B$4102,Catalog!$A$2:$A$4102,"NOT IN CATALOG")</f>
        <v>MOODY GIRL DOOR HANGER</v>
      </c>
      <c r="H1381" s="7" t="n">
        <f aca="false">_xlfn.IFNA(VLOOKUP(D1381,Catalog!$B$2:$C$4102,2,FALSE()),"")</f>
        <v>1.45</v>
      </c>
      <c r="I1381" s="7" t="str">
        <f aca="false">HLOOKUP(C1381,Regions!$B$1:$S$2,2,FALSE())</f>
        <v>Non-EU</v>
      </c>
      <c r="J1381" s="7" t="n">
        <f aca="false">E1381*F1381</f>
        <v>9.36</v>
      </c>
      <c r="K1381" s="8" t="n">
        <f aca="false">IF(H1381="","",1-F1381/H1381)</f>
        <v>0.731034482758621</v>
      </c>
    </row>
    <row r="1382" customFormat="false" ht="15" hidden="false" customHeight="false" outlineLevel="0" collapsed="false">
      <c r="A1382" s="0" t="s">
        <v>841</v>
      </c>
      <c r="B1382" s="6" t="n">
        <v>40886.3666666667</v>
      </c>
      <c r="C1382" s="0" t="s">
        <v>425</v>
      </c>
      <c r="D1382" s="0" t="s">
        <v>314</v>
      </c>
      <c r="E1382" s="0" t="n">
        <v>10</v>
      </c>
      <c r="F1382" s="0" t="n">
        <v>1.25</v>
      </c>
      <c r="G1382" s="7" t="str">
        <f aca="false">_xlfn.XLOOKUP(D1382,Catalog!$B$2:$B$4102,Catalog!$A$2:$A$4102,"NOT IN CATALOG")</f>
        <v>RED SPOTTY OVEN GLOVE</v>
      </c>
      <c r="H1382" s="7" t="n">
        <f aca="false">_xlfn.IFNA(VLOOKUP(D1382,Catalog!$B$2:$C$4102,2,FALSE()),"")</f>
        <v>1.25</v>
      </c>
      <c r="I1382" s="7" t="str">
        <f aca="false">HLOOKUP(C1382,Regions!$B$1:$S$2,2,FALSE())</f>
        <v>Non-EU</v>
      </c>
      <c r="J1382" s="7" t="n">
        <f aca="false">E1382*F1382</f>
        <v>12.5</v>
      </c>
      <c r="K1382" s="8" t="n">
        <f aca="false">IF(H1382="","",1-F1382/H1382)</f>
        <v>0</v>
      </c>
    </row>
    <row r="1383" customFormat="false" ht="15" hidden="false" customHeight="false" outlineLevel="0" collapsed="false">
      <c r="A1383" s="0" t="s">
        <v>841</v>
      </c>
      <c r="B1383" s="6" t="n">
        <v>40886.3666666667</v>
      </c>
      <c r="C1383" s="0" t="s">
        <v>425</v>
      </c>
      <c r="D1383" s="0" t="s">
        <v>860</v>
      </c>
      <c r="E1383" s="0" t="n">
        <v>40</v>
      </c>
      <c r="F1383" s="0" t="n">
        <v>0.85</v>
      </c>
      <c r="G1383" s="7" t="str">
        <f aca="false">_xlfn.XLOOKUP(D1383,Catalog!$B$2:$B$4102,Catalog!$A$2:$A$4102,"NOT IN CATALOG")</f>
        <v>LARGE CHINESE STYLE SCISSOR</v>
      </c>
      <c r="H1383" s="7" t="n">
        <f aca="false">_xlfn.IFNA(VLOOKUP(D1383,Catalog!$B$2:$C$4102,2,FALSE()),"")</f>
        <v>0.85</v>
      </c>
      <c r="I1383" s="7" t="str">
        <f aca="false">HLOOKUP(C1383,Regions!$B$1:$S$2,2,FALSE())</f>
        <v>Non-EU</v>
      </c>
      <c r="J1383" s="7" t="n">
        <f aca="false">E1383*F1383</f>
        <v>34</v>
      </c>
      <c r="K1383" s="8" t="n">
        <f aca="false">IF(H1383="","",1-F1383/H1383)</f>
        <v>0</v>
      </c>
    </row>
    <row r="1384" customFormat="false" ht="15" hidden="false" customHeight="false" outlineLevel="0" collapsed="false">
      <c r="A1384" s="0" t="s">
        <v>841</v>
      </c>
      <c r="B1384" s="6" t="n">
        <v>40886.3666666667</v>
      </c>
      <c r="C1384" s="0" t="s">
        <v>425</v>
      </c>
      <c r="D1384" s="0" t="s">
        <v>861</v>
      </c>
      <c r="E1384" s="0" t="n">
        <v>60</v>
      </c>
      <c r="F1384" s="0" t="n">
        <v>0.42</v>
      </c>
      <c r="G1384" s="7" t="str">
        <f aca="false">_xlfn.XLOOKUP(D1384,Catalog!$B$2:$B$4102,Catalog!$A$2:$A$4102,"NOT IN CATALOG")</f>
        <v>SMALL CHINESE STYLE SCISSOR</v>
      </c>
      <c r="H1384" s="7" t="n">
        <f aca="false">_xlfn.IFNA(VLOOKUP(D1384,Catalog!$B$2:$C$4102,2,FALSE()),"")</f>
        <v>0.42</v>
      </c>
      <c r="I1384" s="7" t="str">
        <f aca="false">HLOOKUP(C1384,Regions!$B$1:$S$2,2,FALSE())</f>
        <v>Non-EU</v>
      </c>
      <c r="J1384" s="7" t="n">
        <f aca="false">E1384*F1384</f>
        <v>25.2</v>
      </c>
      <c r="K1384" s="8" t="n">
        <f aca="false">IF(H1384="","",1-F1384/H1384)</f>
        <v>0</v>
      </c>
    </row>
    <row r="1385" customFormat="false" ht="15" hidden="false" customHeight="false" outlineLevel="0" collapsed="false">
      <c r="A1385" s="0" t="s">
        <v>841</v>
      </c>
      <c r="B1385" s="6" t="n">
        <v>40886.3666666667</v>
      </c>
      <c r="C1385" s="0" t="s">
        <v>425</v>
      </c>
      <c r="D1385" s="0" t="s">
        <v>801</v>
      </c>
      <c r="E1385" s="0" t="n">
        <v>240</v>
      </c>
      <c r="F1385" s="0" t="n">
        <v>0.12</v>
      </c>
      <c r="G1385" s="7" t="str">
        <f aca="false">_xlfn.XLOOKUP(D1385,Catalog!$B$2:$B$4102,Catalog!$A$2:$A$4102,"NOT IN CATALOG")</f>
        <v>SMALL FOLDING SCISSOR(POINTED EDGE)</v>
      </c>
      <c r="H1385" s="7" t="n">
        <f aca="false">_xlfn.IFNA(VLOOKUP(D1385,Catalog!$B$2:$C$4102,2,FALSE()),"")</f>
        <v>0.25</v>
      </c>
      <c r="I1385" s="7" t="str">
        <f aca="false">HLOOKUP(C1385,Regions!$B$1:$S$2,2,FALSE())</f>
        <v>Non-EU</v>
      </c>
      <c r="J1385" s="7" t="n">
        <f aca="false">E1385*F1385</f>
        <v>28.8</v>
      </c>
      <c r="K1385" s="8" t="n">
        <f aca="false">IF(H1385="","",1-F1385/H1385)</f>
        <v>0.52</v>
      </c>
    </row>
    <row r="1386" customFormat="false" ht="15" hidden="false" customHeight="false" outlineLevel="0" collapsed="false">
      <c r="A1386" s="0" t="s">
        <v>841</v>
      </c>
      <c r="B1386" s="6" t="n">
        <v>40886.3666666667</v>
      </c>
      <c r="C1386" s="0" t="s">
        <v>425</v>
      </c>
      <c r="D1386" s="0" t="s">
        <v>203</v>
      </c>
      <c r="E1386" s="0" t="n">
        <v>48</v>
      </c>
      <c r="F1386" s="0" t="n">
        <v>1.85</v>
      </c>
      <c r="G1386" s="7" t="str">
        <f aca="false">_xlfn.XLOOKUP(D1386,Catalog!$B$2:$B$4102,Catalog!$A$2:$A$4102,"NOT IN CATALOG")</f>
        <v>HAND OVER THE CHOCOLATE SIGN</v>
      </c>
      <c r="H1386" s="7" t="n">
        <f aca="false">_xlfn.IFNA(VLOOKUP(D1386,Catalog!$B$2:$C$4102,2,FALSE()),"")</f>
        <v>2.1</v>
      </c>
      <c r="I1386" s="7" t="str">
        <f aca="false">HLOOKUP(C1386,Regions!$B$1:$S$2,2,FALSE())</f>
        <v>Non-EU</v>
      </c>
      <c r="J1386" s="7" t="n">
        <f aca="false">E1386*F1386</f>
        <v>88.8</v>
      </c>
      <c r="K1386" s="8" t="n">
        <f aca="false">IF(H1386="","",1-F1386/H1386)</f>
        <v>0.119047619047619</v>
      </c>
    </row>
    <row r="1387" customFormat="false" ht="15" hidden="false" customHeight="false" outlineLevel="0" collapsed="false">
      <c r="A1387" s="0" t="s">
        <v>841</v>
      </c>
      <c r="B1387" s="6" t="n">
        <v>40886.3666666667</v>
      </c>
      <c r="C1387" s="0" t="s">
        <v>425</v>
      </c>
      <c r="D1387" s="0" t="s">
        <v>862</v>
      </c>
      <c r="E1387" s="0" t="n">
        <v>32</v>
      </c>
      <c r="F1387" s="0" t="n">
        <v>0.42</v>
      </c>
      <c r="G1387" s="7" t="str">
        <f aca="false">_xlfn.XLOOKUP(D1387,Catalog!$B$2:$B$4102,Catalog!$A$2:$A$4102,"NOT IN CATALOG")</f>
        <v>SMALL MARSHMALLOWS PINK BOWL</v>
      </c>
      <c r="H1387" s="7" t="n">
        <f aca="false">_xlfn.IFNA(VLOOKUP(D1387,Catalog!$B$2:$C$4102,2,FALSE()),"")</f>
        <v>1.25</v>
      </c>
      <c r="I1387" s="7" t="str">
        <f aca="false">HLOOKUP(C1387,Regions!$B$1:$S$2,2,FALSE())</f>
        <v>Non-EU</v>
      </c>
      <c r="J1387" s="7" t="n">
        <f aca="false">E1387*F1387</f>
        <v>13.44</v>
      </c>
      <c r="K1387" s="8" t="n">
        <f aca="false">IF(H1387="","",1-F1387/H1387)</f>
        <v>0.664</v>
      </c>
    </row>
    <row r="1388" customFormat="false" ht="15" hidden="false" customHeight="false" outlineLevel="0" collapsed="false">
      <c r="A1388" s="0" t="s">
        <v>841</v>
      </c>
      <c r="B1388" s="6" t="n">
        <v>40886.3666666667</v>
      </c>
      <c r="C1388" s="0" t="s">
        <v>425</v>
      </c>
      <c r="D1388" s="0" t="s">
        <v>863</v>
      </c>
      <c r="E1388" s="0" t="n">
        <v>16</v>
      </c>
      <c r="F1388" s="0" t="n">
        <v>0.42</v>
      </c>
      <c r="G1388" s="7" t="str">
        <f aca="false">_xlfn.XLOOKUP(D1388,Catalog!$B$2:$B$4102,Catalog!$A$2:$A$4102,"NOT IN CATALOG")</f>
        <v>SMALL DOLLY MIX DESIGN ORANGE BOWL</v>
      </c>
      <c r="H1388" s="7" t="n">
        <f aca="false">_xlfn.IFNA(VLOOKUP(D1388,Catalog!$B$2:$C$4102,2,FALSE()),"")</f>
        <v>1.25</v>
      </c>
      <c r="I1388" s="7" t="str">
        <f aca="false">HLOOKUP(C1388,Regions!$B$1:$S$2,2,FALSE())</f>
        <v>Non-EU</v>
      </c>
      <c r="J1388" s="7" t="n">
        <f aca="false">E1388*F1388</f>
        <v>6.72</v>
      </c>
      <c r="K1388" s="8" t="n">
        <f aca="false">IF(H1388="","",1-F1388/H1388)</f>
        <v>0.664</v>
      </c>
    </row>
    <row r="1389" customFormat="false" ht="15" hidden="false" customHeight="false" outlineLevel="0" collapsed="false">
      <c r="A1389" s="0" t="s">
        <v>841</v>
      </c>
      <c r="B1389" s="6" t="n">
        <v>40886.3666666667</v>
      </c>
      <c r="C1389" s="0" t="s">
        <v>425</v>
      </c>
      <c r="D1389" s="0" t="s">
        <v>311</v>
      </c>
      <c r="E1389" s="0" t="n">
        <v>20</v>
      </c>
      <c r="F1389" s="0" t="n">
        <v>1.25</v>
      </c>
      <c r="G1389" s="7" t="str">
        <f aca="false">_xlfn.XLOOKUP(D1389,Catalog!$B$2:$B$4102,Catalog!$A$2:$A$4102,"NOT IN CATALOG")</f>
        <v>SET OF 4 ENGLISH ROSE COASTERS</v>
      </c>
      <c r="H1389" s="7" t="n">
        <f aca="false">_xlfn.IFNA(VLOOKUP(D1389,Catalog!$B$2:$C$4102,2,FALSE()),"")</f>
        <v>1.25</v>
      </c>
      <c r="I1389" s="7" t="str">
        <f aca="false">HLOOKUP(C1389,Regions!$B$1:$S$2,2,FALSE())</f>
        <v>Non-EU</v>
      </c>
      <c r="J1389" s="7" t="n">
        <f aca="false">E1389*F1389</f>
        <v>25</v>
      </c>
      <c r="K1389" s="8" t="n">
        <f aca="false">IF(H1389="","",1-F1389/H1389)</f>
        <v>0</v>
      </c>
    </row>
    <row r="1390" customFormat="false" ht="15" hidden="false" customHeight="false" outlineLevel="0" collapsed="false">
      <c r="A1390" s="0" t="s">
        <v>841</v>
      </c>
      <c r="B1390" s="6" t="n">
        <v>40886.3666666667</v>
      </c>
      <c r="C1390" s="0" t="s">
        <v>425</v>
      </c>
      <c r="D1390" s="0" t="s">
        <v>205</v>
      </c>
      <c r="E1390" s="0" t="n">
        <v>48</v>
      </c>
      <c r="F1390" s="0" t="n">
        <v>1.85</v>
      </c>
      <c r="G1390" s="7" t="str">
        <f aca="false">_xlfn.XLOOKUP(D1390,Catalog!$B$2:$B$4102,Catalog!$A$2:$A$4102,"NOT IN CATALOG")</f>
        <v>NO SINGING METAL SIGN</v>
      </c>
      <c r="H1390" s="7" t="n">
        <f aca="false">_xlfn.IFNA(VLOOKUP(D1390,Catalog!$B$2:$C$4102,2,FALSE()),"")</f>
        <v>2.1</v>
      </c>
      <c r="I1390" s="7" t="str">
        <f aca="false">HLOOKUP(C1390,Regions!$B$1:$S$2,2,FALSE())</f>
        <v>Non-EU</v>
      </c>
      <c r="J1390" s="7" t="n">
        <f aca="false">E1390*F1390</f>
        <v>88.8</v>
      </c>
      <c r="K1390" s="8" t="n">
        <f aca="false">IF(H1390="","",1-F1390/H1390)</f>
        <v>0.119047619047619</v>
      </c>
    </row>
    <row r="1391" customFormat="false" ht="15" hidden="false" customHeight="false" outlineLevel="0" collapsed="false">
      <c r="A1391" s="0" t="s">
        <v>841</v>
      </c>
      <c r="B1391" s="6" t="n">
        <v>40886.3666666667</v>
      </c>
      <c r="C1391" s="0" t="s">
        <v>425</v>
      </c>
      <c r="D1391" s="0" t="s">
        <v>196</v>
      </c>
      <c r="E1391" s="0" t="n">
        <v>48</v>
      </c>
      <c r="F1391" s="0" t="n">
        <v>0.55</v>
      </c>
      <c r="G1391" s="7" t="str">
        <f aca="false">_xlfn.XLOOKUP(D1391,Catalog!$B$2:$B$4102,Catalog!$A$2:$A$4102,"NOT IN CATALOG")</f>
        <v>TOILET METAL SIGN</v>
      </c>
      <c r="H1391" s="7" t="n">
        <f aca="false">_xlfn.IFNA(VLOOKUP(D1391,Catalog!$B$2:$C$4102,2,FALSE()),"")</f>
        <v>0.55</v>
      </c>
      <c r="I1391" s="7" t="str">
        <f aca="false">HLOOKUP(C1391,Regions!$B$1:$S$2,2,FALSE())</f>
        <v>Non-EU</v>
      </c>
      <c r="J1391" s="7" t="n">
        <f aca="false">E1391*F1391</f>
        <v>26.4</v>
      </c>
      <c r="K1391" s="8" t="n">
        <f aca="false">IF(H1391="","",1-F1391/H1391)</f>
        <v>0</v>
      </c>
    </row>
    <row r="1392" customFormat="false" ht="15" hidden="false" customHeight="false" outlineLevel="0" collapsed="false">
      <c r="A1392" s="0" t="s">
        <v>841</v>
      </c>
      <c r="B1392" s="6" t="n">
        <v>40886.3666666667</v>
      </c>
      <c r="C1392" s="0" t="s">
        <v>425</v>
      </c>
      <c r="D1392" s="0" t="s">
        <v>864</v>
      </c>
      <c r="E1392" s="0" t="n">
        <v>2</v>
      </c>
      <c r="F1392" s="0" t="n">
        <v>9.95</v>
      </c>
      <c r="G1392" s="7" t="str">
        <f aca="false">_xlfn.XLOOKUP(D1392,Catalog!$B$2:$B$4102,Catalog!$A$2:$A$4102,"NOT IN CATALOG")</f>
        <v>VINTAGE CREAM 3 BASKET CAKE STAND</v>
      </c>
      <c r="H1392" s="7" t="n">
        <f aca="false">_xlfn.IFNA(VLOOKUP(D1392,Catalog!$B$2:$C$4102,2,FALSE()),"")</f>
        <v>9.95</v>
      </c>
      <c r="I1392" s="7" t="str">
        <f aca="false">HLOOKUP(C1392,Regions!$B$1:$S$2,2,FALSE())</f>
        <v>Non-EU</v>
      </c>
      <c r="J1392" s="7" t="n">
        <f aca="false">E1392*F1392</f>
        <v>19.9</v>
      </c>
      <c r="K1392" s="8" t="n">
        <f aca="false">IF(H1392="","",1-F1392/H1392)</f>
        <v>0</v>
      </c>
    </row>
    <row r="1393" customFormat="false" ht="15" hidden="false" customHeight="false" outlineLevel="0" collapsed="false">
      <c r="A1393" s="0" t="s">
        <v>841</v>
      </c>
      <c r="B1393" s="6" t="n">
        <v>40886.3666666667</v>
      </c>
      <c r="C1393" s="0" t="s">
        <v>425</v>
      </c>
      <c r="D1393" s="0" t="s">
        <v>865</v>
      </c>
      <c r="E1393" s="0" t="n">
        <v>144</v>
      </c>
      <c r="F1393" s="0" t="n">
        <v>0.19</v>
      </c>
      <c r="G1393" s="7" t="str">
        <f aca="false">_xlfn.XLOOKUP(D1393,Catalog!$B$2:$B$4102,Catalog!$A$2:$A$4102,"NOT IN CATALOG")</f>
        <v>FENG SHUI PILLAR CANDLE</v>
      </c>
      <c r="H1393" s="7" t="n">
        <f aca="false">_xlfn.IFNA(VLOOKUP(D1393,Catalog!$B$2:$C$4102,2,FALSE()),"")</f>
        <v>0.19</v>
      </c>
      <c r="I1393" s="7" t="str">
        <f aca="false">HLOOKUP(C1393,Regions!$B$1:$S$2,2,FALSE())</f>
        <v>Non-EU</v>
      </c>
      <c r="J1393" s="7" t="n">
        <f aca="false">E1393*F1393</f>
        <v>27.36</v>
      </c>
      <c r="K1393" s="8" t="n">
        <f aca="false">IF(H1393="","",1-F1393/H1393)</f>
        <v>0</v>
      </c>
    </row>
    <row r="1394" customFormat="false" ht="15" hidden="false" customHeight="false" outlineLevel="0" collapsed="false">
      <c r="A1394" s="0" t="s">
        <v>841</v>
      </c>
      <c r="B1394" s="6" t="n">
        <v>40886.3666666667</v>
      </c>
      <c r="C1394" s="0" t="s">
        <v>425</v>
      </c>
      <c r="D1394" s="0" t="s">
        <v>35</v>
      </c>
      <c r="E1394" s="0" t="n">
        <v>10</v>
      </c>
      <c r="F1394" s="0" t="n">
        <v>1.25</v>
      </c>
      <c r="G1394" s="7" t="str">
        <f aca="false">_xlfn.XLOOKUP(D1394,Catalog!$B$2:$B$4102,Catalog!$A$2:$A$4102,"NOT IN CATALOG")</f>
        <v>TEA TIME OVEN GLOVE</v>
      </c>
      <c r="H1394" s="7" t="n">
        <f aca="false">_xlfn.IFNA(VLOOKUP(D1394,Catalog!$B$2:$C$4102,2,FALSE()),"")</f>
        <v>1.25</v>
      </c>
      <c r="I1394" s="7" t="str">
        <f aca="false">HLOOKUP(C1394,Regions!$B$1:$S$2,2,FALSE())</f>
        <v>Non-EU</v>
      </c>
      <c r="J1394" s="7" t="n">
        <f aca="false">E1394*F1394</f>
        <v>12.5</v>
      </c>
      <c r="K1394" s="8" t="n">
        <f aca="false">IF(H1394="","",1-F1394/H1394)</f>
        <v>0</v>
      </c>
    </row>
    <row r="1395" customFormat="false" ht="15" hidden="false" customHeight="false" outlineLevel="0" collapsed="false">
      <c r="A1395" s="0" t="s">
        <v>841</v>
      </c>
      <c r="B1395" s="6" t="n">
        <v>40886.3666666667</v>
      </c>
      <c r="C1395" s="0" t="s">
        <v>425</v>
      </c>
      <c r="D1395" s="0" t="s">
        <v>609</v>
      </c>
      <c r="E1395" s="0" t="n">
        <v>36</v>
      </c>
      <c r="F1395" s="0" t="n">
        <v>0.79</v>
      </c>
      <c r="G1395" s="7" t="str">
        <f aca="false">_xlfn.XLOOKUP(D1395,Catalog!$B$2:$B$4102,Catalog!$A$2:$A$4102,"NOT IN CATALOG")</f>
        <v>ENGLISH ROSE SPIRIT LEVEL</v>
      </c>
      <c r="H1395" s="7" t="n">
        <f aca="false">_xlfn.IFNA(VLOOKUP(D1395,Catalog!$B$2:$C$4102,2,FALSE()),"")</f>
        <v>1.95</v>
      </c>
      <c r="I1395" s="7" t="str">
        <f aca="false">HLOOKUP(C1395,Regions!$B$1:$S$2,2,FALSE())</f>
        <v>Non-EU</v>
      </c>
      <c r="J1395" s="7" t="n">
        <f aca="false">E1395*F1395</f>
        <v>28.44</v>
      </c>
      <c r="K1395" s="8" t="n">
        <f aca="false">IF(H1395="","",1-F1395/H1395)</f>
        <v>0.594871794871795</v>
      </c>
    </row>
    <row r="1396" customFormat="false" ht="15" hidden="false" customHeight="false" outlineLevel="0" collapsed="false">
      <c r="A1396" s="0" t="s">
        <v>841</v>
      </c>
      <c r="B1396" s="6" t="n">
        <v>40886.3666666667</v>
      </c>
      <c r="C1396" s="0" t="s">
        <v>425</v>
      </c>
      <c r="D1396" s="0" t="s">
        <v>121</v>
      </c>
      <c r="E1396" s="0" t="n">
        <v>30</v>
      </c>
      <c r="F1396" s="0" t="n">
        <v>1.95</v>
      </c>
      <c r="G1396" s="7" t="str">
        <f aca="false">_xlfn.XLOOKUP(D1396,Catalog!$B$2:$B$4102,Catalog!$A$2:$A$4102,"NOT IN CATALOG")</f>
        <v>NOT IN CATALOG</v>
      </c>
      <c r="H1396" s="7" t="str">
        <f aca="false">_xlfn.IFNA(VLOOKUP(D1396,Catalog!$B$2:$C$4102,2,FALSE()),"")</f>
        <v/>
      </c>
      <c r="I1396" s="7" t="str">
        <f aca="false">HLOOKUP(C1396,Regions!$B$1:$S$2,2,FALSE())</f>
        <v>Non-EU</v>
      </c>
      <c r="J1396" s="7" t="n">
        <f aca="false">E1396*F1396</f>
        <v>58.5</v>
      </c>
      <c r="K1396" s="8" t="str">
        <f aca="false">IF(H1396="","",1-F1396/H1396)</f>
        <v/>
      </c>
    </row>
    <row r="1397" customFormat="false" ht="15" hidden="false" customHeight="false" outlineLevel="0" collapsed="false">
      <c r="A1397" s="0" t="s">
        <v>841</v>
      </c>
      <c r="B1397" s="6" t="n">
        <v>40886.3666666667</v>
      </c>
      <c r="C1397" s="0" t="s">
        <v>425</v>
      </c>
      <c r="D1397" s="0" t="s">
        <v>866</v>
      </c>
      <c r="E1397" s="0" t="n">
        <v>2</v>
      </c>
      <c r="F1397" s="0" t="n">
        <v>8.15</v>
      </c>
      <c r="G1397" s="7" t="str">
        <f aca="false">_xlfn.XLOOKUP(D1397,Catalog!$B$2:$B$4102,Catalog!$A$2:$A$4102,"NOT IN CATALOG")</f>
        <v>NOT IN CATALOG</v>
      </c>
      <c r="H1397" s="7" t="str">
        <f aca="false">_xlfn.IFNA(VLOOKUP(D1397,Catalog!$B$2:$C$4102,2,FALSE()),"")</f>
        <v/>
      </c>
      <c r="I1397" s="7" t="str">
        <f aca="false">HLOOKUP(C1397,Regions!$B$1:$S$2,2,FALSE())</f>
        <v>Non-EU</v>
      </c>
      <c r="J1397" s="7" t="n">
        <f aca="false">E1397*F1397</f>
        <v>16.3</v>
      </c>
      <c r="K1397" s="8" t="str">
        <f aca="false">IF(H1397="","",1-F1397/H1397)</f>
        <v/>
      </c>
    </row>
    <row r="1398" customFormat="false" ht="15" hidden="false" customHeight="false" outlineLevel="0" collapsed="false">
      <c r="A1398" s="0" t="s">
        <v>841</v>
      </c>
      <c r="B1398" s="6" t="n">
        <v>40886.3666666667</v>
      </c>
      <c r="C1398" s="0" t="s">
        <v>425</v>
      </c>
      <c r="D1398" s="0" t="s">
        <v>867</v>
      </c>
      <c r="E1398" s="0" t="n">
        <v>2</v>
      </c>
      <c r="F1398" s="0" t="n">
        <v>8.15</v>
      </c>
      <c r="G1398" s="7" t="str">
        <f aca="false">_xlfn.XLOOKUP(D1398,Catalog!$B$2:$B$4102,Catalog!$A$2:$A$4102,"NOT IN CATALOG")</f>
        <v>NOT IN CATALOG</v>
      </c>
      <c r="H1398" s="7" t="str">
        <f aca="false">_xlfn.IFNA(VLOOKUP(D1398,Catalog!$B$2:$C$4102,2,FALSE()),"")</f>
        <v/>
      </c>
      <c r="I1398" s="7" t="str">
        <f aca="false">HLOOKUP(C1398,Regions!$B$1:$S$2,2,FALSE())</f>
        <v>Non-EU</v>
      </c>
      <c r="J1398" s="7" t="n">
        <f aca="false">E1398*F1398</f>
        <v>16.3</v>
      </c>
      <c r="K1398" s="8" t="str">
        <f aca="false">IF(H1398="","",1-F1398/H1398)</f>
        <v/>
      </c>
    </row>
    <row r="1399" customFormat="false" ht="15" hidden="false" customHeight="false" outlineLevel="0" collapsed="false">
      <c r="A1399" s="0" t="s">
        <v>841</v>
      </c>
      <c r="B1399" s="6" t="n">
        <v>40886.3666666667</v>
      </c>
      <c r="C1399" s="0" t="s">
        <v>425</v>
      </c>
      <c r="D1399" s="0" t="s">
        <v>868</v>
      </c>
      <c r="E1399" s="0" t="n">
        <v>2</v>
      </c>
      <c r="F1399" s="0" t="n">
        <v>8.15</v>
      </c>
      <c r="G1399" s="7" t="str">
        <f aca="false">_xlfn.XLOOKUP(D1399,Catalog!$B$2:$B$4102,Catalog!$A$2:$A$4102,"NOT IN CATALOG")</f>
        <v>NOT IN CATALOG</v>
      </c>
      <c r="H1399" s="7" t="str">
        <f aca="false">_xlfn.IFNA(VLOOKUP(D1399,Catalog!$B$2:$C$4102,2,FALSE()),"")</f>
        <v/>
      </c>
      <c r="I1399" s="7" t="str">
        <f aca="false">HLOOKUP(C1399,Regions!$B$1:$S$2,2,FALSE())</f>
        <v>Non-EU</v>
      </c>
      <c r="J1399" s="7" t="n">
        <f aca="false">E1399*F1399</f>
        <v>16.3</v>
      </c>
      <c r="K1399" s="8" t="str">
        <f aca="false">IF(H1399="","",1-F1399/H1399)</f>
        <v/>
      </c>
    </row>
    <row r="1400" customFormat="false" ht="15" hidden="false" customHeight="false" outlineLevel="0" collapsed="false">
      <c r="A1400" s="0" t="s">
        <v>841</v>
      </c>
      <c r="B1400" s="6" t="n">
        <v>40886.3666666667</v>
      </c>
      <c r="C1400" s="0" t="s">
        <v>425</v>
      </c>
      <c r="D1400" s="0" t="s">
        <v>590</v>
      </c>
      <c r="E1400" s="0" t="n">
        <v>18</v>
      </c>
      <c r="F1400" s="0" t="n">
        <v>1.25</v>
      </c>
      <c r="G1400" s="7" t="str">
        <f aca="false">_xlfn.XLOOKUP(D1400,Catalog!$B$2:$B$4102,Catalog!$A$2:$A$4102,"NOT IN CATALOG")</f>
        <v>NOT IN CATALOG</v>
      </c>
      <c r="H1400" s="7" t="str">
        <f aca="false">_xlfn.IFNA(VLOOKUP(D1400,Catalog!$B$2:$C$4102,2,FALSE()),"")</f>
        <v/>
      </c>
      <c r="I1400" s="7" t="str">
        <f aca="false">HLOOKUP(C1400,Regions!$B$1:$S$2,2,FALSE())</f>
        <v>Non-EU</v>
      </c>
      <c r="J1400" s="7" t="n">
        <f aca="false">E1400*F1400</f>
        <v>22.5</v>
      </c>
      <c r="K1400" s="8" t="str">
        <f aca="false">IF(H1400="","",1-F1400/H1400)</f>
        <v/>
      </c>
    </row>
    <row r="1401" customFormat="false" ht="15" hidden="false" customHeight="false" outlineLevel="0" collapsed="false">
      <c r="A1401" s="0" t="s">
        <v>841</v>
      </c>
      <c r="B1401" s="6" t="n">
        <v>40886.3666666667</v>
      </c>
      <c r="C1401" s="0" t="s">
        <v>425</v>
      </c>
      <c r="D1401" s="0" t="s">
        <v>454</v>
      </c>
      <c r="E1401" s="0" t="n">
        <v>32</v>
      </c>
      <c r="F1401" s="0" t="n">
        <v>0.83</v>
      </c>
      <c r="G1401" s="7" t="str">
        <f aca="false">_xlfn.XLOOKUP(D1401,Catalog!$B$2:$B$4102,Catalog!$A$2:$A$4102,"NOT IN CATALOG")</f>
        <v>NOT IN CATALOG</v>
      </c>
      <c r="H1401" s="7" t="str">
        <f aca="false">_xlfn.IFNA(VLOOKUP(D1401,Catalog!$B$2:$C$4102,2,FALSE()),"")</f>
        <v/>
      </c>
      <c r="I1401" s="7" t="str">
        <f aca="false">HLOOKUP(C1401,Regions!$B$1:$S$2,2,FALSE())</f>
        <v>Non-EU</v>
      </c>
      <c r="J1401" s="7" t="n">
        <f aca="false">E1401*F1401</f>
        <v>26.56</v>
      </c>
      <c r="K1401" s="8" t="str">
        <f aca="false">IF(H1401="","",1-F1401/H1401)</f>
        <v/>
      </c>
    </row>
    <row r="1402" customFormat="false" ht="15" hidden="false" customHeight="false" outlineLevel="0" collapsed="false">
      <c r="A1402" s="0" t="s">
        <v>841</v>
      </c>
      <c r="B1402" s="6" t="n">
        <v>40886.3666666667</v>
      </c>
      <c r="C1402" s="0" t="s">
        <v>425</v>
      </c>
      <c r="D1402" s="0" t="s">
        <v>543</v>
      </c>
      <c r="E1402" s="0" t="n">
        <v>12</v>
      </c>
      <c r="F1402" s="0" t="n">
        <v>4.95</v>
      </c>
      <c r="G1402" s="7" t="str">
        <f aca="false">_xlfn.XLOOKUP(D1402,Catalog!$B$2:$B$4102,Catalog!$A$2:$A$4102,"NOT IN CATALOG")</f>
        <v>NOT IN CATALOG</v>
      </c>
      <c r="H1402" s="7" t="str">
        <f aca="false">_xlfn.IFNA(VLOOKUP(D1402,Catalog!$B$2:$C$4102,2,FALSE()),"")</f>
        <v/>
      </c>
      <c r="I1402" s="7" t="str">
        <f aca="false">HLOOKUP(C1402,Regions!$B$1:$S$2,2,FALSE())</f>
        <v>Non-EU</v>
      </c>
      <c r="J1402" s="7" t="n">
        <f aca="false">E1402*F1402</f>
        <v>59.4</v>
      </c>
      <c r="K1402" s="8" t="str">
        <f aca="false">IF(H1402="","",1-F1402/H1402)</f>
        <v/>
      </c>
    </row>
    <row r="1403" customFormat="false" ht="15" hidden="false" customHeight="false" outlineLevel="0" collapsed="false">
      <c r="A1403" s="0" t="s">
        <v>841</v>
      </c>
      <c r="B1403" s="6" t="n">
        <v>40886.3666666667</v>
      </c>
      <c r="C1403" s="0" t="s">
        <v>425</v>
      </c>
      <c r="D1403" s="0" t="s">
        <v>305</v>
      </c>
      <c r="E1403" s="0" t="n">
        <v>6</v>
      </c>
      <c r="F1403" s="0" t="n">
        <v>4.15</v>
      </c>
      <c r="G1403" s="7" t="str">
        <f aca="false">_xlfn.XLOOKUP(D1403,Catalog!$B$2:$B$4102,Catalog!$A$2:$A$4102,"NOT IN CATALOG")</f>
        <v>NOT IN CATALOG</v>
      </c>
      <c r="H1403" s="7" t="str">
        <f aca="false">_xlfn.IFNA(VLOOKUP(D1403,Catalog!$B$2:$C$4102,2,FALSE()),"")</f>
        <v/>
      </c>
      <c r="I1403" s="7" t="str">
        <f aca="false">HLOOKUP(C1403,Regions!$B$1:$S$2,2,FALSE())</f>
        <v>Non-EU</v>
      </c>
      <c r="J1403" s="7" t="n">
        <f aca="false">E1403*F1403</f>
        <v>24.9</v>
      </c>
      <c r="K1403" s="8" t="str">
        <f aca="false">IF(H1403="","",1-F1403/H1403)</f>
        <v/>
      </c>
    </row>
    <row r="1404" customFormat="false" ht="15" hidden="false" customHeight="false" outlineLevel="0" collapsed="false">
      <c r="A1404" s="0" t="s">
        <v>869</v>
      </c>
      <c r="B1404" s="6" t="n">
        <v>40886.4180555556</v>
      </c>
      <c r="C1404" s="0" t="s">
        <v>425</v>
      </c>
      <c r="D1404" s="0" t="s">
        <v>237</v>
      </c>
      <c r="E1404" s="0" t="n">
        <v>12</v>
      </c>
      <c r="F1404" s="0" t="n">
        <v>1.65</v>
      </c>
      <c r="G1404" s="7" t="str">
        <f aca="false">_xlfn.XLOOKUP(D1404,Catalog!$B$2:$B$4102,Catalog!$A$2:$A$4102,"NOT IN CATALOG")</f>
        <v>NOT IN CATALOG</v>
      </c>
      <c r="H1404" s="7" t="str">
        <f aca="false">_xlfn.IFNA(VLOOKUP(D1404,Catalog!$B$2:$C$4102,2,FALSE()),"")</f>
        <v/>
      </c>
      <c r="I1404" s="7" t="str">
        <f aca="false">HLOOKUP(C1404,Regions!$B$1:$S$2,2,FALSE())</f>
        <v>Non-EU</v>
      </c>
      <c r="J1404" s="7" t="n">
        <f aca="false">E1404*F1404</f>
        <v>19.8</v>
      </c>
      <c r="K1404" s="8" t="str">
        <f aca="false">IF(H1404="","",1-F1404/H1404)</f>
        <v/>
      </c>
    </row>
    <row r="1405" customFormat="false" ht="15" hidden="false" customHeight="false" outlineLevel="0" collapsed="false">
      <c r="A1405" s="0" t="s">
        <v>870</v>
      </c>
      <c r="B1405" s="6" t="n">
        <v>40886.4236111111</v>
      </c>
      <c r="C1405" s="0" t="s">
        <v>153</v>
      </c>
      <c r="D1405" s="0" t="s">
        <v>871</v>
      </c>
      <c r="E1405" s="0" t="n">
        <v>15</v>
      </c>
      <c r="F1405" s="0" t="n">
        <v>0.42</v>
      </c>
      <c r="G1405" s="7" t="str">
        <f aca="false">_xlfn.XLOOKUP(D1405,Catalog!$B$2:$B$4102,Catalog!$A$2:$A$4102,"NOT IN CATALOG")</f>
        <v>RETRO PLASTIC POLKA TRAY</v>
      </c>
      <c r="H1405" s="7" t="n">
        <f aca="false">_xlfn.IFNA(VLOOKUP(D1405,Catalog!$B$2:$C$4102,2,FALSE()),"")</f>
        <v>0.42</v>
      </c>
      <c r="I1405" s="7" t="str">
        <f aca="false">HLOOKUP(C1405,Regions!$B$1:$S$2,2,FALSE())</f>
        <v>EU</v>
      </c>
      <c r="J1405" s="7" t="n">
        <f aca="false">E1405*F1405</f>
        <v>6.3</v>
      </c>
      <c r="K1405" s="8" t="n">
        <f aca="false">IF(H1405="","",1-F1405/H1405)</f>
        <v>0</v>
      </c>
    </row>
    <row r="1406" customFormat="false" ht="15" hidden="false" customHeight="false" outlineLevel="0" collapsed="false">
      <c r="A1406" s="0" t="s">
        <v>870</v>
      </c>
      <c r="B1406" s="6" t="n">
        <v>40886.4236111111</v>
      </c>
      <c r="C1406" s="0" t="s">
        <v>153</v>
      </c>
      <c r="D1406" s="0" t="s">
        <v>872</v>
      </c>
      <c r="E1406" s="0" t="n">
        <v>15</v>
      </c>
      <c r="F1406" s="0" t="n">
        <v>0.42</v>
      </c>
      <c r="G1406" s="7" t="str">
        <f aca="false">_xlfn.XLOOKUP(D1406,Catalog!$B$2:$B$4102,Catalog!$A$2:$A$4102,"NOT IN CATALOG")</f>
        <v>RETRO PLASTIC 70'S TRAY</v>
      </c>
      <c r="H1406" s="7" t="n">
        <f aca="false">_xlfn.IFNA(VLOOKUP(D1406,Catalog!$B$2:$C$4102,2,FALSE()),"")</f>
        <v>0.42</v>
      </c>
      <c r="I1406" s="7" t="str">
        <f aca="false">HLOOKUP(C1406,Regions!$B$1:$S$2,2,FALSE())</f>
        <v>EU</v>
      </c>
      <c r="J1406" s="7" t="n">
        <f aca="false">E1406*F1406</f>
        <v>6.3</v>
      </c>
      <c r="K1406" s="8" t="n">
        <f aca="false">IF(H1406="","",1-F1406/H1406)</f>
        <v>0</v>
      </c>
    </row>
    <row r="1407" customFormat="false" ht="15" hidden="false" customHeight="false" outlineLevel="0" collapsed="false">
      <c r="A1407" s="0" t="s">
        <v>870</v>
      </c>
      <c r="B1407" s="6" t="n">
        <v>40886.4236111111</v>
      </c>
      <c r="C1407" s="0" t="s">
        <v>153</v>
      </c>
      <c r="D1407" s="0" t="s">
        <v>313</v>
      </c>
      <c r="E1407" s="0" t="n">
        <v>12</v>
      </c>
      <c r="F1407" s="0" t="n">
        <v>0.42</v>
      </c>
      <c r="G1407" s="7" t="str">
        <f aca="false">_xlfn.XLOOKUP(D1407,Catalog!$B$2:$B$4102,Catalog!$A$2:$A$4102,"NOT IN CATALOG")</f>
        <v>ASSORTED BOTTLE TOP MAGNETS</v>
      </c>
      <c r="H1407" s="7" t="n">
        <f aca="false">_xlfn.IFNA(VLOOKUP(D1407,Catalog!$B$2:$C$4102,2,FALSE()),"")</f>
        <v>0.42</v>
      </c>
      <c r="I1407" s="7" t="str">
        <f aca="false">HLOOKUP(C1407,Regions!$B$1:$S$2,2,FALSE())</f>
        <v>EU</v>
      </c>
      <c r="J1407" s="7" t="n">
        <f aca="false">E1407*F1407</f>
        <v>5.04</v>
      </c>
      <c r="K1407" s="8" t="n">
        <f aca="false">IF(H1407="","",1-F1407/H1407)</f>
        <v>0</v>
      </c>
    </row>
    <row r="1408" customFormat="false" ht="15" hidden="false" customHeight="false" outlineLevel="0" collapsed="false">
      <c r="A1408" s="0" t="s">
        <v>870</v>
      </c>
      <c r="B1408" s="6" t="n">
        <v>40886.4236111111</v>
      </c>
      <c r="C1408" s="0" t="s">
        <v>153</v>
      </c>
      <c r="D1408" s="0" t="s">
        <v>873</v>
      </c>
      <c r="E1408" s="0" t="n">
        <v>24</v>
      </c>
      <c r="F1408" s="0" t="n">
        <v>0.42</v>
      </c>
      <c r="G1408" s="7" t="str">
        <f aca="false">_xlfn.XLOOKUP(D1408,Catalog!$B$2:$B$4102,Catalog!$A$2:$A$4102,"NOT IN CATALOG")</f>
        <v>PLACE SETTING WHITE HEART</v>
      </c>
      <c r="H1408" s="7" t="n">
        <f aca="false">_xlfn.IFNA(VLOOKUP(D1408,Catalog!$B$2:$C$4102,2,FALSE()),"")</f>
        <v>0.42</v>
      </c>
      <c r="I1408" s="7" t="str">
        <f aca="false">HLOOKUP(C1408,Regions!$B$1:$S$2,2,FALSE())</f>
        <v>EU</v>
      </c>
      <c r="J1408" s="7" t="n">
        <f aca="false">E1408*F1408</f>
        <v>10.08</v>
      </c>
      <c r="K1408" s="8" t="n">
        <f aca="false">IF(H1408="","",1-F1408/H1408)</f>
        <v>0</v>
      </c>
    </row>
    <row r="1409" customFormat="false" ht="15" hidden="false" customHeight="false" outlineLevel="0" collapsed="false">
      <c r="A1409" s="0" t="s">
        <v>870</v>
      </c>
      <c r="B1409" s="6" t="n">
        <v>40886.4236111111</v>
      </c>
      <c r="C1409" s="0" t="s">
        <v>153</v>
      </c>
      <c r="D1409" s="0" t="s">
        <v>315</v>
      </c>
      <c r="E1409" s="0" t="n">
        <v>12</v>
      </c>
      <c r="F1409" s="0" t="n">
        <v>2.1</v>
      </c>
      <c r="G1409" s="7" t="str">
        <f aca="false">_xlfn.XLOOKUP(D1409,Catalog!$B$2:$B$4102,Catalog!$A$2:$A$4102,"NOT IN CATALOG")</f>
        <v>HAND WARMER RED RETROSPOT</v>
      </c>
      <c r="H1409" s="7" t="n">
        <f aca="false">_xlfn.IFNA(VLOOKUP(D1409,Catalog!$B$2:$C$4102,2,FALSE()),"")</f>
        <v>2.1</v>
      </c>
      <c r="I1409" s="7" t="str">
        <f aca="false">HLOOKUP(C1409,Regions!$B$1:$S$2,2,FALSE())</f>
        <v>EU</v>
      </c>
      <c r="J1409" s="7" t="n">
        <f aca="false">E1409*F1409</f>
        <v>25.2</v>
      </c>
      <c r="K1409" s="8" t="n">
        <f aca="false">IF(H1409="","",1-F1409/H1409)</f>
        <v>0</v>
      </c>
    </row>
    <row r="1410" customFormat="false" ht="15" hidden="false" customHeight="false" outlineLevel="0" collapsed="false">
      <c r="A1410" s="0" t="s">
        <v>870</v>
      </c>
      <c r="B1410" s="6" t="n">
        <v>40886.4236111111</v>
      </c>
      <c r="C1410" s="0" t="s">
        <v>153</v>
      </c>
      <c r="D1410" s="0" t="s">
        <v>302</v>
      </c>
      <c r="E1410" s="0" t="n">
        <v>12</v>
      </c>
      <c r="F1410" s="0" t="n">
        <v>2.1</v>
      </c>
      <c r="G1410" s="7" t="str">
        <f aca="false">_xlfn.XLOOKUP(D1410,Catalog!$B$2:$B$4102,Catalog!$A$2:$A$4102,"NOT IN CATALOG")</f>
        <v>HAND WARMER OWL DESIGN</v>
      </c>
      <c r="H1410" s="7" t="n">
        <f aca="false">_xlfn.IFNA(VLOOKUP(D1410,Catalog!$B$2:$C$4102,2,FALSE()),"")</f>
        <v>2.1</v>
      </c>
      <c r="I1410" s="7" t="str">
        <f aca="false">HLOOKUP(C1410,Regions!$B$1:$S$2,2,FALSE())</f>
        <v>EU</v>
      </c>
      <c r="J1410" s="7" t="n">
        <f aca="false">E1410*F1410</f>
        <v>25.2</v>
      </c>
      <c r="K1410" s="8" t="n">
        <f aca="false">IF(H1410="","",1-F1410/H1410)</f>
        <v>0</v>
      </c>
    </row>
    <row r="1411" customFormat="false" ht="15" hidden="false" customHeight="false" outlineLevel="0" collapsed="false">
      <c r="A1411" s="0" t="s">
        <v>870</v>
      </c>
      <c r="B1411" s="6" t="n">
        <v>40886.4236111111</v>
      </c>
      <c r="C1411" s="0" t="s">
        <v>153</v>
      </c>
      <c r="D1411" s="0" t="s">
        <v>469</v>
      </c>
      <c r="E1411" s="0" t="n">
        <v>10</v>
      </c>
      <c r="F1411" s="0" t="n">
        <v>1.25</v>
      </c>
      <c r="G1411" s="7" t="str">
        <f aca="false">_xlfn.XLOOKUP(D1411,Catalog!$B$2:$B$4102,Catalog!$A$2:$A$4102,"NOT IN CATALOG")</f>
        <v>RED SPOTTY SHOPPER BAG</v>
      </c>
      <c r="H1411" s="7" t="n">
        <f aca="false">_xlfn.IFNA(VLOOKUP(D1411,Catalog!$B$2:$C$4102,2,FALSE()),"")</f>
        <v>1.25</v>
      </c>
      <c r="I1411" s="7" t="str">
        <f aca="false">HLOOKUP(C1411,Regions!$B$1:$S$2,2,FALSE())</f>
        <v>EU</v>
      </c>
      <c r="J1411" s="7" t="n">
        <f aca="false">E1411*F1411</f>
        <v>12.5</v>
      </c>
      <c r="K1411" s="8" t="n">
        <f aca="false">IF(H1411="","",1-F1411/H1411)</f>
        <v>0</v>
      </c>
    </row>
    <row r="1412" customFormat="false" ht="15" hidden="false" customHeight="false" outlineLevel="0" collapsed="false">
      <c r="A1412" s="0" t="s">
        <v>870</v>
      </c>
      <c r="B1412" s="6" t="n">
        <v>40886.4236111111</v>
      </c>
      <c r="C1412" s="0" t="s">
        <v>153</v>
      </c>
      <c r="D1412" s="0" t="s">
        <v>874</v>
      </c>
      <c r="E1412" s="0" t="n">
        <v>12</v>
      </c>
      <c r="F1412" s="0" t="n">
        <v>0.85</v>
      </c>
      <c r="G1412" s="7" t="str">
        <f aca="false">_xlfn.XLOOKUP(D1412,Catalog!$B$2:$B$4102,Catalog!$A$2:$A$4102,"NOT IN CATALOG")</f>
        <v>RETRO PLASTIC POLKA TRAY</v>
      </c>
      <c r="H1412" s="7" t="n">
        <f aca="false">_xlfn.IFNA(VLOOKUP(D1412,Catalog!$B$2:$C$4102,2,FALSE()),"")</f>
        <v>0.85</v>
      </c>
      <c r="I1412" s="7" t="str">
        <f aca="false">HLOOKUP(C1412,Regions!$B$1:$S$2,2,FALSE())</f>
        <v>EU</v>
      </c>
      <c r="J1412" s="7" t="n">
        <f aca="false">E1412*F1412</f>
        <v>10.2</v>
      </c>
      <c r="K1412" s="8" t="n">
        <f aca="false">IF(H1412="","",1-F1412/H1412)</f>
        <v>0</v>
      </c>
    </row>
    <row r="1413" customFormat="false" ht="15" hidden="false" customHeight="false" outlineLevel="0" collapsed="false">
      <c r="A1413" s="0" t="s">
        <v>870</v>
      </c>
      <c r="B1413" s="6" t="n">
        <v>40886.4236111111</v>
      </c>
      <c r="C1413" s="0" t="s">
        <v>153</v>
      </c>
      <c r="D1413" s="0" t="s">
        <v>875</v>
      </c>
      <c r="E1413" s="0" t="n">
        <v>12</v>
      </c>
      <c r="F1413" s="0" t="n">
        <v>0.85</v>
      </c>
      <c r="G1413" s="7" t="str">
        <f aca="false">_xlfn.XLOOKUP(D1413,Catalog!$B$2:$B$4102,Catalog!$A$2:$A$4102,"NOT IN CATALOG")</f>
        <v>HANGING JAM JAR T-LIGHT HOLDER</v>
      </c>
      <c r="H1413" s="7" t="n">
        <f aca="false">_xlfn.IFNA(VLOOKUP(D1413,Catalog!$B$2:$C$4102,2,FALSE()),"")</f>
        <v>0.85</v>
      </c>
      <c r="I1413" s="7" t="str">
        <f aca="false">HLOOKUP(C1413,Regions!$B$1:$S$2,2,FALSE())</f>
        <v>EU</v>
      </c>
      <c r="J1413" s="7" t="n">
        <f aca="false">E1413*F1413</f>
        <v>10.2</v>
      </c>
      <c r="K1413" s="8" t="n">
        <f aca="false">IF(H1413="","",1-F1413/H1413)</f>
        <v>0</v>
      </c>
    </row>
    <row r="1414" customFormat="false" ht="15" hidden="false" customHeight="false" outlineLevel="0" collapsed="false">
      <c r="A1414" s="0" t="s">
        <v>870</v>
      </c>
      <c r="B1414" s="6" t="n">
        <v>40886.4236111111</v>
      </c>
      <c r="C1414" s="0" t="s">
        <v>153</v>
      </c>
      <c r="D1414" s="0" t="s">
        <v>876</v>
      </c>
      <c r="E1414" s="0" t="n">
        <v>12</v>
      </c>
      <c r="F1414" s="0" t="n">
        <v>0.85</v>
      </c>
      <c r="G1414" s="7" t="str">
        <f aca="false">_xlfn.XLOOKUP(D1414,Catalog!$B$2:$B$4102,Catalog!$A$2:$A$4102,"NOT IN CATALOG")</f>
        <v>MULTI COLOUR SILVER T-LIGHT HOLDER</v>
      </c>
      <c r="H1414" s="7" t="n">
        <f aca="false">_xlfn.IFNA(VLOOKUP(D1414,Catalog!$B$2:$C$4102,2,FALSE()),"")</f>
        <v>0.85</v>
      </c>
      <c r="I1414" s="7" t="str">
        <f aca="false">HLOOKUP(C1414,Regions!$B$1:$S$2,2,FALSE())</f>
        <v>EU</v>
      </c>
      <c r="J1414" s="7" t="n">
        <f aca="false">E1414*F1414</f>
        <v>10.2</v>
      </c>
      <c r="K1414" s="8" t="n">
        <f aca="false">IF(H1414="","",1-F1414/H1414)</f>
        <v>0</v>
      </c>
    </row>
    <row r="1415" customFormat="false" ht="15" hidden="false" customHeight="false" outlineLevel="0" collapsed="false">
      <c r="A1415" s="0" t="s">
        <v>870</v>
      </c>
      <c r="B1415" s="6" t="n">
        <v>40886.4236111111</v>
      </c>
      <c r="C1415" s="0" t="s">
        <v>153</v>
      </c>
      <c r="D1415" s="0" t="s">
        <v>366</v>
      </c>
      <c r="E1415" s="0" t="n">
        <v>10</v>
      </c>
      <c r="F1415" s="0" t="n">
        <v>0.85</v>
      </c>
      <c r="G1415" s="7" t="str">
        <f aca="false">_xlfn.XLOOKUP(D1415,Catalog!$B$2:$B$4102,Catalog!$A$2:$A$4102,"NOT IN CATALOG")</f>
        <v>CHARLOTTE BAG , PINK/WHITE SPOTS</v>
      </c>
      <c r="H1415" s="7" t="n">
        <f aca="false">_xlfn.IFNA(VLOOKUP(D1415,Catalog!$B$2:$C$4102,2,FALSE()),"")</f>
        <v>0.85</v>
      </c>
      <c r="I1415" s="7" t="str">
        <f aca="false">HLOOKUP(C1415,Regions!$B$1:$S$2,2,FALSE())</f>
        <v>EU</v>
      </c>
      <c r="J1415" s="7" t="n">
        <f aca="false">E1415*F1415</f>
        <v>8.5</v>
      </c>
      <c r="K1415" s="8" t="n">
        <f aca="false">IF(H1415="","",1-F1415/H1415)</f>
        <v>0</v>
      </c>
    </row>
    <row r="1416" customFormat="false" ht="15" hidden="false" customHeight="false" outlineLevel="0" collapsed="false">
      <c r="A1416" s="0" t="s">
        <v>870</v>
      </c>
      <c r="B1416" s="6" t="n">
        <v>40886.4236111111</v>
      </c>
      <c r="C1416" s="0" t="s">
        <v>153</v>
      </c>
      <c r="D1416" s="0" t="s">
        <v>254</v>
      </c>
      <c r="E1416" s="0" t="n">
        <v>10</v>
      </c>
      <c r="F1416" s="0" t="n">
        <v>0.85</v>
      </c>
      <c r="G1416" s="7" t="str">
        <f aca="false">_xlfn.XLOOKUP(D1416,Catalog!$B$2:$B$4102,Catalog!$A$2:$A$4102,"NOT IN CATALOG")</f>
        <v>RED SPOTTY CHARLOTTE BAG</v>
      </c>
      <c r="H1416" s="7" t="n">
        <f aca="false">_xlfn.IFNA(VLOOKUP(D1416,Catalog!$B$2:$C$4102,2,FALSE()),"")</f>
        <v>0.85</v>
      </c>
      <c r="I1416" s="7" t="str">
        <f aca="false">HLOOKUP(C1416,Regions!$B$1:$S$2,2,FALSE())</f>
        <v>EU</v>
      </c>
      <c r="J1416" s="7" t="n">
        <f aca="false">E1416*F1416</f>
        <v>8.5</v>
      </c>
      <c r="K1416" s="8" t="n">
        <f aca="false">IF(H1416="","",1-F1416/H1416)</f>
        <v>0</v>
      </c>
    </row>
    <row r="1417" customFormat="false" ht="15" hidden="false" customHeight="false" outlineLevel="0" collapsed="false">
      <c r="A1417" s="0" t="s">
        <v>870</v>
      </c>
      <c r="B1417" s="6" t="n">
        <v>40886.4236111111</v>
      </c>
      <c r="C1417" s="0" t="s">
        <v>153</v>
      </c>
      <c r="D1417" s="0" t="s">
        <v>365</v>
      </c>
      <c r="E1417" s="0" t="n">
        <v>10</v>
      </c>
      <c r="F1417" s="0" t="n">
        <v>0.85</v>
      </c>
      <c r="G1417" s="7" t="str">
        <f aca="false">_xlfn.XLOOKUP(D1417,Catalog!$B$2:$B$4102,Catalog!$A$2:$A$4102,"NOT IN CATALOG")</f>
        <v>NOT IN CATALOG</v>
      </c>
      <c r="H1417" s="7" t="str">
        <f aca="false">_xlfn.IFNA(VLOOKUP(D1417,Catalog!$B$2:$C$4102,2,FALSE()),"")</f>
        <v/>
      </c>
      <c r="I1417" s="7" t="str">
        <f aca="false">HLOOKUP(C1417,Regions!$B$1:$S$2,2,FALSE())</f>
        <v>EU</v>
      </c>
      <c r="J1417" s="7" t="n">
        <f aca="false">E1417*F1417</f>
        <v>8.5</v>
      </c>
      <c r="K1417" s="8" t="str">
        <f aca="false">IF(H1417="","",1-F1417/H1417)</f>
        <v/>
      </c>
    </row>
    <row r="1418" customFormat="false" ht="15" hidden="false" customHeight="false" outlineLevel="0" collapsed="false">
      <c r="A1418" s="0" t="s">
        <v>870</v>
      </c>
      <c r="B1418" s="6" t="n">
        <v>40886.4236111111</v>
      </c>
      <c r="C1418" s="0" t="s">
        <v>153</v>
      </c>
      <c r="D1418" s="0" t="s">
        <v>828</v>
      </c>
      <c r="E1418" s="0" t="n">
        <v>18</v>
      </c>
      <c r="F1418" s="0" t="n">
        <v>0.79</v>
      </c>
      <c r="G1418" s="7" t="str">
        <f aca="false">_xlfn.XLOOKUP(D1418,Catalog!$B$2:$B$4102,Catalog!$A$2:$A$4102,"NOT IN CATALOG")</f>
        <v>FAIRY CAKE FLANNEL ASSORTED COLOUR</v>
      </c>
      <c r="H1418" s="7" t="n">
        <f aca="false">_xlfn.IFNA(VLOOKUP(D1418,Catalog!$B$2:$C$4102,2,FALSE()),"")</f>
        <v>2.55</v>
      </c>
      <c r="I1418" s="7" t="str">
        <f aca="false">HLOOKUP(C1418,Regions!$B$1:$S$2,2,FALSE())</f>
        <v>EU</v>
      </c>
      <c r="J1418" s="7" t="n">
        <f aca="false">E1418*F1418</f>
        <v>14.22</v>
      </c>
      <c r="K1418" s="8" t="n">
        <f aca="false">IF(H1418="","",1-F1418/H1418)</f>
        <v>0.690196078431373</v>
      </c>
    </row>
    <row r="1419" customFormat="false" ht="15" hidden="false" customHeight="false" outlineLevel="0" collapsed="false">
      <c r="A1419" s="0" t="s">
        <v>870</v>
      </c>
      <c r="B1419" s="6" t="n">
        <v>40886.4236111111</v>
      </c>
      <c r="C1419" s="0" t="s">
        <v>153</v>
      </c>
      <c r="D1419" s="0" t="s">
        <v>877</v>
      </c>
      <c r="E1419" s="0" t="n">
        <v>12</v>
      </c>
      <c r="F1419" s="0" t="n">
        <v>1.25</v>
      </c>
      <c r="G1419" s="7" t="str">
        <f aca="false">_xlfn.XLOOKUP(D1419,Catalog!$B$2:$B$4102,Catalog!$A$2:$A$4102,"NOT IN CATALOG")</f>
        <v>BIRDCAGE DECORATION TEALIGHT HOLDER</v>
      </c>
      <c r="H1419" s="7" t="n">
        <f aca="false">_xlfn.IFNA(VLOOKUP(D1419,Catalog!$B$2:$C$4102,2,FALSE()),"")</f>
        <v>1.25</v>
      </c>
      <c r="I1419" s="7" t="str">
        <f aca="false">HLOOKUP(C1419,Regions!$B$1:$S$2,2,FALSE())</f>
        <v>EU</v>
      </c>
      <c r="J1419" s="7" t="n">
        <f aca="false">E1419*F1419</f>
        <v>15</v>
      </c>
      <c r="K1419" s="8" t="n">
        <f aca="false">IF(H1419="","",1-F1419/H1419)</f>
        <v>0</v>
      </c>
    </row>
    <row r="1420" customFormat="false" ht="15" hidden="false" customHeight="false" outlineLevel="0" collapsed="false">
      <c r="A1420" s="0" t="s">
        <v>870</v>
      </c>
      <c r="B1420" s="6" t="n">
        <v>40886.4236111111</v>
      </c>
      <c r="C1420" s="0" t="s">
        <v>153</v>
      </c>
      <c r="D1420" s="0" t="s">
        <v>878</v>
      </c>
      <c r="E1420" s="0" t="n">
        <v>6</v>
      </c>
      <c r="F1420" s="0" t="n">
        <v>2.95</v>
      </c>
      <c r="G1420" s="7" t="str">
        <f aca="false">_xlfn.XLOOKUP(D1420,Catalog!$B$2:$B$4102,Catalog!$A$2:$A$4102,"NOT IN CATALOG")</f>
        <v>SET OF 6 T-LIGHTS TOADSTOOLS</v>
      </c>
      <c r="H1420" s="7" t="n">
        <f aca="false">_xlfn.IFNA(VLOOKUP(D1420,Catalog!$B$2:$C$4102,2,FALSE()),"")</f>
        <v>2.95</v>
      </c>
      <c r="I1420" s="7" t="str">
        <f aca="false">HLOOKUP(C1420,Regions!$B$1:$S$2,2,FALSE())</f>
        <v>EU</v>
      </c>
      <c r="J1420" s="7" t="n">
        <f aca="false">E1420*F1420</f>
        <v>17.7</v>
      </c>
      <c r="K1420" s="8" t="n">
        <f aca="false">IF(H1420="","",1-F1420/H1420)</f>
        <v>0</v>
      </c>
    </row>
    <row r="1421" customFormat="false" ht="15" hidden="false" customHeight="false" outlineLevel="0" collapsed="false">
      <c r="A1421" s="0" t="s">
        <v>870</v>
      </c>
      <c r="B1421" s="6" t="n">
        <v>40886.4236111111</v>
      </c>
      <c r="C1421" s="0" t="s">
        <v>153</v>
      </c>
      <c r="D1421" s="0" t="s">
        <v>39</v>
      </c>
      <c r="E1421" s="0" t="n">
        <v>1</v>
      </c>
      <c r="F1421" s="0" t="n">
        <v>15</v>
      </c>
      <c r="G1421" s="7" t="str">
        <f aca="false">_xlfn.XLOOKUP(D1421,Catalog!$B$2:$B$4102,Catalog!$A$2:$A$4102,"NOT IN CATALOG")</f>
        <v>POSTAGE</v>
      </c>
      <c r="H1421" s="7" t="n">
        <f aca="false">_xlfn.IFNA(VLOOKUP(D1421,Catalog!$B$2:$C$4102,2,FALSE()),"")</f>
        <v>18</v>
      </c>
      <c r="I1421" s="7" t="str">
        <f aca="false">HLOOKUP(C1421,Regions!$B$1:$S$2,2,FALSE())</f>
        <v>EU</v>
      </c>
      <c r="J1421" s="7" t="n">
        <f aca="false">E1421*F1421</f>
        <v>15</v>
      </c>
      <c r="K1421" s="8" t="n">
        <f aca="false">IF(H1421="","",1-F1421/H1421)</f>
        <v>0.166666666666667</v>
      </c>
    </row>
    <row r="1422" customFormat="false" ht="15" hidden="false" customHeight="false" outlineLevel="0" collapsed="false">
      <c r="A1422" s="0" t="s">
        <v>879</v>
      </c>
      <c r="B1422" s="6" t="n">
        <v>40886.4256944444</v>
      </c>
      <c r="C1422" s="0" t="s">
        <v>29</v>
      </c>
      <c r="D1422" s="0" t="s">
        <v>82</v>
      </c>
      <c r="E1422" s="0" t="n">
        <v>24</v>
      </c>
      <c r="F1422" s="0" t="n">
        <v>1.79</v>
      </c>
      <c r="G1422" s="7" t="str">
        <f aca="false">_xlfn.XLOOKUP(D1422,Catalog!$B$2:$B$4102,Catalog!$A$2:$A$4102,"NOT IN CATALOG")</f>
        <v>NOT IN CATALOG</v>
      </c>
      <c r="H1422" s="7" t="str">
        <f aca="false">_xlfn.IFNA(VLOOKUP(D1422,Catalog!$B$2:$C$4102,2,FALSE()),"")</f>
        <v/>
      </c>
      <c r="I1422" s="7" t="str">
        <f aca="false">HLOOKUP(C1422,Regions!$B$1:$S$2,2,FALSE())</f>
        <v>EU</v>
      </c>
      <c r="J1422" s="7" t="n">
        <f aca="false">E1422*F1422</f>
        <v>42.96</v>
      </c>
      <c r="K1422" s="8" t="str">
        <f aca="false">IF(H1422="","",1-F1422/H1422)</f>
        <v/>
      </c>
    </row>
    <row r="1423" customFormat="false" ht="15" hidden="false" customHeight="false" outlineLevel="0" collapsed="false">
      <c r="A1423" s="0" t="s">
        <v>879</v>
      </c>
      <c r="B1423" s="6" t="n">
        <v>40886.4256944444</v>
      </c>
      <c r="C1423" s="0" t="s">
        <v>29</v>
      </c>
      <c r="D1423" s="0" t="s">
        <v>264</v>
      </c>
      <c r="E1423" s="0" t="n">
        <v>6</v>
      </c>
      <c r="F1423" s="0" t="n">
        <v>2.55</v>
      </c>
      <c r="G1423" s="7" t="str">
        <f aca="false">_xlfn.XLOOKUP(D1423,Catalog!$B$2:$B$4102,Catalog!$A$2:$A$4102,"NOT IN CATALOG")</f>
        <v>STRAWBERRY LUNCH BOX WITH CUTLERY</v>
      </c>
      <c r="H1423" s="7" t="n">
        <f aca="false">_xlfn.IFNA(VLOOKUP(D1423,Catalog!$B$2:$C$4102,2,FALSE()),"")</f>
        <v>2.55</v>
      </c>
      <c r="I1423" s="7" t="str">
        <f aca="false">HLOOKUP(C1423,Regions!$B$1:$S$2,2,FALSE())</f>
        <v>EU</v>
      </c>
      <c r="J1423" s="7" t="n">
        <f aca="false">E1423*F1423</f>
        <v>15.3</v>
      </c>
      <c r="K1423" s="8" t="n">
        <f aca="false">IF(H1423="","",1-F1423/H1423)</f>
        <v>0</v>
      </c>
    </row>
    <row r="1424" customFormat="false" ht="15" hidden="false" customHeight="false" outlineLevel="0" collapsed="false">
      <c r="A1424" s="0" t="s">
        <v>879</v>
      </c>
      <c r="B1424" s="6" t="n">
        <v>40886.4256944444</v>
      </c>
      <c r="C1424" s="0" t="s">
        <v>29</v>
      </c>
      <c r="D1424" s="0" t="s">
        <v>880</v>
      </c>
      <c r="E1424" s="0" t="n">
        <v>12</v>
      </c>
      <c r="F1424" s="0" t="n">
        <v>0.42</v>
      </c>
      <c r="G1424" s="7" t="str">
        <f aca="false">_xlfn.XLOOKUP(D1424,Catalog!$B$2:$B$4102,Catalog!$A$2:$A$4102,"NOT IN CATALOG")</f>
        <v>FANCY FONT BIRTHDAY CARD,</v>
      </c>
      <c r="H1424" s="7" t="n">
        <f aca="false">_xlfn.IFNA(VLOOKUP(D1424,Catalog!$B$2:$C$4102,2,FALSE()),"")</f>
        <v>0.42</v>
      </c>
      <c r="I1424" s="7" t="str">
        <f aca="false">HLOOKUP(C1424,Regions!$B$1:$S$2,2,FALSE())</f>
        <v>EU</v>
      </c>
      <c r="J1424" s="7" t="n">
        <f aca="false">E1424*F1424</f>
        <v>5.04</v>
      </c>
      <c r="K1424" s="8" t="n">
        <f aca="false">IF(H1424="","",1-F1424/H1424)</f>
        <v>0</v>
      </c>
    </row>
    <row r="1425" customFormat="false" ht="15" hidden="false" customHeight="false" outlineLevel="0" collapsed="false">
      <c r="A1425" s="0" t="s">
        <v>879</v>
      </c>
      <c r="B1425" s="6" t="n">
        <v>40886.4256944444</v>
      </c>
      <c r="C1425" s="0" t="s">
        <v>29</v>
      </c>
      <c r="D1425" s="0" t="s">
        <v>173</v>
      </c>
      <c r="E1425" s="0" t="n">
        <v>12</v>
      </c>
      <c r="F1425" s="0" t="n">
        <v>0.42</v>
      </c>
      <c r="G1425" s="7" t="str">
        <f aca="false">_xlfn.XLOOKUP(D1425,Catalog!$B$2:$B$4102,Catalog!$A$2:$A$4102,"NOT IN CATALOG")</f>
        <v>CARD CIRCUS PARADE</v>
      </c>
      <c r="H1425" s="7" t="n">
        <f aca="false">_xlfn.IFNA(VLOOKUP(D1425,Catalog!$B$2:$C$4102,2,FALSE()),"")</f>
        <v>0.42</v>
      </c>
      <c r="I1425" s="7" t="str">
        <f aca="false">HLOOKUP(C1425,Regions!$B$1:$S$2,2,FALSE())</f>
        <v>EU</v>
      </c>
      <c r="J1425" s="7" t="n">
        <f aca="false">E1425*F1425</f>
        <v>5.04</v>
      </c>
      <c r="K1425" s="8" t="n">
        <f aca="false">IF(H1425="","",1-F1425/H1425)</f>
        <v>0</v>
      </c>
    </row>
    <row r="1426" customFormat="false" ht="15" hidden="false" customHeight="false" outlineLevel="0" collapsed="false">
      <c r="A1426" s="0" t="s">
        <v>879</v>
      </c>
      <c r="B1426" s="6" t="n">
        <v>40886.4256944444</v>
      </c>
      <c r="C1426" s="0" t="s">
        <v>29</v>
      </c>
      <c r="D1426" s="0" t="s">
        <v>151</v>
      </c>
      <c r="E1426" s="0" t="n">
        <v>12</v>
      </c>
      <c r="F1426" s="0" t="n">
        <v>1.65</v>
      </c>
      <c r="G1426" s="7" t="str">
        <f aca="false">_xlfn.XLOOKUP(D1426,Catalog!$B$2:$B$4102,Catalog!$A$2:$A$4102,"NOT IN CATALOG")</f>
        <v>PLASTERS IN TIN CIRCUS PARADE</v>
      </c>
      <c r="H1426" s="7" t="n">
        <f aca="false">_xlfn.IFNA(VLOOKUP(D1426,Catalog!$B$2:$C$4102,2,FALSE()),"")</f>
        <v>1.65</v>
      </c>
      <c r="I1426" s="7" t="str">
        <f aca="false">HLOOKUP(C1426,Regions!$B$1:$S$2,2,FALSE())</f>
        <v>EU</v>
      </c>
      <c r="J1426" s="7" t="n">
        <f aca="false">E1426*F1426</f>
        <v>19.8</v>
      </c>
      <c r="K1426" s="8" t="n">
        <f aca="false">IF(H1426="","",1-F1426/H1426)</f>
        <v>0</v>
      </c>
    </row>
    <row r="1427" customFormat="false" ht="15" hidden="false" customHeight="false" outlineLevel="0" collapsed="false">
      <c r="A1427" s="0" t="s">
        <v>879</v>
      </c>
      <c r="B1427" s="6" t="n">
        <v>40886.4256944444</v>
      </c>
      <c r="C1427" s="0" t="s">
        <v>29</v>
      </c>
      <c r="D1427" s="0" t="s">
        <v>441</v>
      </c>
      <c r="E1427" s="0" t="n">
        <v>6</v>
      </c>
      <c r="F1427" s="0" t="n">
        <v>2.95</v>
      </c>
      <c r="G1427" s="7" t="str">
        <f aca="false">_xlfn.XLOOKUP(D1427,Catalog!$B$2:$B$4102,Catalog!$A$2:$A$4102,"NOT IN CATALOG")</f>
        <v>ROUND SNACK BOXES SET OF 4 FRUITS</v>
      </c>
      <c r="H1427" s="7" t="n">
        <f aca="false">_xlfn.IFNA(VLOOKUP(D1427,Catalog!$B$2:$C$4102,2,FALSE()),"")</f>
        <v>2.95</v>
      </c>
      <c r="I1427" s="7" t="str">
        <f aca="false">HLOOKUP(C1427,Regions!$B$1:$S$2,2,FALSE())</f>
        <v>EU</v>
      </c>
      <c r="J1427" s="7" t="n">
        <f aca="false">E1427*F1427</f>
        <v>17.7</v>
      </c>
      <c r="K1427" s="8" t="n">
        <f aca="false">IF(H1427="","",1-F1427/H1427)</f>
        <v>0</v>
      </c>
    </row>
    <row r="1428" customFormat="false" ht="15" hidden="false" customHeight="false" outlineLevel="0" collapsed="false">
      <c r="A1428" s="0" t="s">
        <v>879</v>
      </c>
      <c r="B1428" s="6" t="n">
        <v>40886.4256944444</v>
      </c>
      <c r="C1428" s="0" t="s">
        <v>29</v>
      </c>
      <c r="D1428" s="0" t="s">
        <v>66</v>
      </c>
      <c r="E1428" s="0" t="n">
        <v>4</v>
      </c>
      <c r="F1428" s="0" t="n">
        <v>3.75</v>
      </c>
      <c r="G1428" s="7" t="str">
        <f aca="false">_xlfn.XLOOKUP(D1428,Catalog!$B$2:$B$4102,Catalog!$A$2:$A$4102,"NOT IN CATALOG")</f>
        <v>ALARM CLOCK BAKELIKE IVORY</v>
      </c>
      <c r="H1428" s="7" t="n">
        <f aca="false">_xlfn.IFNA(VLOOKUP(D1428,Catalog!$B$2:$C$4102,2,FALSE()),"")</f>
        <v>3.75</v>
      </c>
      <c r="I1428" s="7" t="str">
        <f aca="false">HLOOKUP(C1428,Regions!$B$1:$S$2,2,FALSE())</f>
        <v>EU</v>
      </c>
      <c r="J1428" s="7" t="n">
        <f aca="false">E1428*F1428</f>
        <v>15</v>
      </c>
      <c r="K1428" s="8" t="n">
        <f aca="false">IF(H1428="","",1-F1428/H1428)</f>
        <v>0</v>
      </c>
    </row>
    <row r="1429" customFormat="false" ht="15" hidden="false" customHeight="false" outlineLevel="0" collapsed="false">
      <c r="A1429" s="0" t="s">
        <v>879</v>
      </c>
      <c r="B1429" s="6" t="n">
        <v>40886.4256944444</v>
      </c>
      <c r="C1429" s="0" t="s">
        <v>29</v>
      </c>
      <c r="D1429" s="0" t="s">
        <v>881</v>
      </c>
      <c r="E1429" s="0" t="n">
        <v>12</v>
      </c>
      <c r="F1429" s="0" t="n">
        <v>2.1</v>
      </c>
      <c r="G1429" s="7" t="str">
        <f aca="false">_xlfn.XLOOKUP(D1429,Catalog!$B$2:$B$4102,Catalog!$A$2:$A$4102,"NOT IN CATALOG")</f>
        <v>HAND WARMER UNION JACK</v>
      </c>
      <c r="H1429" s="7" t="n">
        <f aca="false">_xlfn.IFNA(VLOOKUP(D1429,Catalog!$B$2:$C$4102,2,FALSE()),"")</f>
        <v>2.1</v>
      </c>
      <c r="I1429" s="7" t="str">
        <f aca="false">HLOOKUP(C1429,Regions!$B$1:$S$2,2,FALSE())</f>
        <v>EU</v>
      </c>
      <c r="J1429" s="7" t="n">
        <f aca="false">E1429*F1429</f>
        <v>25.2</v>
      </c>
      <c r="K1429" s="8" t="n">
        <f aca="false">IF(H1429="","",1-F1429/H1429)</f>
        <v>0</v>
      </c>
    </row>
    <row r="1430" customFormat="false" ht="15" hidden="false" customHeight="false" outlineLevel="0" collapsed="false">
      <c r="A1430" s="0" t="s">
        <v>879</v>
      </c>
      <c r="B1430" s="6" t="n">
        <v>40886.4256944444</v>
      </c>
      <c r="C1430" s="0" t="s">
        <v>29</v>
      </c>
      <c r="D1430" s="0" t="s">
        <v>482</v>
      </c>
      <c r="E1430" s="0" t="n">
        <v>6</v>
      </c>
      <c r="F1430" s="0" t="n">
        <v>2.95</v>
      </c>
      <c r="G1430" s="7" t="str">
        <f aca="false">_xlfn.XLOOKUP(D1430,Catalog!$B$2:$B$4102,Catalog!$A$2:$A$4102,"NOT IN CATALOG")</f>
        <v>ROUND SNACK BOXES SET OF4 WOODLAND</v>
      </c>
      <c r="H1430" s="7" t="n">
        <f aca="false">_xlfn.IFNA(VLOOKUP(D1430,Catalog!$B$2:$C$4102,2,FALSE()),"")</f>
        <v>2.95</v>
      </c>
      <c r="I1430" s="7" t="str">
        <f aca="false">HLOOKUP(C1430,Regions!$B$1:$S$2,2,FALSE())</f>
        <v>EU</v>
      </c>
      <c r="J1430" s="7" t="n">
        <f aca="false">E1430*F1430</f>
        <v>17.7</v>
      </c>
      <c r="K1430" s="8" t="n">
        <f aca="false">IF(H1430="","",1-F1430/H1430)</f>
        <v>0</v>
      </c>
    </row>
    <row r="1431" customFormat="false" ht="15" hidden="false" customHeight="false" outlineLevel="0" collapsed="false">
      <c r="A1431" s="0" t="s">
        <v>879</v>
      </c>
      <c r="B1431" s="6" t="n">
        <v>40886.4256944444</v>
      </c>
      <c r="C1431" s="0" t="s">
        <v>29</v>
      </c>
      <c r="D1431" s="0" t="s">
        <v>882</v>
      </c>
      <c r="E1431" s="0" t="n">
        <v>20</v>
      </c>
      <c r="F1431" s="0" t="n">
        <v>0.85</v>
      </c>
      <c r="G1431" s="7" t="str">
        <f aca="false">_xlfn.XLOOKUP(D1431,Catalog!$B$2:$B$4102,Catalog!$A$2:$A$4102,"NOT IN CATALOG")</f>
        <v>MINI FUNKY DESIGN TAPES</v>
      </c>
      <c r="H1431" s="7" t="n">
        <f aca="false">_xlfn.IFNA(VLOOKUP(D1431,Catalog!$B$2:$C$4102,2,FALSE()),"")</f>
        <v>0.85</v>
      </c>
      <c r="I1431" s="7" t="str">
        <f aca="false">HLOOKUP(C1431,Regions!$B$1:$S$2,2,FALSE())</f>
        <v>EU</v>
      </c>
      <c r="J1431" s="7" t="n">
        <f aca="false">E1431*F1431</f>
        <v>17</v>
      </c>
      <c r="K1431" s="8" t="n">
        <f aca="false">IF(H1431="","",1-F1431/H1431)</f>
        <v>0</v>
      </c>
    </row>
    <row r="1432" customFormat="false" ht="15" hidden="false" customHeight="false" outlineLevel="0" collapsed="false">
      <c r="A1432" s="0" t="s">
        <v>879</v>
      </c>
      <c r="B1432" s="6" t="n">
        <v>40886.4256944444</v>
      </c>
      <c r="C1432" s="0" t="s">
        <v>29</v>
      </c>
      <c r="D1432" s="0" t="s">
        <v>287</v>
      </c>
      <c r="E1432" s="0" t="n">
        <v>24</v>
      </c>
      <c r="F1432" s="0" t="n">
        <v>0.65</v>
      </c>
      <c r="G1432" s="7" t="str">
        <f aca="false">_xlfn.XLOOKUP(D1432,Catalog!$B$2:$B$4102,Catalog!$A$2:$A$4102,"NOT IN CATALOG")</f>
        <v>NOT IN CATALOG</v>
      </c>
      <c r="H1432" s="7" t="str">
        <f aca="false">_xlfn.IFNA(VLOOKUP(D1432,Catalog!$B$2:$C$4102,2,FALSE()),"")</f>
        <v/>
      </c>
      <c r="I1432" s="7" t="str">
        <f aca="false">HLOOKUP(C1432,Regions!$B$1:$S$2,2,FALSE())</f>
        <v>EU</v>
      </c>
      <c r="J1432" s="7" t="n">
        <f aca="false">E1432*F1432</f>
        <v>15.6</v>
      </c>
      <c r="K1432" s="8" t="str">
        <f aca="false">IF(H1432="","",1-F1432/H1432)</f>
        <v/>
      </c>
    </row>
    <row r="1433" customFormat="false" ht="15" hidden="false" customHeight="false" outlineLevel="0" collapsed="false">
      <c r="A1433" s="0" t="s">
        <v>879</v>
      </c>
      <c r="B1433" s="6" t="n">
        <v>40886.4256944444</v>
      </c>
      <c r="C1433" s="0" t="s">
        <v>29</v>
      </c>
      <c r="D1433" s="0" t="s">
        <v>242</v>
      </c>
      <c r="E1433" s="0" t="n">
        <v>12</v>
      </c>
      <c r="F1433" s="0" t="n">
        <v>1.65</v>
      </c>
      <c r="G1433" s="7" t="str">
        <f aca="false">_xlfn.XLOOKUP(D1433,Catalog!$B$2:$B$4102,Catalog!$A$2:$A$4102,"NOT IN CATALOG")</f>
        <v>PLASTERS IN TIN SPACEBOY</v>
      </c>
      <c r="H1433" s="7" t="n">
        <f aca="false">_xlfn.IFNA(VLOOKUP(D1433,Catalog!$B$2:$C$4102,2,FALSE()),"")</f>
        <v>1.65</v>
      </c>
      <c r="I1433" s="7" t="str">
        <f aca="false">HLOOKUP(C1433,Regions!$B$1:$S$2,2,FALSE())</f>
        <v>EU</v>
      </c>
      <c r="J1433" s="7" t="n">
        <f aca="false">E1433*F1433</f>
        <v>19.8</v>
      </c>
      <c r="K1433" s="8" t="n">
        <f aca="false">IF(H1433="","",1-F1433/H1433)</f>
        <v>0</v>
      </c>
    </row>
    <row r="1434" customFormat="false" ht="15" hidden="false" customHeight="false" outlineLevel="0" collapsed="false">
      <c r="A1434" s="0" t="s">
        <v>879</v>
      </c>
      <c r="B1434" s="6" t="n">
        <v>40886.4256944444</v>
      </c>
      <c r="C1434" s="0" t="s">
        <v>29</v>
      </c>
      <c r="D1434" s="0" t="s">
        <v>243</v>
      </c>
      <c r="E1434" s="0" t="n">
        <v>12</v>
      </c>
      <c r="F1434" s="0" t="n">
        <v>1.65</v>
      </c>
      <c r="G1434" s="7" t="str">
        <f aca="false">_xlfn.XLOOKUP(D1434,Catalog!$B$2:$B$4102,Catalog!$A$2:$A$4102,"NOT IN CATALOG")</f>
        <v>PLASTERS IN TIN WOODLAND ANIMALS</v>
      </c>
      <c r="H1434" s="7" t="n">
        <f aca="false">_xlfn.IFNA(VLOOKUP(D1434,Catalog!$B$2:$C$4102,2,FALSE()),"")</f>
        <v>1.65</v>
      </c>
      <c r="I1434" s="7" t="str">
        <f aca="false">HLOOKUP(C1434,Regions!$B$1:$S$2,2,FALSE())</f>
        <v>EU</v>
      </c>
      <c r="J1434" s="7" t="n">
        <f aca="false">E1434*F1434</f>
        <v>19.8</v>
      </c>
      <c r="K1434" s="8" t="n">
        <f aca="false">IF(H1434="","",1-F1434/H1434)</f>
        <v>0</v>
      </c>
    </row>
    <row r="1435" customFormat="false" ht="15" hidden="false" customHeight="false" outlineLevel="0" collapsed="false">
      <c r="A1435" s="0" t="s">
        <v>879</v>
      </c>
      <c r="B1435" s="6" t="n">
        <v>40886.4256944444</v>
      </c>
      <c r="C1435" s="0" t="s">
        <v>29</v>
      </c>
      <c r="D1435" s="0" t="s">
        <v>292</v>
      </c>
      <c r="E1435" s="0" t="n">
        <v>12</v>
      </c>
      <c r="F1435" s="0" t="n">
        <v>1.45</v>
      </c>
      <c r="G1435" s="7" t="str">
        <f aca="false">_xlfn.XLOOKUP(D1435,Catalog!$B$2:$B$4102,Catalog!$A$2:$A$4102,"NOT IN CATALOG")</f>
        <v>PICTURE DOMINOES</v>
      </c>
      <c r="H1435" s="7" t="n">
        <f aca="false">_xlfn.IFNA(VLOOKUP(D1435,Catalog!$B$2:$C$4102,2,FALSE()),"")</f>
        <v>1.45</v>
      </c>
      <c r="I1435" s="7" t="str">
        <f aca="false">HLOOKUP(C1435,Regions!$B$1:$S$2,2,FALSE())</f>
        <v>EU</v>
      </c>
      <c r="J1435" s="7" t="n">
        <f aca="false">E1435*F1435</f>
        <v>17.4</v>
      </c>
      <c r="K1435" s="8" t="n">
        <f aca="false">IF(H1435="","",1-F1435/H1435)</f>
        <v>0</v>
      </c>
    </row>
    <row r="1436" customFormat="false" ht="15" hidden="false" customHeight="false" outlineLevel="0" collapsed="false">
      <c r="A1436" s="0" t="s">
        <v>879</v>
      </c>
      <c r="B1436" s="6" t="n">
        <v>40886.4256944444</v>
      </c>
      <c r="C1436" s="0" t="s">
        <v>29</v>
      </c>
      <c r="D1436" s="0" t="s">
        <v>576</v>
      </c>
      <c r="E1436" s="0" t="n">
        <v>4</v>
      </c>
      <c r="F1436" s="0" t="n">
        <v>4.15</v>
      </c>
      <c r="G1436" s="7" t="str">
        <f aca="false">_xlfn.XLOOKUP(D1436,Catalog!$B$2:$B$4102,Catalog!$A$2:$A$4102,"NOT IN CATALOG")</f>
        <v>NOT IN CATALOG</v>
      </c>
      <c r="H1436" s="7" t="str">
        <f aca="false">_xlfn.IFNA(VLOOKUP(D1436,Catalog!$B$2:$C$4102,2,FALSE()),"")</f>
        <v/>
      </c>
      <c r="I1436" s="7" t="str">
        <f aca="false">HLOOKUP(C1436,Regions!$B$1:$S$2,2,FALSE())</f>
        <v>EU</v>
      </c>
      <c r="J1436" s="7" t="n">
        <f aca="false">E1436*F1436</f>
        <v>16.6</v>
      </c>
      <c r="K1436" s="8" t="str">
        <f aca="false">IF(H1436="","",1-F1436/H1436)</f>
        <v/>
      </c>
    </row>
    <row r="1437" customFormat="false" ht="15" hidden="false" customHeight="false" outlineLevel="0" collapsed="false">
      <c r="A1437" s="0" t="s">
        <v>879</v>
      </c>
      <c r="B1437" s="6" t="n">
        <v>40886.4256944444</v>
      </c>
      <c r="C1437" s="0" t="s">
        <v>29</v>
      </c>
      <c r="D1437" s="0" t="s">
        <v>85</v>
      </c>
      <c r="E1437" s="0" t="n">
        <v>4</v>
      </c>
      <c r="F1437" s="0" t="n">
        <v>4.15</v>
      </c>
      <c r="G1437" s="7" t="str">
        <f aca="false">_xlfn.XLOOKUP(D1437,Catalog!$B$2:$B$4102,Catalog!$A$2:$A$4102,"NOT IN CATALOG")</f>
        <v>NOT IN CATALOG</v>
      </c>
      <c r="H1437" s="7" t="str">
        <f aca="false">_xlfn.IFNA(VLOOKUP(D1437,Catalog!$B$2:$C$4102,2,FALSE()),"")</f>
        <v/>
      </c>
      <c r="I1437" s="7" t="str">
        <f aca="false">HLOOKUP(C1437,Regions!$B$1:$S$2,2,FALSE())</f>
        <v>EU</v>
      </c>
      <c r="J1437" s="7" t="n">
        <f aca="false">E1437*F1437</f>
        <v>16.6</v>
      </c>
      <c r="K1437" s="8" t="str">
        <f aca="false">IF(H1437="","",1-F1437/H1437)</f>
        <v/>
      </c>
    </row>
    <row r="1438" customFormat="false" ht="15" hidden="false" customHeight="false" outlineLevel="0" collapsed="false">
      <c r="A1438" s="0" t="s">
        <v>879</v>
      </c>
      <c r="B1438" s="6" t="n">
        <v>40886.4256944444</v>
      </c>
      <c r="C1438" s="0" t="s">
        <v>29</v>
      </c>
      <c r="D1438" s="0" t="s">
        <v>309</v>
      </c>
      <c r="E1438" s="0" t="n">
        <v>4</v>
      </c>
      <c r="F1438" s="0" t="n">
        <v>4.15</v>
      </c>
      <c r="G1438" s="7" t="str">
        <f aca="false">_xlfn.XLOOKUP(D1438,Catalog!$B$2:$B$4102,Catalog!$A$2:$A$4102,"NOT IN CATALOG")</f>
        <v>NOT IN CATALOG</v>
      </c>
      <c r="H1438" s="7" t="str">
        <f aca="false">_xlfn.IFNA(VLOOKUP(D1438,Catalog!$B$2:$C$4102,2,FALSE()),"")</f>
        <v/>
      </c>
      <c r="I1438" s="7" t="str">
        <f aca="false">HLOOKUP(C1438,Regions!$B$1:$S$2,2,FALSE())</f>
        <v>EU</v>
      </c>
      <c r="J1438" s="7" t="n">
        <f aca="false">E1438*F1438</f>
        <v>16.6</v>
      </c>
      <c r="K1438" s="8" t="str">
        <f aca="false">IF(H1438="","",1-F1438/H1438)</f>
        <v/>
      </c>
    </row>
    <row r="1439" customFormat="false" ht="15" hidden="false" customHeight="false" outlineLevel="0" collapsed="false">
      <c r="A1439" s="0" t="s">
        <v>879</v>
      </c>
      <c r="B1439" s="6" t="n">
        <v>40886.4256944444</v>
      </c>
      <c r="C1439" s="0" t="s">
        <v>29</v>
      </c>
      <c r="D1439" s="0" t="s">
        <v>39</v>
      </c>
      <c r="E1439" s="0" t="n">
        <v>2</v>
      </c>
      <c r="F1439" s="0" t="n">
        <v>18</v>
      </c>
      <c r="G1439" s="7" t="str">
        <f aca="false">_xlfn.XLOOKUP(D1439,Catalog!$B$2:$B$4102,Catalog!$A$2:$A$4102,"NOT IN CATALOG")</f>
        <v>POSTAGE</v>
      </c>
      <c r="H1439" s="7" t="n">
        <f aca="false">_xlfn.IFNA(VLOOKUP(D1439,Catalog!$B$2:$C$4102,2,FALSE()),"")</f>
        <v>18</v>
      </c>
      <c r="I1439" s="7" t="str">
        <f aca="false">HLOOKUP(C1439,Regions!$B$1:$S$2,2,FALSE())</f>
        <v>EU</v>
      </c>
      <c r="J1439" s="7" t="n">
        <f aca="false">E1439*F1439</f>
        <v>36</v>
      </c>
      <c r="K1439" s="8" t="n">
        <f aca="false">IF(H1439="","",1-F1439/H1439)</f>
        <v>0</v>
      </c>
    </row>
    <row r="1440" customFormat="false" ht="15" hidden="false" customHeight="false" outlineLevel="0" collapsed="false">
      <c r="A1440" s="0" t="s">
        <v>883</v>
      </c>
      <c r="B1440" s="6" t="n">
        <v>40886.4993055556</v>
      </c>
      <c r="C1440" s="0" t="s">
        <v>29</v>
      </c>
      <c r="D1440" s="0" t="s">
        <v>884</v>
      </c>
      <c r="E1440" s="0" t="n">
        <v>6</v>
      </c>
      <c r="F1440" s="0" t="n">
        <v>2.1</v>
      </c>
      <c r="G1440" s="7" t="str">
        <f aca="false">_xlfn.XLOOKUP(D1440,Catalog!$B$2:$B$4102,Catalog!$A$2:$A$4102,"NOT IN CATALOG")</f>
        <v>CHRISTMAS CRAFT TREE TOP ANGEL</v>
      </c>
      <c r="H1440" s="7" t="n">
        <f aca="false">_xlfn.IFNA(VLOOKUP(D1440,Catalog!$B$2:$C$4102,2,FALSE()),"")</f>
        <v>2.1</v>
      </c>
      <c r="I1440" s="7" t="str">
        <f aca="false">HLOOKUP(C1440,Regions!$B$1:$S$2,2,FALSE())</f>
        <v>EU</v>
      </c>
      <c r="J1440" s="7" t="n">
        <f aca="false">E1440*F1440</f>
        <v>12.6</v>
      </c>
      <c r="K1440" s="8" t="n">
        <f aca="false">IF(H1440="","",1-F1440/H1440)</f>
        <v>0</v>
      </c>
    </row>
    <row r="1441" customFormat="false" ht="15" hidden="false" customHeight="false" outlineLevel="0" collapsed="false">
      <c r="A1441" s="0" t="s">
        <v>883</v>
      </c>
      <c r="B1441" s="6" t="n">
        <v>40886.4993055556</v>
      </c>
      <c r="C1441" s="0" t="s">
        <v>29</v>
      </c>
      <c r="D1441" s="0" t="s">
        <v>690</v>
      </c>
      <c r="E1441" s="0" t="n">
        <v>6</v>
      </c>
      <c r="F1441" s="0" t="n">
        <v>2.95</v>
      </c>
      <c r="G1441" s="7" t="str">
        <f aca="false">_xlfn.XLOOKUP(D1441,Catalog!$B$2:$B$4102,Catalog!$A$2:$A$4102,"NOT IN CATALOG")</f>
        <v>PINK OWL SOFT TOY</v>
      </c>
      <c r="H1441" s="7" t="n">
        <f aca="false">_xlfn.IFNA(VLOOKUP(D1441,Catalog!$B$2:$C$4102,2,FALSE()),"")</f>
        <v>2.95</v>
      </c>
      <c r="I1441" s="7" t="str">
        <f aca="false">HLOOKUP(C1441,Regions!$B$1:$S$2,2,FALSE())</f>
        <v>EU</v>
      </c>
      <c r="J1441" s="7" t="n">
        <f aca="false">E1441*F1441</f>
        <v>17.7</v>
      </c>
      <c r="K1441" s="8" t="n">
        <f aca="false">IF(H1441="","",1-F1441/H1441)</f>
        <v>0</v>
      </c>
    </row>
    <row r="1442" customFormat="false" ht="15" hidden="false" customHeight="false" outlineLevel="0" collapsed="false">
      <c r="A1442" s="0" t="s">
        <v>883</v>
      </c>
      <c r="B1442" s="6" t="n">
        <v>40886.4993055556</v>
      </c>
      <c r="C1442" s="0" t="s">
        <v>29</v>
      </c>
      <c r="D1442" s="0" t="s">
        <v>224</v>
      </c>
      <c r="E1442" s="0" t="n">
        <v>4</v>
      </c>
      <c r="F1442" s="0" t="n">
        <v>3.75</v>
      </c>
      <c r="G1442" s="7" t="str">
        <f aca="false">_xlfn.XLOOKUP(D1442,Catalog!$B$2:$B$4102,Catalog!$A$2:$A$4102,"NOT IN CATALOG")</f>
        <v>FAWN BLUE HOT WATER BOTTLE</v>
      </c>
      <c r="H1442" s="7" t="n">
        <f aca="false">_xlfn.IFNA(VLOOKUP(D1442,Catalog!$B$2:$C$4102,2,FALSE()),"")</f>
        <v>2.95</v>
      </c>
      <c r="I1442" s="7" t="str">
        <f aca="false">HLOOKUP(C1442,Regions!$B$1:$S$2,2,FALSE())</f>
        <v>EU</v>
      </c>
      <c r="J1442" s="7" t="n">
        <f aca="false">E1442*F1442</f>
        <v>15</v>
      </c>
      <c r="K1442" s="8" t="n">
        <f aca="false">IF(H1442="","",1-F1442/H1442)</f>
        <v>-0.271186440677966</v>
      </c>
    </row>
    <row r="1443" customFormat="false" ht="15" hidden="false" customHeight="false" outlineLevel="0" collapsed="false">
      <c r="A1443" s="0" t="s">
        <v>883</v>
      </c>
      <c r="B1443" s="6" t="n">
        <v>40886.4993055556</v>
      </c>
      <c r="C1443" s="0" t="s">
        <v>29</v>
      </c>
      <c r="D1443" s="0" t="s">
        <v>379</v>
      </c>
      <c r="E1443" s="0" t="n">
        <v>12</v>
      </c>
      <c r="F1443" s="0" t="n">
        <v>1.25</v>
      </c>
      <c r="G1443" s="7" t="str">
        <f aca="false">_xlfn.XLOOKUP(D1443,Catalog!$B$2:$B$4102,Catalog!$A$2:$A$4102,"NOT IN CATALOG")</f>
        <v>NOT IN CATALOG</v>
      </c>
      <c r="H1443" s="7" t="str">
        <f aca="false">_xlfn.IFNA(VLOOKUP(D1443,Catalog!$B$2:$C$4102,2,FALSE()),"")</f>
        <v/>
      </c>
      <c r="I1443" s="7" t="str">
        <f aca="false">HLOOKUP(C1443,Regions!$B$1:$S$2,2,FALSE())</f>
        <v>EU</v>
      </c>
      <c r="J1443" s="7" t="n">
        <f aca="false">E1443*F1443</f>
        <v>15</v>
      </c>
      <c r="K1443" s="8" t="str">
        <f aca="false">IF(H1443="","",1-F1443/H1443)</f>
        <v/>
      </c>
    </row>
    <row r="1444" customFormat="false" ht="15" hidden="false" customHeight="false" outlineLevel="0" collapsed="false">
      <c r="A1444" s="0" t="s">
        <v>883</v>
      </c>
      <c r="B1444" s="6" t="n">
        <v>40886.4993055556</v>
      </c>
      <c r="C1444" s="0" t="s">
        <v>29</v>
      </c>
      <c r="D1444" s="0" t="s">
        <v>482</v>
      </c>
      <c r="E1444" s="0" t="n">
        <v>6</v>
      </c>
      <c r="F1444" s="0" t="n">
        <v>2.95</v>
      </c>
      <c r="G1444" s="7" t="str">
        <f aca="false">_xlfn.XLOOKUP(D1444,Catalog!$B$2:$B$4102,Catalog!$A$2:$A$4102,"NOT IN CATALOG")</f>
        <v>ROUND SNACK BOXES SET OF4 WOODLAND</v>
      </c>
      <c r="H1444" s="7" t="n">
        <f aca="false">_xlfn.IFNA(VLOOKUP(D1444,Catalog!$B$2:$C$4102,2,FALSE()),"")</f>
        <v>2.95</v>
      </c>
      <c r="I1444" s="7" t="str">
        <f aca="false">HLOOKUP(C1444,Regions!$B$1:$S$2,2,FALSE())</f>
        <v>EU</v>
      </c>
      <c r="J1444" s="7" t="n">
        <f aca="false">E1444*F1444</f>
        <v>17.7</v>
      </c>
      <c r="K1444" s="8" t="n">
        <f aca="false">IF(H1444="","",1-F1444/H1444)</f>
        <v>0</v>
      </c>
    </row>
    <row r="1445" customFormat="false" ht="15" hidden="false" customHeight="false" outlineLevel="0" collapsed="false">
      <c r="A1445" s="0" t="s">
        <v>883</v>
      </c>
      <c r="B1445" s="6" t="n">
        <v>40886.4993055556</v>
      </c>
      <c r="C1445" s="0" t="s">
        <v>29</v>
      </c>
      <c r="D1445" s="0" t="s">
        <v>885</v>
      </c>
      <c r="E1445" s="0" t="n">
        <v>8</v>
      </c>
      <c r="F1445" s="0" t="n">
        <v>1.65</v>
      </c>
      <c r="G1445" s="7" t="str">
        <f aca="false">_xlfn.XLOOKUP(D1445,Catalog!$B$2:$B$4102,Catalog!$A$2:$A$4102,"NOT IN CATALOG")</f>
        <v>WOODLAND PARTY BAG + STICKER SET</v>
      </c>
      <c r="H1445" s="7" t="n">
        <f aca="false">_xlfn.IFNA(VLOOKUP(D1445,Catalog!$B$2:$C$4102,2,FALSE()),"")</f>
        <v>1.65</v>
      </c>
      <c r="I1445" s="7" t="str">
        <f aca="false">HLOOKUP(C1445,Regions!$B$1:$S$2,2,FALSE())</f>
        <v>EU</v>
      </c>
      <c r="J1445" s="7" t="n">
        <f aca="false">E1445*F1445</f>
        <v>13.2</v>
      </c>
      <c r="K1445" s="8" t="n">
        <f aca="false">IF(H1445="","",1-F1445/H1445)</f>
        <v>0</v>
      </c>
    </row>
    <row r="1446" customFormat="false" ht="15" hidden="false" customHeight="false" outlineLevel="0" collapsed="false">
      <c r="A1446" s="0" t="s">
        <v>883</v>
      </c>
      <c r="B1446" s="6" t="n">
        <v>40886.4993055556</v>
      </c>
      <c r="C1446" s="0" t="s">
        <v>29</v>
      </c>
      <c r="D1446" s="0" t="s">
        <v>109</v>
      </c>
      <c r="E1446" s="0" t="n">
        <v>12</v>
      </c>
      <c r="F1446" s="0" t="n">
        <v>2.1</v>
      </c>
      <c r="G1446" s="7" t="str">
        <f aca="false">_xlfn.XLOOKUP(D1446,Catalog!$B$2:$B$4102,Catalog!$A$2:$A$4102,"NOT IN CATALOG")</f>
        <v>HAND WARMER BABUSHKA DESIGN</v>
      </c>
      <c r="H1446" s="7" t="n">
        <f aca="false">_xlfn.IFNA(VLOOKUP(D1446,Catalog!$B$2:$C$4102,2,FALSE()),"")</f>
        <v>2.1</v>
      </c>
      <c r="I1446" s="7" t="str">
        <f aca="false">HLOOKUP(C1446,Regions!$B$1:$S$2,2,FALSE())</f>
        <v>EU</v>
      </c>
      <c r="J1446" s="7" t="n">
        <f aca="false">E1446*F1446</f>
        <v>25.2</v>
      </c>
      <c r="K1446" s="8" t="n">
        <f aca="false">IF(H1446="","",1-F1446/H1446)</f>
        <v>0</v>
      </c>
    </row>
    <row r="1447" customFormat="false" ht="15" hidden="false" customHeight="false" outlineLevel="0" collapsed="false">
      <c r="A1447" s="0" t="s">
        <v>883</v>
      </c>
      <c r="B1447" s="6" t="n">
        <v>40886.4993055556</v>
      </c>
      <c r="C1447" s="0" t="s">
        <v>29</v>
      </c>
      <c r="D1447" s="0" t="s">
        <v>144</v>
      </c>
      <c r="E1447" s="0" t="n">
        <v>12</v>
      </c>
      <c r="F1447" s="0" t="n">
        <v>1.25</v>
      </c>
      <c r="G1447" s="7" t="str">
        <f aca="false">_xlfn.XLOOKUP(D1447,Catalog!$B$2:$B$4102,Catalog!$A$2:$A$4102,"NOT IN CATALOG")</f>
        <v>BLUE HARMONICA IN BOX</v>
      </c>
      <c r="H1447" s="7" t="n">
        <f aca="false">_xlfn.IFNA(VLOOKUP(D1447,Catalog!$B$2:$C$4102,2,FALSE()),"")</f>
        <v>1.25</v>
      </c>
      <c r="I1447" s="7" t="str">
        <f aca="false">HLOOKUP(C1447,Regions!$B$1:$S$2,2,FALSE())</f>
        <v>EU</v>
      </c>
      <c r="J1447" s="7" t="n">
        <f aca="false">E1447*F1447</f>
        <v>15</v>
      </c>
      <c r="K1447" s="8" t="n">
        <f aca="false">IF(H1447="","",1-F1447/H1447)</f>
        <v>0</v>
      </c>
    </row>
    <row r="1448" customFormat="false" ht="15" hidden="false" customHeight="false" outlineLevel="0" collapsed="false">
      <c r="A1448" s="0" t="s">
        <v>883</v>
      </c>
      <c r="B1448" s="6" t="n">
        <v>40886.4993055556</v>
      </c>
      <c r="C1448" s="0" t="s">
        <v>29</v>
      </c>
      <c r="D1448" s="0" t="s">
        <v>99</v>
      </c>
      <c r="E1448" s="0" t="n">
        <v>3</v>
      </c>
      <c r="F1448" s="0" t="n">
        <v>4.95</v>
      </c>
      <c r="G1448" s="7" t="str">
        <f aca="false">_xlfn.XLOOKUP(D1448,Catalog!$B$2:$B$4102,Catalog!$A$2:$A$4102,"NOT IN CATALOG")</f>
        <v>RETRO SPOT TEA SET CERAMIC 11 PC</v>
      </c>
      <c r="H1448" s="7" t="n">
        <f aca="false">_xlfn.IFNA(VLOOKUP(D1448,Catalog!$B$2:$C$4102,2,FALSE()),"")</f>
        <v>4.95</v>
      </c>
      <c r="I1448" s="7" t="str">
        <f aca="false">HLOOKUP(C1448,Regions!$B$1:$S$2,2,FALSE())</f>
        <v>EU</v>
      </c>
      <c r="J1448" s="7" t="n">
        <f aca="false">E1448*F1448</f>
        <v>14.85</v>
      </c>
      <c r="K1448" s="8" t="n">
        <f aca="false">IF(H1448="","",1-F1448/H1448)</f>
        <v>0</v>
      </c>
    </row>
    <row r="1449" customFormat="false" ht="15" hidden="false" customHeight="false" outlineLevel="0" collapsed="false">
      <c r="A1449" s="0" t="s">
        <v>883</v>
      </c>
      <c r="B1449" s="6" t="n">
        <v>40886.4993055556</v>
      </c>
      <c r="C1449" s="0" t="s">
        <v>29</v>
      </c>
      <c r="D1449" s="0" t="s">
        <v>294</v>
      </c>
      <c r="E1449" s="0" t="n">
        <v>20</v>
      </c>
      <c r="F1449" s="0" t="n">
        <v>1.25</v>
      </c>
      <c r="G1449" s="7" t="str">
        <f aca="false">_xlfn.XLOOKUP(D1449,Catalog!$B$2:$B$4102,Catalog!$A$2:$A$4102,"NOT IN CATALOG")</f>
        <v>NOT IN CATALOG</v>
      </c>
      <c r="H1449" s="7" t="str">
        <f aca="false">_xlfn.IFNA(VLOOKUP(D1449,Catalog!$B$2:$C$4102,2,FALSE()),"")</f>
        <v/>
      </c>
      <c r="I1449" s="7" t="str">
        <f aca="false">HLOOKUP(C1449,Regions!$B$1:$S$2,2,FALSE())</f>
        <v>EU</v>
      </c>
      <c r="J1449" s="7" t="n">
        <f aca="false">E1449*F1449</f>
        <v>25</v>
      </c>
      <c r="K1449" s="8" t="str">
        <f aca="false">IF(H1449="","",1-F1449/H1449)</f>
        <v/>
      </c>
    </row>
    <row r="1450" customFormat="false" ht="15" hidden="false" customHeight="false" outlineLevel="0" collapsed="false">
      <c r="A1450" s="0" t="s">
        <v>883</v>
      </c>
      <c r="B1450" s="6" t="n">
        <v>40886.4993055556</v>
      </c>
      <c r="C1450" s="0" t="s">
        <v>29</v>
      </c>
      <c r="D1450" s="0" t="s">
        <v>47</v>
      </c>
      <c r="E1450" s="0" t="n">
        <v>2</v>
      </c>
      <c r="F1450" s="0" t="n">
        <v>7.95</v>
      </c>
      <c r="G1450" s="7" t="str">
        <f aca="false">_xlfn.XLOOKUP(D1450,Catalog!$B$2:$B$4102,Catalog!$A$2:$A$4102,"NOT IN CATALOG")</f>
        <v>RED/WHITE DOT MINI CASES</v>
      </c>
      <c r="H1450" s="7" t="n">
        <f aca="false">_xlfn.IFNA(VLOOKUP(D1450,Catalog!$B$2:$C$4102,2,FALSE()),"")</f>
        <v>7.95</v>
      </c>
      <c r="I1450" s="7" t="str">
        <f aca="false">HLOOKUP(C1450,Regions!$B$1:$S$2,2,FALSE())</f>
        <v>EU</v>
      </c>
      <c r="J1450" s="7" t="n">
        <f aca="false">E1450*F1450</f>
        <v>15.9</v>
      </c>
      <c r="K1450" s="8" t="n">
        <f aca="false">IF(H1450="","",1-F1450/H1450)</f>
        <v>0</v>
      </c>
    </row>
    <row r="1451" customFormat="false" ht="15" hidden="false" customHeight="false" outlineLevel="0" collapsed="false">
      <c r="A1451" s="0" t="s">
        <v>883</v>
      </c>
      <c r="B1451" s="6" t="n">
        <v>40886.4993055556</v>
      </c>
      <c r="C1451" s="0" t="s">
        <v>29</v>
      </c>
      <c r="D1451" s="0" t="s">
        <v>886</v>
      </c>
      <c r="E1451" s="0" t="n">
        <v>4</v>
      </c>
      <c r="F1451" s="0" t="n">
        <v>4.95</v>
      </c>
      <c r="G1451" s="7" t="str">
        <f aca="false">_xlfn.XLOOKUP(D1451,Catalog!$B$2:$B$4102,Catalog!$A$2:$A$4102,"NOT IN CATALOG")</f>
        <v>MEMO BOARD COTTAGE DESIGN</v>
      </c>
      <c r="H1451" s="7" t="n">
        <f aca="false">_xlfn.IFNA(VLOOKUP(D1451,Catalog!$B$2:$C$4102,2,FALSE()),"")</f>
        <v>4.95</v>
      </c>
      <c r="I1451" s="7" t="str">
        <f aca="false">HLOOKUP(C1451,Regions!$B$1:$S$2,2,FALSE())</f>
        <v>EU</v>
      </c>
      <c r="J1451" s="7" t="n">
        <f aca="false">E1451*F1451</f>
        <v>19.8</v>
      </c>
      <c r="K1451" s="8" t="n">
        <f aca="false">IF(H1451="","",1-F1451/H1451)</f>
        <v>0</v>
      </c>
    </row>
    <row r="1452" customFormat="false" ht="15" hidden="false" customHeight="false" outlineLevel="0" collapsed="false">
      <c r="A1452" s="0" t="s">
        <v>883</v>
      </c>
      <c r="B1452" s="6" t="n">
        <v>40886.4993055556</v>
      </c>
      <c r="C1452" s="0" t="s">
        <v>29</v>
      </c>
      <c r="D1452" s="0" t="s">
        <v>39</v>
      </c>
      <c r="E1452" s="0" t="n">
        <v>1</v>
      </c>
      <c r="F1452" s="0" t="n">
        <v>18</v>
      </c>
      <c r="G1452" s="7" t="str">
        <f aca="false">_xlfn.XLOOKUP(D1452,Catalog!$B$2:$B$4102,Catalog!$A$2:$A$4102,"NOT IN CATALOG")</f>
        <v>POSTAGE</v>
      </c>
      <c r="H1452" s="7" t="n">
        <f aca="false">_xlfn.IFNA(VLOOKUP(D1452,Catalog!$B$2:$C$4102,2,FALSE()),"")</f>
        <v>18</v>
      </c>
      <c r="I1452" s="7" t="str">
        <f aca="false">HLOOKUP(C1452,Regions!$B$1:$S$2,2,FALSE())</f>
        <v>EU</v>
      </c>
      <c r="J1452" s="7" t="n">
        <f aca="false">E1452*F1452</f>
        <v>18</v>
      </c>
      <c r="K1452" s="8" t="n">
        <f aca="false">IF(H1452="","",1-F1452/H1452)</f>
        <v>0</v>
      </c>
    </row>
    <row r="1453" customFormat="false" ht="15" hidden="false" customHeight="false" outlineLevel="0" collapsed="false">
      <c r="A1453" s="0" t="s">
        <v>887</v>
      </c>
      <c r="B1453" s="6" t="n">
        <v>40886.50625</v>
      </c>
      <c r="C1453" s="0" t="s">
        <v>29</v>
      </c>
      <c r="D1453" s="0" t="s">
        <v>482</v>
      </c>
      <c r="E1453" s="0" t="n">
        <v>6</v>
      </c>
      <c r="F1453" s="0" t="n">
        <v>2.95</v>
      </c>
      <c r="G1453" s="7" t="str">
        <f aca="false">_xlfn.XLOOKUP(D1453,Catalog!$B$2:$B$4102,Catalog!$A$2:$A$4102,"NOT IN CATALOG")</f>
        <v>ROUND SNACK BOXES SET OF4 WOODLAND</v>
      </c>
      <c r="H1453" s="7" t="n">
        <f aca="false">_xlfn.IFNA(VLOOKUP(D1453,Catalog!$B$2:$C$4102,2,FALSE()),"")</f>
        <v>2.95</v>
      </c>
      <c r="I1453" s="7" t="str">
        <f aca="false">HLOOKUP(C1453,Regions!$B$1:$S$2,2,FALSE())</f>
        <v>EU</v>
      </c>
      <c r="J1453" s="7" t="n">
        <f aca="false">E1453*F1453</f>
        <v>17.7</v>
      </c>
      <c r="K1453" s="8" t="n">
        <f aca="false">IF(H1453="","",1-F1453/H1453)</f>
        <v>0</v>
      </c>
    </row>
    <row r="1454" customFormat="false" ht="15" hidden="false" customHeight="false" outlineLevel="0" collapsed="false">
      <c r="A1454" s="0" t="s">
        <v>887</v>
      </c>
      <c r="B1454" s="6" t="n">
        <v>40886.50625</v>
      </c>
      <c r="C1454" s="0" t="s">
        <v>29</v>
      </c>
      <c r="D1454" s="0" t="s">
        <v>441</v>
      </c>
      <c r="E1454" s="0" t="n">
        <v>6</v>
      </c>
      <c r="F1454" s="0" t="n">
        <v>2.95</v>
      </c>
      <c r="G1454" s="7" t="str">
        <f aca="false">_xlfn.XLOOKUP(D1454,Catalog!$B$2:$B$4102,Catalog!$A$2:$A$4102,"NOT IN CATALOG")</f>
        <v>ROUND SNACK BOXES SET OF 4 FRUITS</v>
      </c>
      <c r="H1454" s="7" t="n">
        <f aca="false">_xlfn.IFNA(VLOOKUP(D1454,Catalog!$B$2:$C$4102,2,FALSE()),"")</f>
        <v>2.95</v>
      </c>
      <c r="I1454" s="7" t="str">
        <f aca="false">HLOOKUP(C1454,Regions!$B$1:$S$2,2,FALSE())</f>
        <v>EU</v>
      </c>
      <c r="J1454" s="7" t="n">
        <f aca="false">E1454*F1454</f>
        <v>17.7</v>
      </c>
      <c r="K1454" s="8" t="n">
        <f aca="false">IF(H1454="","",1-F1454/H1454)</f>
        <v>0</v>
      </c>
    </row>
    <row r="1455" customFormat="false" ht="15" hidden="false" customHeight="false" outlineLevel="0" collapsed="false">
      <c r="A1455" s="0" t="s">
        <v>887</v>
      </c>
      <c r="B1455" s="6" t="n">
        <v>40886.50625</v>
      </c>
      <c r="C1455" s="0" t="s">
        <v>29</v>
      </c>
      <c r="D1455" s="0" t="s">
        <v>357</v>
      </c>
      <c r="E1455" s="0" t="n">
        <v>10</v>
      </c>
      <c r="F1455" s="0" t="n">
        <v>2.08</v>
      </c>
      <c r="G1455" s="7" t="str">
        <f aca="false">_xlfn.XLOOKUP(D1455,Catalog!$B$2:$B$4102,Catalog!$A$2:$A$4102,"NOT IN CATALOG")</f>
        <v>NOT IN CATALOG</v>
      </c>
      <c r="H1455" s="7" t="str">
        <f aca="false">_xlfn.IFNA(VLOOKUP(D1455,Catalog!$B$2:$C$4102,2,FALSE()),"")</f>
        <v/>
      </c>
      <c r="I1455" s="7" t="str">
        <f aca="false">HLOOKUP(C1455,Regions!$B$1:$S$2,2,FALSE())</f>
        <v>EU</v>
      </c>
      <c r="J1455" s="7" t="n">
        <f aca="false">E1455*F1455</f>
        <v>20.8</v>
      </c>
      <c r="K1455" s="8" t="str">
        <f aca="false">IF(H1455="","",1-F1455/H1455)</f>
        <v/>
      </c>
    </row>
    <row r="1456" customFormat="false" ht="15" hidden="false" customHeight="false" outlineLevel="0" collapsed="false">
      <c r="A1456" s="0" t="s">
        <v>887</v>
      </c>
      <c r="B1456" s="6" t="n">
        <v>40886.50625</v>
      </c>
      <c r="C1456" s="0" t="s">
        <v>29</v>
      </c>
      <c r="D1456" s="0" t="s">
        <v>468</v>
      </c>
      <c r="E1456" s="0" t="n">
        <v>10</v>
      </c>
      <c r="F1456" s="0" t="n">
        <v>2.08</v>
      </c>
      <c r="G1456" s="7" t="str">
        <f aca="false">_xlfn.XLOOKUP(D1456,Catalog!$B$2:$B$4102,Catalog!$A$2:$A$4102,"NOT IN CATALOG")</f>
        <v>NOT IN CATALOG</v>
      </c>
      <c r="H1456" s="7" t="str">
        <f aca="false">_xlfn.IFNA(VLOOKUP(D1456,Catalog!$B$2:$C$4102,2,FALSE()),"")</f>
        <v/>
      </c>
      <c r="I1456" s="7" t="str">
        <f aca="false">HLOOKUP(C1456,Regions!$B$1:$S$2,2,FALSE())</f>
        <v>EU</v>
      </c>
      <c r="J1456" s="7" t="n">
        <f aca="false">E1456*F1456</f>
        <v>20.8</v>
      </c>
      <c r="K1456" s="8" t="str">
        <f aca="false">IF(H1456="","",1-F1456/H1456)</f>
        <v/>
      </c>
    </row>
    <row r="1457" customFormat="false" ht="15" hidden="false" customHeight="false" outlineLevel="0" collapsed="false">
      <c r="A1457" s="0" t="s">
        <v>887</v>
      </c>
      <c r="B1457" s="6" t="n">
        <v>40886.50625</v>
      </c>
      <c r="C1457" s="0" t="s">
        <v>29</v>
      </c>
      <c r="D1457" s="0" t="s">
        <v>546</v>
      </c>
      <c r="E1457" s="0" t="n">
        <v>6</v>
      </c>
      <c r="F1457" s="0" t="n">
        <v>4.15</v>
      </c>
      <c r="G1457" s="7" t="str">
        <f aca="false">_xlfn.XLOOKUP(D1457,Catalog!$B$2:$B$4102,Catalog!$A$2:$A$4102,"NOT IN CATALOG")</f>
        <v>NOT IN CATALOG</v>
      </c>
      <c r="H1457" s="7" t="str">
        <f aca="false">_xlfn.IFNA(VLOOKUP(D1457,Catalog!$B$2:$C$4102,2,FALSE()),"")</f>
        <v/>
      </c>
      <c r="I1457" s="7" t="str">
        <f aca="false">HLOOKUP(C1457,Regions!$B$1:$S$2,2,FALSE())</f>
        <v>EU</v>
      </c>
      <c r="J1457" s="7" t="n">
        <f aca="false">E1457*F1457</f>
        <v>24.9</v>
      </c>
      <c r="K1457" s="8" t="str">
        <f aca="false">IF(H1457="","",1-F1457/H1457)</f>
        <v/>
      </c>
    </row>
    <row r="1458" customFormat="false" ht="15" hidden="false" customHeight="false" outlineLevel="0" collapsed="false">
      <c r="A1458" s="0" t="s">
        <v>887</v>
      </c>
      <c r="B1458" s="6" t="n">
        <v>40886.50625</v>
      </c>
      <c r="C1458" s="0" t="s">
        <v>29</v>
      </c>
      <c r="D1458" s="0" t="s">
        <v>316</v>
      </c>
      <c r="E1458" s="0" t="n">
        <v>6</v>
      </c>
      <c r="F1458" s="0" t="n">
        <v>4.15</v>
      </c>
      <c r="G1458" s="7" t="str">
        <f aca="false">_xlfn.XLOOKUP(D1458,Catalog!$B$2:$B$4102,Catalog!$A$2:$A$4102,"NOT IN CATALOG")</f>
        <v>NOT IN CATALOG</v>
      </c>
      <c r="H1458" s="7" t="str">
        <f aca="false">_xlfn.IFNA(VLOOKUP(D1458,Catalog!$B$2:$C$4102,2,FALSE()),"")</f>
        <v/>
      </c>
      <c r="I1458" s="7" t="str">
        <f aca="false">HLOOKUP(C1458,Regions!$B$1:$S$2,2,FALSE())</f>
        <v>EU</v>
      </c>
      <c r="J1458" s="7" t="n">
        <f aca="false">E1458*F1458</f>
        <v>24.9</v>
      </c>
      <c r="K1458" s="8" t="str">
        <f aca="false">IF(H1458="","",1-F1458/H1458)</f>
        <v/>
      </c>
    </row>
    <row r="1459" customFormat="false" ht="15" hidden="false" customHeight="false" outlineLevel="0" collapsed="false">
      <c r="A1459" s="0" t="s">
        <v>887</v>
      </c>
      <c r="B1459" s="6" t="n">
        <v>40886.50625</v>
      </c>
      <c r="C1459" s="0" t="s">
        <v>29</v>
      </c>
      <c r="D1459" s="0" t="s">
        <v>53</v>
      </c>
      <c r="E1459" s="0" t="n">
        <v>2</v>
      </c>
      <c r="F1459" s="0" t="n">
        <v>7.95</v>
      </c>
      <c r="G1459" s="7" t="str">
        <f aca="false">_xlfn.XLOOKUP(D1459,Catalog!$B$2:$B$4102,Catalog!$A$2:$A$4102,"NOT IN CATALOG")</f>
        <v>VICTORIAN SEWING BOX MEDIUM</v>
      </c>
      <c r="H1459" s="7" t="n">
        <f aca="false">_xlfn.IFNA(VLOOKUP(D1459,Catalog!$B$2:$C$4102,2,FALSE()),"")</f>
        <v>7.95</v>
      </c>
      <c r="I1459" s="7" t="str">
        <f aca="false">HLOOKUP(C1459,Regions!$B$1:$S$2,2,FALSE())</f>
        <v>EU</v>
      </c>
      <c r="J1459" s="7" t="n">
        <f aca="false">E1459*F1459</f>
        <v>15.9</v>
      </c>
      <c r="K1459" s="8" t="n">
        <f aca="false">IF(H1459="","",1-F1459/H1459)</f>
        <v>0</v>
      </c>
    </row>
    <row r="1460" customFormat="false" ht="15" hidden="false" customHeight="false" outlineLevel="0" collapsed="false">
      <c r="A1460" s="0" t="s">
        <v>887</v>
      </c>
      <c r="B1460" s="6" t="n">
        <v>40886.50625</v>
      </c>
      <c r="C1460" s="0" t="s">
        <v>29</v>
      </c>
      <c r="D1460" s="0" t="s">
        <v>679</v>
      </c>
      <c r="E1460" s="0" t="n">
        <v>2</v>
      </c>
      <c r="F1460" s="0" t="n">
        <v>12.75</v>
      </c>
      <c r="G1460" s="7" t="str">
        <f aca="false">_xlfn.XLOOKUP(D1460,Catalog!$B$2:$B$4102,Catalog!$A$2:$A$4102,"NOT IN CATALOG")</f>
        <v>VICTORIAN SEWING BOX LARGE</v>
      </c>
      <c r="H1460" s="7" t="n">
        <f aca="false">_xlfn.IFNA(VLOOKUP(D1460,Catalog!$B$2:$C$4102,2,FALSE()),"")</f>
        <v>12.75</v>
      </c>
      <c r="I1460" s="7" t="str">
        <f aca="false">HLOOKUP(C1460,Regions!$B$1:$S$2,2,FALSE())</f>
        <v>EU</v>
      </c>
      <c r="J1460" s="7" t="n">
        <f aca="false">E1460*F1460</f>
        <v>25.5</v>
      </c>
      <c r="K1460" s="8" t="n">
        <f aca="false">IF(H1460="","",1-F1460/H1460)</f>
        <v>0</v>
      </c>
    </row>
    <row r="1461" customFormat="false" ht="15" hidden="false" customHeight="false" outlineLevel="0" collapsed="false">
      <c r="A1461" s="0" t="s">
        <v>887</v>
      </c>
      <c r="B1461" s="6" t="n">
        <v>40886.50625</v>
      </c>
      <c r="C1461" s="0" t="s">
        <v>29</v>
      </c>
      <c r="D1461" s="0" t="s">
        <v>43</v>
      </c>
      <c r="E1461" s="0" t="n">
        <v>2</v>
      </c>
      <c r="F1461" s="0" t="n">
        <v>12.5</v>
      </c>
      <c r="G1461" s="7" t="str">
        <f aca="false">_xlfn.XLOOKUP(D1461,Catalog!$B$2:$B$4102,Catalog!$A$2:$A$4102,"NOT IN CATALOG")</f>
        <v>NOT IN CATALOG</v>
      </c>
      <c r="H1461" s="7" t="str">
        <f aca="false">_xlfn.IFNA(VLOOKUP(D1461,Catalog!$B$2:$C$4102,2,FALSE()),"")</f>
        <v/>
      </c>
      <c r="I1461" s="7" t="str">
        <f aca="false">HLOOKUP(C1461,Regions!$B$1:$S$2,2,FALSE())</f>
        <v>EU</v>
      </c>
      <c r="J1461" s="7" t="n">
        <f aca="false">E1461*F1461</f>
        <v>25</v>
      </c>
      <c r="K1461" s="8" t="str">
        <f aca="false">IF(H1461="","",1-F1461/H1461)</f>
        <v/>
      </c>
    </row>
    <row r="1462" customFormat="false" ht="15" hidden="false" customHeight="false" outlineLevel="0" collapsed="false">
      <c r="A1462" s="0" t="s">
        <v>887</v>
      </c>
      <c r="B1462" s="6" t="n">
        <v>40886.50625</v>
      </c>
      <c r="C1462" s="0" t="s">
        <v>29</v>
      </c>
      <c r="D1462" s="0" t="s">
        <v>790</v>
      </c>
      <c r="E1462" s="0" t="n">
        <v>12</v>
      </c>
      <c r="F1462" s="0" t="n">
        <v>1.95</v>
      </c>
      <c r="G1462" s="7" t="str">
        <f aca="false">_xlfn.XLOOKUP(D1462,Catalog!$B$2:$B$4102,Catalog!$A$2:$A$4102,"NOT IN CATALOG")</f>
        <v>6 RIBBONS RUSTIC CHARM</v>
      </c>
      <c r="H1462" s="7" t="n">
        <f aca="false">_xlfn.IFNA(VLOOKUP(D1462,Catalog!$B$2:$C$4102,2,FALSE()),"")</f>
        <v>1.65</v>
      </c>
      <c r="I1462" s="7" t="str">
        <f aca="false">HLOOKUP(C1462,Regions!$B$1:$S$2,2,FALSE())</f>
        <v>EU</v>
      </c>
      <c r="J1462" s="7" t="n">
        <f aca="false">E1462*F1462</f>
        <v>23.4</v>
      </c>
      <c r="K1462" s="8" t="n">
        <f aca="false">IF(H1462="","",1-F1462/H1462)</f>
        <v>-0.181818181818182</v>
      </c>
    </row>
    <row r="1463" customFormat="false" ht="15" hidden="false" customHeight="false" outlineLevel="0" collapsed="false">
      <c r="A1463" s="0" t="s">
        <v>887</v>
      </c>
      <c r="B1463" s="6" t="n">
        <v>40886.50625</v>
      </c>
      <c r="C1463" s="0" t="s">
        <v>29</v>
      </c>
      <c r="D1463" s="0" t="s">
        <v>805</v>
      </c>
      <c r="E1463" s="0" t="n">
        <v>12</v>
      </c>
      <c r="F1463" s="0" t="n">
        <v>0.39</v>
      </c>
      <c r="G1463" s="7" t="str">
        <f aca="false">_xlfn.XLOOKUP(D1463,Catalog!$B$2:$B$4102,Catalog!$A$2:$A$4102,"NOT IN CATALOG")</f>
        <v>6 RIBBONS SHIMMERING PINKS</v>
      </c>
      <c r="H1463" s="7" t="n">
        <f aca="false">_xlfn.IFNA(VLOOKUP(D1463,Catalog!$B$2:$C$4102,2,FALSE()),"")</f>
        <v>1.65</v>
      </c>
      <c r="I1463" s="7" t="str">
        <f aca="false">HLOOKUP(C1463,Regions!$B$1:$S$2,2,FALSE())</f>
        <v>EU</v>
      </c>
      <c r="J1463" s="7" t="n">
        <f aca="false">E1463*F1463</f>
        <v>4.68</v>
      </c>
      <c r="K1463" s="8" t="n">
        <f aca="false">IF(H1463="","",1-F1463/H1463)</f>
        <v>0.763636363636364</v>
      </c>
    </row>
    <row r="1464" customFormat="false" ht="15" hidden="false" customHeight="false" outlineLevel="0" collapsed="false">
      <c r="A1464" s="0" t="s">
        <v>887</v>
      </c>
      <c r="B1464" s="6" t="n">
        <v>40886.50625</v>
      </c>
      <c r="C1464" s="0" t="s">
        <v>29</v>
      </c>
      <c r="D1464" s="0" t="s">
        <v>713</v>
      </c>
      <c r="E1464" s="0" t="n">
        <v>12</v>
      </c>
      <c r="F1464" s="0" t="n">
        <v>1.65</v>
      </c>
      <c r="G1464" s="7" t="str">
        <f aca="false">_xlfn.XLOOKUP(D1464,Catalog!$B$2:$B$4102,Catalog!$A$2:$A$4102,"NOT IN CATALOG")</f>
        <v>TRADITIONAL KNITTING NANCY</v>
      </c>
      <c r="H1464" s="7" t="n">
        <f aca="false">_xlfn.IFNA(VLOOKUP(D1464,Catalog!$B$2:$C$4102,2,FALSE()),"")</f>
        <v>1.45</v>
      </c>
      <c r="I1464" s="7" t="str">
        <f aca="false">HLOOKUP(C1464,Regions!$B$1:$S$2,2,FALSE())</f>
        <v>EU</v>
      </c>
      <c r="J1464" s="7" t="n">
        <f aca="false">E1464*F1464</f>
        <v>19.8</v>
      </c>
      <c r="K1464" s="8" t="n">
        <f aca="false">IF(H1464="","",1-F1464/H1464)</f>
        <v>-0.137931034482759</v>
      </c>
    </row>
    <row r="1465" customFormat="false" ht="15" hidden="false" customHeight="false" outlineLevel="0" collapsed="false">
      <c r="A1465" s="0" t="s">
        <v>887</v>
      </c>
      <c r="B1465" s="6" t="n">
        <v>40886.50625</v>
      </c>
      <c r="C1465" s="0" t="s">
        <v>29</v>
      </c>
      <c r="D1465" s="0" t="s">
        <v>39</v>
      </c>
      <c r="E1465" s="0" t="n">
        <v>2</v>
      </c>
      <c r="F1465" s="0" t="n">
        <v>18</v>
      </c>
      <c r="G1465" s="7" t="str">
        <f aca="false">_xlfn.XLOOKUP(D1465,Catalog!$B$2:$B$4102,Catalog!$A$2:$A$4102,"NOT IN CATALOG")</f>
        <v>POSTAGE</v>
      </c>
      <c r="H1465" s="7" t="n">
        <f aca="false">_xlfn.IFNA(VLOOKUP(D1465,Catalog!$B$2:$C$4102,2,FALSE()),"")</f>
        <v>18</v>
      </c>
      <c r="I1465" s="7" t="str">
        <f aca="false">HLOOKUP(C1465,Regions!$B$1:$S$2,2,FALSE())</f>
        <v>EU</v>
      </c>
      <c r="J1465" s="7" t="n">
        <f aca="false">E1465*F1465</f>
        <v>36</v>
      </c>
      <c r="K1465" s="8" t="n">
        <f aca="false">IF(H1465="","",1-F1465/H1465)</f>
        <v>0</v>
      </c>
    </row>
    <row r="1466" customFormat="false" ht="15" hidden="false" customHeight="false" outlineLevel="0" collapsed="false">
      <c r="A1466" s="0" t="s">
        <v>888</v>
      </c>
      <c r="B1466" s="6" t="n">
        <v>40886.5111111111</v>
      </c>
      <c r="C1466" s="0" t="s">
        <v>29</v>
      </c>
      <c r="D1466" s="0" t="s">
        <v>39</v>
      </c>
      <c r="E1466" s="0" t="n">
        <v>3</v>
      </c>
      <c r="F1466" s="0" t="n">
        <v>18</v>
      </c>
      <c r="G1466" s="7" t="str">
        <f aca="false">_xlfn.XLOOKUP(D1466,Catalog!$B$2:$B$4102,Catalog!$A$2:$A$4102,"NOT IN CATALOG")</f>
        <v>POSTAGE</v>
      </c>
      <c r="H1466" s="7" t="n">
        <f aca="false">_xlfn.IFNA(VLOOKUP(D1466,Catalog!$B$2:$C$4102,2,FALSE()),"")</f>
        <v>18</v>
      </c>
      <c r="I1466" s="7" t="str">
        <f aca="false">HLOOKUP(C1466,Regions!$B$1:$S$2,2,FALSE())</f>
        <v>EU</v>
      </c>
      <c r="J1466" s="7" t="n">
        <f aca="false">E1466*F1466</f>
        <v>54</v>
      </c>
      <c r="K1466" s="8" t="n">
        <f aca="false">IF(H1466="","",1-F1466/H1466)</f>
        <v>0</v>
      </c>
    </row>
    <row r="1467" customFormat="false" ht="15" hidden="false" customHeight="false" outlineLevel="0" collapsed="false">
      <c r="A1467" s="0" t="s">
        <v>888</v>
      </c>
      <c r="B1467" s="6" t="n">
        <v>40886.5111111111</v>
      </c>
      <c r="C1467" s="0" t="s">
        <v>29</v>
      </c>
      <c r="D1467" s="0" t="s">
        <v>889</v>
      </c>
      <c r="E1467" s="0" t="n">
        <v>24</v>
      </c>
      <c r="F1467" s="0" t="n">
        <v>1.25</v>
      </c>
      <c r="G1467" s="7" t="str">
        <f aca="false">_xlfn.XLOOKUP(D1467,Catalog!$B$2:$B$4102,Catalog!$A$2:$A$4102,"NOT IN CATALOG")</f>
        <v>SET/10 BLUE SPOTTY PARTY CANDLES</v>
      </c>
      <c r="H1467" s="7" t="n">
        <f aca="false">_xlfn.IFNA(VLOOKUP(D1467,Catalog!$B$2:$C$4102,2,FALSE()),"")</f>
        <v>1.25</v>
      </c>
      <c r="I1467" s="7" t="str">
        <f aca="false">HLOOKUP(C1467,Regions!$B$1:$S$2,2,FALSE())</f>
        <v>EU</v>
      </c>
      <c r="J1467" s="7" t="n">
        <f aca="false">E1467*F1467</f>
        <v>30</v>
      </c>
      <c r="K1467" s="8" t="n">
        <f aca="false">IF(H1467="","",1-F1467/H1467)</f>
        <v>0</v>
      </c>
    </row>
    <row r="1468" customFormat="false" ht="15" hidden="false" customHeight="false" outlineLevel="0" collapsed="false">
      <c r="A1468" s="0" t="s">
        <v>888</v>
      </c>
      <c r="B1468" s="6" t="n">
        <v>40886.5111111111</v>
      </c>
      <c r="C1468" s="0" t="s">
        <v>29</v>
      </c>
      <c r="D1468" s="0" t="s">
        <v>890</v>
      </c>
      <c r="E1468" s="0" t="n">
        <v>24</v>
      </c>
      <c r="F1468" s="0" t="n">
        <v>1.25</v>
      </c>
      <c r="G1468" s="7" t="str">
        <f aca="false">_xlfn.XLOOKUP(D1468,Catalog!$B$2:$B$4102,Catalog!$A$2:$A$4102,"NOT IN CATALOG")</f>
        <v>SET/10 PINK SPOTTY PARTY CANDLES</v>
      </c>
      <c r="H1468" s="7" t="n">
        <f aca="false">_xlfn.IFNA(VLOOKUP(D1468,Catalog!$B$2:$C$4102,2,FALSE()),"")</f>
        <v>1.25</v>
      </c>
      <c r="I1468" s="7" t="str">
        <f aca="false">HLOOKUP(C1468,Regions!$B$1:$S$2,2,FALSE())</f>
        <v>EU</v>
      </c>
      <c r="J1468" s="7" t="n">
        <f aca="false">E1468*F1468</f>
        <v>30</v>
      </c>
      <c r="K1468" s="8" t="n">
        <f aca="false">IF(H1468="","",1-F1468/H1468)</f>
        <v>0</v>
      </c>
    </row>
    <row r="1469" customFormat="false" ht="15" hidden="false" customHeight="false" outlineLevel="0" collapsed="false">
      <c r="A1469" s="0" t="s">
        <v>888</v>
      </c>
      <c r="B1469" s="6" t="n">
        <v>40886.5111111111</v>
      </c>
      <c r="C1469" s="0" t="s">
        <v>29</v>
      </c>
      <c r="D1469" s="0" t="s">
        <v>532</v>
      </c>
      <c r="E1469" s="0" t="n">
        <v>24</v>
      </c>
      <c r="F1469" s="0" t="n">
        <v>1.25</v>
      </c>
      <c r="G1469" s="7" t="str">
        <f aca="false">_xlfn.XLOOKUP(D1469,Catalog!$B$2:$B$4102,Catalog!$A$2:$A$4102,"NOT IN CATALOG")</f>
        <v>SET/10 RED SPOTTY PARTY CANDLES</v>
      </c>
      <c r="H1469" s="7" t="n">
        <f aca="false">_xlfn.IFNA(VLOOKUP(D1469,Catalog!$B$2:$C$4102,2,FALSE()),"")</f>
        <v>1.25</v>
      </c>
      <c r="I1469" s="7" t="str">
        <f aca="false">HLOOKUP(C1469,Regions!$B$1:$S$2,2,FALSE())</f>
        <v>EU</v>
      </c>
      <c r="J1469" s="7" t="n">
        <f aca="false">E1469*F1469</f>
        <v>30</v>
      </c>
      <c r="K1469" s="8" t="n">
        <f aca="false">IF(H1469="","",1-F1469/H1469)</f>
        <v>0</v>
      </c>
    </row>
    <row r="1470" customFormat="false" ht="15" hidden="false" customHeight="false" outlineLevel="0" collapsed="false">
      <c r="A1470" s="0" t="s">
        <v>888</v>
      </c>
      <c r="B1470" s="6" t="n">
        <v>40886.5111111111</v>
      </c>
      <c r="C1470" s="0" t="s">
        <v>29</v>
      </c>
      <c r="D1470" s="0" t="s">
        <v>309</v>
      </c>
      <c r="E1470" s="0" t="n">
        <v>4</v>
      </c>
      <c r="F1470" s="0" t="n">
        <v>4.15</v>
      </c>
      <c r="G1470" s="7" t="str">
        <f aca="false">_xlfn.XLOOKUP(D1470,Catalog!$B$2:$B$4102,Catalog!$A$2:$A$4102,"NOT IN CATALOG")</f>
        <v>NOT IN CATALOG</v>
      </c>
      <c r="H1470" s="7" t="str">
        <f aca="false">_xlfn.IFNA(VLOOKUP(D1470,Catalog!$B$2:$C$4102,2,FALSE()),"")</f>
        <v/>
      </c>
      <c r="I1470" s="7" t="str">
        <f aca="false">HLOOKUP(C1470,Regions!$B$1:$S$2,2,FALSE())</f>
        <v>EU</v>
      </c>
      <c r="J1470" s="7" t="n">
        <f aca="false">E1470*F1470</f>
        <v>16.6</v>
      </c>
      <c r="K1470" s="8" t="str">
        <f aca="false">IF(H1470="","",1-F1470/H1470)</f>
        <v/>
      </c>
    </row>
    <row r="1471" customFormat="false" ht="15" hidden="false" customHeight="false" outlineLevel="0" collapsed="false">
      <c r="A1471" s="0" t="s">
        <v>888</v>
      </c>
      <c r="B1471" s="6" t="n">
        <v>40886.5111111111</v>
      </c>
      <c r="C1471" s="0" t="s">
        <v>29</v>
      </c>
      <c r="D1471" s="0" t="s">
        <v>151</v>
      </c>
      <c r="E1471" s="0" t="n">
        <v>12</v>
      </c>
      <c r="F1471" s="0" t="n">
        <v>1.65</v>
      </c>
      <c r="G1471" s="7" t="str">
        <f aca="false">_xlfn.XLOOKUP(D1471,Catalog!$B$2:$B$4102,Catalog!$A$2:$A$4102,"NOT IN CATALOG")</f>
        <v>PLASTERS IN TIN CIRCUS PARADE</v>
      </c>
      <c r="H1471" s="7" t="n">
        <f aca="false">_xlfn.IFNA(VLOOKUP(D1471,Catalog!$B$2:$C$4102,2,FALSE()),"")</f>
        <v>1.65</v>
      </c>
      <c r="I1471" s="7" t="str">
        <f aca="false">HLOOKUP(C1471,Regions!$B$1:$S$2,2,FALSE())</f>
        <v>EU</v>
      </c>
      <c r="J1471" s="7" t="n">
        <f aca="false">E1471*F1471</f>
        <v>19.8</v>
      </c>
      <c r="K1471" s="8" t="n">
        <f aca="false">IF(H1471="","",1-F1471/H1471)</f>
        <v>0</v>
      </c>
    </row>
    <row r="1472" customFormat="false" ht="15" hidden="false" customHeight="false" outlineLevel="0" collapsed="false">
      <c r="A1472" s="0" t="s">
        <v>888</v>
      </c>
      <c r="B1472" s="6" t="n">
        <v>40886.5111111111</v>
      </c>
      <c r="C1472" s="0" t="s">
        <v>29</v>
      </c>
      <c r="D1472" s="0" t="s">
        <v>891</v>
      </c>
      <c r="E1472" s="0" t="n">
        <v>12</v>
      </c>
      <c r="F1472" s="0" t="n">
        <v>1.25</v>
      </c>
      <c r="G1472" s="7" t="str">
        <f aca="false">_xlfn.XLOOKUP(D1472,Catalog!$B$2:$B$4102,Catalog!$A$2:$A$4102,"NOT IN CATALOG")</f>
        <v>CIRCUS PARADE CHILDRENS EGG CUP</v>
      </c>
      <c r="H1472" s="7" t="n">
        <f aca="false">_xlfn.IFNA(VLOOKUP(D1472,Catalog!$B$2:$C$4102,2,FALSE()),"")</f>
        <v>1.25</v>
      </c>
      <c r="I1472" s="7" t="str">
        <f aca="false">HLOOKUP(C1472,Regions!$B$1:$S$2,2,FALSE())</f>
        <v>EU</v>
      </c>
      <c r="J1472" s="7" t="n">
        <f aca="false">E1472*F1472</f>
        <v>15</v>
      </c>
      <c r="K1472" s="8" t="n">
        <f aca="false">IF(H1472="","",1-F1472/H1472)</f>
        <v>0</v>
      </c>
    </row>
    <row r="1473" customFormat="false" ht="15" hidden="false" customHeight="false" outlineLevel="0" collapsed="false">
      <c r="A1473" s="0" t="s">
        <v>888</v>
      </c>
      <c r="B1473" s="6" t="n">
        <v>40886.5111111111</v>
      </c>
      <c r="C1473" s="0" t="s">
        <v>29</v>
      </c>
      <c r="D1473" s="0" t="s">
        <v>522</v>
      </c>
      <c r="E1473" s="0" t="n">
        <v>12</v>
      </c>
      <c r="F1473" s="0" t="n">
        <v>4.15</v>
      </c>
      <c r="G1473" s="7" t="str">
        <f aca="false">_xlfn.XLOOKUP(D1473,Catalog!$B$2:$B$4102,Catalog!$A$2:$A$4102,"NOT IN CATALOG")</f>
        <v>NOT IN CATALOG</v>
      </c>
      <c r="H1473" s="7" t="str">
        <f aca="false">_xlfn.IFNA(VLOOKUP(D1473,Catalog!$B$2:$C$4102,2,FALSE()),"")</f>
        <v/>
      </c>
      <c r="I1473" s="7" t="str">
        <f aca="false">HLOOKUP(C1473,Regions!$B$1:$S$2,2,FALSE())</f>
        <v>EU</v>
      </c>
      <c r="J1473" s="7" t="n">
        <f aca="false">E1473*F1473</f>
        <v>49.8</v>
      </c>
      <c r="K1473" s="8" t="str">
        <f aca="false">IF(H1473="","",1-F1473/H1473)</f>
        <v/>
      </c>
    </row>
    <row r="1474" customFormat="false" ht="15" hidden="false" customHeight="false" outlineLevel="0" collapsed="false">
      <c r="A1474" s="0" t="s">
        <v>888</v>
      </c>
      <c r="B1474" s="6" t="n">
        <v>40886.5111111111</v>
      </c>
      <c r="C1474" s="0" t="s">
        <v>29</v>
      </c>
      <c r="D1474" s="0" t="s">
        <v>94</v>
      </c>
      <c r="E1474" s="0" t="n">
        <v>8</v>
      </c>
      <c r="F1474" s="0" t="n">
        <v>4.15</v>
      </c>
      <c r="G1474" s="7" t="str">
        <f aca="false">_xlfn.XLOOKUP(D1474,Catalog!$B$2:$B$4102,Catalog!$A$2:$A$4102,"NOT IN CATALOG")</f>
        <v>PINK 3 PIECE MINI DOTS CUTLERY SET</v>
      </c>
      <c r="H1474" s="7" t="n">
        <f aca="false">_xlfn.IFNA(VLOOKUP(D1474,Catalog!$B$2:$C$4102,2,FALSE()),"")</f>
        <v>3.75</v>
      </c>
      <c r="I1474" s="7" t="str">
        <f aca="false">HLOOKUP(C1474,Regions!$B$1:$S$2,2,FALSE())</f>
        <v>EU</v>
      </c>
      <c r="J1474" s="7" t="n">
        <f aca="false">E1474*F1474</f>
        <v>33.2</v>
      </c>
      <c r="K1474" s="8" t="n">
        <f aca="false">IF(H1474="","",1-F1474/H1474)</f>
        <v>-0.106666666666667</v>
      </c>
    </row>
    <row r="1475" customFormat="false" ht="15" hidden="false" customHeight="false" outlineLevel="0" collapsed="false">
      <c r="A1475" s="0" t="s">
        <v>888</v>
      </c>
      <c r="B1475" s="6" t="n">
        <v>40886.5111111111</v>
      </c>
      <c r="C1475" s="0" t="s">
        <v>29</v>
      </c>
      <c r="D1475" s="0" t="s">
        <v>388</v>
      </c>
      <c r="E1475" s="0" t="n">
        <v>8</v>
      </c>
      <c r="F1475" s="0" t="n">
        <v>4.15</v>
      </c>
      <c r="G1475" s="7" t="str">
        <f aca="false">_xlfn.XLOOKUP(D1475,Catalog!$B$2:$B$4102,Catalog!$A$2:$A$4102,"NOT IN CATALOG")</f>
        <v>RED 3 PIECE MINI DOTS CUTLERY SET</v>
      </c>
      <c r="H1475" s="7" t="n">
        <f aca="false">_xlfn.IFNA(VLOOKUP(D1475,Catalog!$B$2:$C$4102,2,FALSE()),"")</f>
        <v>3.75</v>
      </c>
      <c r="I1475" s="7" t="str">
        <f aca="false">HLOOKUP(C1475,Regions!$B$1:$S$2,2,FALSE())</f>
        <v>EU</v>
      </c>
      <c r="J1475" s="7" t="n">
        <f aca="false">E1475*F1475</f>
        <v>33.2</v>
      </c>
      <c r="K1475" s="8" t="n">
        <f aca="false">IF(H1475="","",1-F1475/H1475)</f>
        <v>-0.106666666666667</v>
      </c>
    </row>
    <row r="1476" customFormat="false" ht="15" hidden="false" customHeight="false" outlineLevel="0" collapsed="false">
      <c r="A1476" s="0" t="s">
        <v>888</v>
      </c>
      <c r="B1476" s="6" t="n">
        <v>40886.5111111111</v>
      </c>
      <c r="C1476" s="0" t="s">
        <v>29</v>
      </c>
      <c r="D1476" s="0" t="s">
        <v>93</v>
      </c>
      <c r="E1476" s="0" t="n">
        <v>8</v>
      </c>
      <c r="F1476" s="0" t="n">
        <v>4.15</v>
      </c>
      <c r="G1476" s="7" t="str">
        <f aca="false">_xlfn.XLOOKUP(D1476,Catalog!$B$2:$B$4102,Catalog!$A$2:$A$4102,"NOT IN CATALOG")</f>
        <v>BLUE 3 PIECE MINI DOTS CUTLERY SET</v>
      </c>
      <c r="H1476" s="7" t="n">
        <f aca="false">_xlfn.IFNA(VLOOKUP(D1476,Catalog!$B$2:$C$4102,2,FALSE()),"")</f>
        <v>3.75</v>
      </c>
      <c r="I1476" s="7" t="str">
        <f aca="false">HLOOKUP(C1476,Regions!$B$1:$S$2,2,FALSE())</f>
        <v>EU</v>
      </c>
      <c r="J1476" s="7" t="n">
        <f aca="false">E1476*F1476</f>
        <v>33.2</v>
      </c>
      <c r="K1476" s="8" t="n">
        <f aca="false">IF(H1476="","",1-F1476/H1476)</f>
        <v>-0.106666666666667</v>
      </c>
    </row>
    <row r="1477" customFormat="false" ht="15" hidden="false" customHeight="false" outlineLevel="0" collapsed="false">
      <c r="A1477" s="0" t="s">
        <v>888</v>
      </c>
      <c r="B1477" s="6" t="n">
        <v>40886.5111111111</v>
      </c>
      <c r="C1477" s="0" t="s">
        <v>29</v>
      </c>
      <c r="D1477" s="0" t="s">
        <v>244</v>
      </c>
      <c r="E1477" s="0" t="n">
        <v>12</v>
      </c>
      <c r="F1477" s="0" t="n">
        <v>1.65</v>
      </c>
      <c r="G1477" s="7" t="str">
        <f aca="false">_xlfn.XLOOKUP(D1477,Catalog!$B$2:$B$4102,Catalog!$A$2:$A$4102,"NOT IN CATALOG")</f>
        <v>PLASTERS IN TIN STRONGMAN</v>
      </c>
      <c r="H1477" s="7" t="n">
        <f aca="false">_xlfn.IFNA(VLOOKUP(D1477,Catalog!$B$2:$C$4102,2,FALSE()),"")</f>
        <v>1.65</v>
      </c>
      <c r="I1477" s="7" t="str">
        <f aca="false">HLOOKUP(C1477,Regions!$B$1:$S$2,2,FALSE())</f>
        <v>EU</v>
      </c>
      <c r="J1477" s="7" t="n">
        <f aca="false">E1477*F1477</f>
        <v>19.8</v>
      </c>
      <c r="K1477" s="8" t="n">
        <f aca="false">IF(H1477="","",1-F1477/H1477)</f>
        <v>0</v>
      </c>
    </row>
    <row r="1478" customFormat="false" ht="15" hidden="false" customHeight="false" outlineLevel="0" collapsed="false">
      <c r="A1478" s="0" t="s">
        <v>888</v>
      </c>
      <c r="B1478" s="6" t="n">
        <v>40886.5111111111</v>
      </c>
      <c r="C1478" s="0" t="s">
        <v>29</v>
      </c>
      <c r="D1478" s="0" t="s">
        <v>144</v>
      </c>
      <c r="E1478" s="0" t="n">
        <v>12</v>
      </c>
      <c r="F1478" s="0" t="n">
        <v>1.25</v>
      </c>
      <c r="G1478" s="7" t="str">
        <f aca="false">_xlfn.XLOOKUP(D1478,Catalog!$B$2:$B$4102,Catalog!$A$2:$A$4102,"NOT IN CATALOG")</f>
        <v>BLUE HARMONICA IN BOX</v>
      </c>
      <c r="H1478" s="7" t="n">
        <f aca="false">_xlfn.IFNA(VLOOKUP(D1478,Catalog!$B$2:$C$4102,2,FALSE()),"")</f>
        <v>1.25</v>
      </c>
      <c r="I1478" s="7" t="str">
        <f aca="false">HLOOKUP(C1478,Regions!$B$1:$S$2,2,FALSE())</f>
        <v>EU</v>
      </c>
      <c r="J1478" s="7" t="n">
        <f aca="false">E1478*F1478</f>
        <v>15</v>
      </c>
      <c r="K1478" s="8" t="n">
        <f aca="false">IF(H1478="","",1-F1478/H1478)</f>
        <v>0</v>
      </c>
    </row>
    <row r="1479" customFormat="false" ht="15" hidden="false" customHeight="false" outlineLevel="0" collapsed="false">
      <c r="A1479" s="0" t="s">
        <v>888</v>
      </c>
      <c r="B1479" s="6" t="n">
        <v>40886.5111111111</v>
      </c>
      <c r="C1479" s="0" t="s">
        <v>29</v>
      </c>
      <c r="D1479" s="0" t="s">
        <v>292</v>
      </c>
      <c r="E1479" s="0" t="n">
        <v>24</v>
      </c>
      <c r="F1479" s="0" t="n">
        <v>1.45</v>
      </c>
      <c r="G1479" s="7" t="str">
        <f aca="false">_xlfn.XLOOKUP(D1479,Catalog!$B$2:$B$4102,Catalog!$A$2:$A$4102,"NOT IN CATALOG")</f>
        <v>PICTURE DOMINOES</v>
      </c>
      <c r="H1479" s="7" t="n">
        <f aca="false">_xlfn.IFNA(VLOOKUP(D1479,Catalog!$B$2:$C$4102,2,FALSE()),"")</f>
        <v>1.45</v>
      </c>
      <c r="I1479" s="7" t="str">
        <f aca="false">HLOOKUP(C1479,Regions!$B$1:$S$2,2,FALSE())</f>
        <v>EU</v>
      </c>
      <c r="J1479" s="7" t="n">
        <f aca="false">E1479*F1479</f>
        <v>34.8</v>
      </c>
      <c r="K1479" s="8" t="n">
        <f aca="false">IF(H1479="","",1-F1479/H1479)</f>
        <v>0</v>
      </c>
    </row>
    <row r="1480" customFormat="false" ht="15" hidden="false" customHeight="false" outlineLevel="0" collapsed="false">
      <c r="A1480" s="0" t="s">
        <v>888</v>
      </c>
      <c r="B1480" s="6" t="n">
        <v>40886.5111111111</v>
      </c>
      <c r="C1480" s="0" t="s">
        <v>29</v>
      </c>
      <c r="D1480" s="0" t="s">
        <v>892</v>
      </c>
      <c r="E1480" s="0" t="n">
        <v>24</v>
      </c>
      <c r="F1480" s="0" t="n">
        <v>0.42</v>
      </c>
      <c r="G1480" s="7" t="str">
        <f aca="false">_xlfn.XLOOKUP(D1480,Catalog!$B$2:$B$4102,Catalog!$A$2:$A$4102,"NOT IN CATALOG")</f>
        <v>SET 12 KIDS COLOUR CHALK STICKS</v>
      </c>
      <c r="H1480" s="7" t="n">
        <f aca="false">_xlfn.IFNA(VLOOKUP(D1480,Catalog!$B$2:$C$4102,2,FALSE()),"")</f>
        <v>0.42</v>
      </c>
      <c r="I1480" s="7" t="str">
        <f aca="false">HLOOKUP(C1480,Regions!$B$1:$S$2,2,FALSE())</f>
        <v>EU</v>
      </c>
      <c r="J1480" s="7" t="n">
        <f aca="false">E1480*F1480</f>
        <v>10.08</v>
      </c>
      <c r="K1480" s="8" t="n">
        <f aca="false">IF(H1480="","",1-F1480/H1480)</f>
        <v>0</v>
      </c>
    </row>
    <row r="1481" customFormat="false" ht="15" hidden="false" customHeight="false" outlineLevel="0" collapsed="false">
      <c r="A1481" s="0" t="s">
        <v>888</v>
      </c>
      <c r="B1481" s="6" t="n">
        <v>40886.5111111111</v>
      </c>
      <c r="C1481" s="0" t="s">
        <v>29</v>
      </c>
      <c r="D1481" s="0" t="s">
        <v>793</v>
      </c>
      <c r="E1481" s="0" t="n">
        <v>12</v>
      </c>
      <c r="F1481" s="0" t="n">
        <v>1.95</v>
      </c>
      <c r="G1481" s="7" t="str">
        <f aca="false">_xlfn.XLOOKUP(D1481,Catalog!$B$2:$B$4102,Catalog!$A$2:$A$4102,"NOT IN CATALOG")</f>
        <v>NOT IN CATALOG</v>
      </c>
      <c r="H1481" s="7" t="str">
        <f aca="false">_xlfn.IFNA(VLOOKUP(D1481,Catalog!$B$2:$C$4102,2,FALSE()),"")</f>
        <v/>
      </c>
      <c r="I1481" s="7" t="str">
        <f aca="false">HLOOKUP(C1481,Regions!$B$1:$S$2,2,FALSE())</f>
        <v>EU</v>
      </c>
      <c r="J1481" s="7" t="n">
        <f aca="false">E1481*F1481</f>
        <v>23.4</v>
      </c>
      <c r="K1481" s="8" t="str">
        <f aca="false">IF(H1481="","",1-F1481/H1481)</f>
        <v/>
      </c>
    </row>
    <row r="1482" customFormat="false" ht="15" hidden="false" customHeight="false" outlineLevel="0" collapsed="false">
      <c r="A1482" s="0" t="s">
        <v>888</v>
      </c>
      <c r="B1482" s="6" t="n">
        <v>40886.5111111111</v>
      </c>
      <c r="C1482" s="0" t="s">
        <v>29</v>
      </c>
      <c r="D1482" s="0" t="s">
        <v>893</v>
      </c>
      <c r="E1482" s="0" t="n">
        <v>12</v>
      </c>
      <c r="F1482" s="0" t="n">
        <v>1.95</v>
      </c>
      <c r="G1482" s="7" t="str">
        <f aca="false">_xlfn.XLOOKUP(D1482,Catalog!$B$2:$B$4102,Catalog!$A$2:$A$4102,"NOT IN CATALOG")</f>
        <v>NOT IN CATALOG</v>
      </c>
      <c r="H1482" s="7" t="str">
        <f aca="false">_xlfn.IFNA(VLOOKUP(D1482,Catalog!$B$2:$C$4102,2,FALSE()),"")</f>
        <v/>
      </c>
      <c r="I1482" s="7" t="str">
        <f aca="false">HLOOKUP(C1482,Regions!$B$1:$S$2,2,FALSE())</f>
        <v>EU</v>
      </c>
      <c r="J1482" s="7" t="n">
        <f aca="false">E1482*F1482</f>
        <v>23.4</v>
      </c>
      <c r="K1482" s="8" t="str">
        <f aca="false">IF(H1482="","",1-F1482/H1482)</f>
        <v/>
      </c>
    </row>
    <row r="1483" customFormat="false" ht="15" hidden="false" customHeight="false" outlineLevel="0" collapsed="false">
      <c r="A1483" s="0" t="s">
        <v>888</v>
      </c>
      <c r="B1483" s="6" t="n">
        <v>40886.5111111111</v>
      </c>
      <c r="C1483" s="0" t="s">
        <v>29</v>
      </c>
      <c r="D1483" s="0" t="s">
        <v>699</v>
      </c>
      <c r="E1483" s="0" t="n">
        <v>6</v>
      </c>
      <c r="F1483" s="0" t="n">
        <v>3.75</v>
      </c>
      <c r="G1483" s="7" t="str">
        <f aca="false">_xlfn.XLOOKUP(D1483,Catalog!$B$2:$B$4102,Catalog!$A$2:$A$4102,"NOT IN CATALOG")</f>
        <v>NOT IN CATALOG</v>
      </c>
      <c r="H1483" s="7" t="str">
        <f aca="false">_xlfn.IFNA(VLOOKUP(D1483,Catalog!$B$2:$C$4102,2,FALSE()),"")</f>
        <v/>
      </c>
      <c r="I1483" s="7" t="str">
        <f aca="false">HLOOKUP(C1483,Regions!$B$1:$S$2,2,FALSE())</f>
        <v>EU</v>
      </c>
      <c r="J1483" s="7" t="n">
        <f aca="false">E1483*F1483</f>
        <v>22.5</v>
      </c>
      <c r="K1483" s="8" t="str">
        <f aca="false">IF(H1483="","",1-F1483/H1483)</f>
        <v/>
      </c>
    </row>
    <row r="1484" customFormat="false" ht="15" hidden="false" customHeight="false" outlineLevel="0" collapsed="false">
      <c r="A1484" s="0" t="s">
        <v>888</v>
      </c>
      <c r="B1484" s="6" t="n">
        <v>40886.5111111111</v>
      </c>
      <c r="C1484" s="0" t="s">
        <v>29</v>
      </c>
      <c r="D1484" s="0" t="s">
        <v>894</v>
      </c>
      <c r="E1484" s="0" t="n">
        <v>6</v>
      </c>
      <c r="F1484" s="0" t="n">
        <v>11.95</v>
      </c>
      <c r="G1484" s="7" t="str">
        <f aca="false">_xlfn.XLOOKUP(D1484,Catalog!$B$2:$B$4102,Catalog!$A$2:$A$4102,"NOT IN CATALOG")</f>
        <v>BOX OF VINTAGE ALPHABET BLOCKS</v>
      </c>
      <c r="H1484" s="7" t="n">
        <f aca="false">_xlfn.IFNA(VLOOKUP(D1484,Catalog!$B$2:$C$4102,2,FALSE()),"")</f>
        <v>9.95</v>
      </c>
      <c r="I1484" s="7" t="str">
        <f aca="false">HLOOKUP(C1484,Regions!$B$1:$S$2,2,FALSE())</f>
        <v>EU</v>
      </c>
      <c r="J1484" s="7" t="n">
        <f aca="false">E1484*F1484</f>
        <v>71.7</v>
      </c>
      <c r="K1484" s="8" t="n">
        <f aca="false">IF(H1484="","",1-F1484/H1484)</f>
        <v>-0.201005025125628</v>
      </c>
    </row>
    <row r="1485" customFormat="false" ht="15" hidden="false" customHeight="false" outlineLevel="0" collapsed="false">
      <c r="A1485" s="0" t="s">
        <v>888</v>
      </c>
      <c r="B1485" s="6" t="n">
        <v>40886.5111111111</v>
      </c>
      <c r="C1485" s="0" t="s">
        <v>29</v>
      </c>
      <c r="D1485" s="0" t="s">
        <v>880</v>
      </c>
      <c r="E1485" s="0" t="n">
        <v>12</v>
      </c>
      <c r="F1485" s="0" t="n">
        <v>0.42</v>
      </c>
      <c r="G1485" s="7" t="str">
        <f aca="false">_xlfn.XLOOKUP(D1485,Catalog!$B$2:$B$4102,Catalog!$A$2:$A$4102,"NOT IN CATALOG")</f>
        <v>FANCY FONT BIRTHDAY CARD,</v>
      </c>
      <c r="H1485" s="7" t="n">
        <f aca="false">_xlfn.IFNA(VLOOKUP(D1485,Catalog!$B$2:$C$4102,2,FALSE()),"")</f>
        <v>0.42</v>
      </c>
      <c r="I1485" s="7" t="str">
        <f aca="false">HLOOKUP(C1485,Regions!$B$1:$S$2,2,FALSE())</f>
        <v>EU</v>
      </c>
      <c r="J1485" s="7" t="n">
        <f aca="false">E1485*F1485</f>
        <v>5.04</v>
      </c>
      <c r="K1485" s="8" t="n">
        <f aca="false">IF(H1485="","",1-F1485/H1485)</f>
        <v>0</v>
      </c>
    </row>
    <row r="1486" customFormat="false" ht="15" hidden="false" customHeight="false" outlineLevel="0" collapsed="false">
      <c r="A1486" s="0" t="s">
        <v>888</v>
      </c>
      <c r="B1486" s="6" t="n">
        <v>40886.5111111111</v>
      </c>
      <c r="C1486" s="0" t="s">
        <v>29</v>
      </c>
      <c r="D1486" s="0" t="s">
        <v>233</v>
      </c>
      <c r="E1486" s="0" t="n">
        <v>12</v>
      </c>
      <c r="F1486" s="0" t="n">
        <v>0.42</v>
      </c>
      <c r="G1486" s="7" t="str">
        <f aca="false">_xlfn.XLOOKUP(D1486,Catalog!$B$2:$B$4102,Catalog!$A$2:$A$4102,"NOT IN CATALOG")</f>
        <v>ELEPHANT, BIRTHDAY CARD,</v>
      </c>
      <c r="H1486" s="7" t="n">
        <f aca="false">_xlfn.IFNA(VLOOKUP(D1486,Catalog!$B$2:$C$4102,2,FALSE()),"")</f>
        <v>0.42</v>
      </c>
      <c r="I1486" s="7" t="str">
        <f aca="false">HLOOKUP(C1486,Regions!$B$1:$S$2,2,FALSE())</f>
        <v>EU</v>
      </c>
      <c r="J1486" s="7" t="n">
        <f aca="false">E1486*F1486</f>
        <v>5.04</v>
      </c>
      <c r="K1486" s="8" t="n">
        <f aca="false">IF(H1486="","",1-F1486/H1486)</f>
        <v>0</v>
      </c>
    </row>
    <row r="1487" customFormat="false" ht="15" hidden="false" customHeight="false" outlineLevel="0" collapsed="false">
      <c r="A1487" s="0" t="s">
        <v>888</v>
      </c>
      <c r="B1487" s="6" t="n">
        <v>40886.5111111111</v>
      </c>
      <c r="C1487" s="0" t="s">
        <v>29</v>
      </c>
      <c r="D1487" s="0" t="s">
        <v>895</v>
      </c>
      <c r="E1487" s="0" t="n">
        <v>12</v>
      </c>
      <c r="F1487" s="0" t="n">
        <v>1.65</v>
      </c>
      <c r="G1487" s="7" t="str">
        <f aca="false">_xlfn.XLOOKUP(D1487,Catalog!$B$2:$B$4102,Catalog!$A$2:$A$4102,"NOT IN CATALOG")</f>
        <v>NOT IN CATALOG</v>
      </c>
      <c r="H1487" s="7" t="str">
        <f aca="false">_xlfn.IFNA(VLOOKUP(D1487,Catalog!$B$2:$C$4102,2,FALSE()),"")</f>
        <v/>
      </c>
      <c r="I1487" s="7" t="str">
        <f aca="false">HLOOKUP(C1487,Regions!$B$1:$S$2,2,FALSE())</f>
        <v>EU</v>
      </c>
      <c r="J1487" s="7" t="n">
        <f aca="false">E1487*F1487</f>
        <v>19.8</v>
      </c>
      <c r="K1487" s="8" t="str">
        <f aca="false">IF(H1487="","",1-F1487/H1487)</f>
        <v/>
      </c>
    </row>
    <row r="1488" customFormat="false" ht="15" hidden="false" customHeight="false" outlineLevel="0" collapsed="false">
      <c r="A1488" s="0" t="s">
        <v>888</v>
      </c>
      <c r="B1488" s="6" t="n">
        <v>40886.5111111111</v>
      </c>
      <c r="C1488" s="0" t="s">
        <v>29</v>
      </c>
      <c r="D1488" s="0" t="s">
        <v>896</v>
      </c>
      <c r="E1488" s="0" t="n">
        <v>25</v>
      </c>
      <c r="F1488" s="0" t="n">
        <v>0.42</v>
      </c>
      <c r="G1488" s="7" t="str">
        <f aca="false">_xlfn.XLOOKUP(D1488,Catalog!$B$2:$B$4102,Catalog!$A$2:$A$4102,"NOT IN CATALOG")</f>
        <v>NOT IN CATALOG</v>
      </c>
      <c r="H1488" s="7" t="str">
        <f aca="false">_xlfn.IFNA(VLOOKUP(D1488,Catalog!$B$2:$C$4102,2,FALSE()),"")</f>
        <v/>
      </c>
      <c r="I1488" s="7" t="str">
        <f aca="false">HLOOKUP(C1488,Regions!$B$1:$S$2,2,FALSE())</f>
        <v>EU</v>
      </c>
      <c r="J1488" s="7" t="n">
        <f aca="false">E1488*F1488</f>
        <v>10.5</v>
      </c>
      <c r="K1488" s="8" t="str">
        <f aca="false">IF(H1488="","",1-F1488/H1488)</f>
        <v/>
      </c>
    </row>
    <row r="1489" customFormat="false" ht="15" hidden="false" customHeight="false" outlineLevel="0" collapsed="false">
      <c r="A1489" s="0" t="s">
        <v>888</v>
      </c>
      <c r="B1489" s="6" t="n">
        <v>40886.5111111111</v>
      </c>
      <c r="C1489" s="0" t="s">
        <v>29</v>
      </c>
      <c r="D1489" s="0" t="s">
        <v>897</v>
      </c>
      <c r="E1489" s="0" t="n">
        <v>25</v>
      </c>
      <c r="F1489" s="0" t="n">
        <v>0.42</v>
      </c>
      <c r="G1489" s="7" t="str">
        <f aca="false">_xlfn.XLOOKUP(D1489,Catalog!$B$2:$B$4102,Catalog!$A$2:$A$4102,"NOT IN CATALOG")</f>
        <v>WRAP CIRCUS PARADE</v>
      </c>
      <c r="H1489" s="7" t="n">
        <f aca="false">_xlfn.IFNA(VLOOKUP(D1489,Catalog!$B$2:$C$4102,2,FALSE()),"")</f>
        <v>0.42</v>
      </c>
      <c r="I1489" s="7" t="str">
        <f aca="false">HLOOKUP(C1489,Regions!$B$1:$S$2,2,FALSE())</f>
        <v>EU</v>
      </c>
      <c r="J1489" s="7" t="n">
        <f aca="false">E1489*F1489</f>
        <v>10.5</v>
      </c>
      <c r="K1489" s="8" t="n">
        <f aca="false">IF(H1489="","",1-F1489/H1489)</f>
        <v>0</v>
      </c>
    </row>
    <row r="1490" customFormat="false" ht="15" hidden="false" customHeight="false" outlineLevel="0" collapsed="false">
      <c r="A1490" s="0" t="s">
        <v>888</v>
      </c>
      <c r="B1490" s="6" t="n">
        <v>40886.5111111111</v>
      </c>
      <c r="C1490" s="0" t="s">
        <v>29</v>
      </c>
      <c r="D1490" s="0" t="s">
        <v>898</v>
      </c>
      <c r="E1490" s="0" t="n">
        <v>25</v>
      </c>
      <c r="F1490" s="0" t="n">
        <v>0.42</v>
      </c>
      <c r="G1490" s="7" t="str">
        <f aca="false">_xlfn.XLOOKUP(D1490,Catalog!$B$2:$B$4102,Catalog!$A$2:$A$4102,"NOT IN CATALOG")</f>
        <v>FANCY FONTS BIRTHDAY WRAP</v>
      </c>
      <c r="H1490" s="7" t="n">
        <f aca="false">_xlfn.IFNA(VLOOKUP(D1490,Catalog!$B$2:$C$4102,2,FALSE()),"")</f>
        <v>0.42</v>
      </c>
      <c r="I1490" s="7" t="str">
        <f aca="false">HLOOKUP(C1490,Regions!$B$1:$S$2,2,FALSE())</f>
        <v>EU</v>
      </c>
      <c r="J1490" s="7" t="n">
        <f aca="false">E1490*F1490</f>
        <v>10.5</v>
      </c>
      <c r="K1490" s="8" t="n">
        <f aca="false">IF(H1490="","",1-F1490/H1490)</f>
        <v>0</v>
      </c>
    </row>
    <row r="1491" customFormat="false" ht="15" hidden="false" customHeight="false" outlineLevel="0" collapsed="false">
      <c r="A1491" s="0" t="s">
        <v>888</v>
      </c>
      <c r="B1491" s="6" t="n">
        <v>40886.5111111111</v>
      </c>
      <c r="C1491" s="0" t="s">
        <v>29</v>
      </c>
      <c r="D1491" s="0" t="s">
        <v>159</v>
      </c>
      <c r="E1491" s="0" t="n">
        <v>25</v>
      </c>
      <c r="F1491" s="0" t="n">
        <v>0.42</v>
      </c>
      <c r="G1491" s="7" t="str">
        <f aca="false">_xlfn.XLOOKUP(D1491,Catalog!$B$2:$B$4102,Catalog!$A$2:$A$4102,"NOT IN CATALOG")</f>
        <v>WRAP RED APPLES</v>
      </c>
      <c r="H1491" s="7" t="n">
        <f aca="false">_xlfn.IFNA(VLOOKUP(D1491,Catalog!$B$2:$C$4102,2,FALSE()),"")</f>
        <v>0.42</v>
      </c>
      <c r="I1491" s="7" t="str">
        <f aca="false">HLOOKUP(C1491,Regions!$B$1:$S$2,2,FALSE())</f>
        <v>EU</v>
      </c>
      <c r="J1491" s="7" t="n">
        <f aca="false">E1491*F1491</f>
        <v>10.5</v>
      </c>
      <c r="K1491" s="8" t="n">
        <f aca="false">IF(H1491="","",1-F1491/H1491)</f>
        <v>0</v>
      </c>
    </row>
    <row r="1492" customFormat="false" ht="15" hidden="false" customHeight="false" outlineLevel="0" collapsed="false">
      <c r="A1492" s="0" t="s">
        <v>888</v>
      </c>
      <c r="B1492" s="6" t="n">
        <v>40886.5111111111</v>
      </c>
      <c r="C1492" s="0" t="s">
        <v>29</v>
      </c>
      <c r="D1492" s="0" t="s">
        <v>899</v>
      </c>
      <c r="E1492" s="0" t="n">
        <v>12</v>
      </c>
      <c r="F1492" s="0" t="n">
        <v>1.25</v>
      </c>
      <c r="G1492" s="7" t="str">
        <f aca="false">_xlfn.XLOOKUP(D1492,Catalog!$B$2:$B$4102,Catalog!$A$2:$A$4102,"NOT IN CATALOG")</f>
        <v>PACK OF 6 BIRDY GIFT TAGS</v>
      </c>
      <c r="H1492" s="7" t="n">
        <f aca="false">_xlfn.IFNA(VLOOKUP(D1492,Catalog!$B$2:$C$4102,2,FALSE()),"")</f>
        <v>1.25</v>
      </c>
      <c r="I1492" s="7" t="str">
        <f aca="false">HLOOKUP(C1492,Regions!$B$1:$S$2,2,FALSE())</f>
        <v>EU</v>
      </c>
      <c r="J1492" s="7" t="n">
        <f aca="false">E1492*F1492</f>
        <v>15</v>
      </c>
      <c r="K1492" s="8" t="n">
        <f aca="false">IF(H1492="","",1-F1492/H1492)</f>
        <v>0</v>
      </c>
    </row>
    <row r="1493" customFormat="false" ht="15" hidden="false" customHeight="false" outlineLevel="0" collapsed="false">
      <c r="A1493" s="0" t="s">
        <v>888</v>
      </c>
      <c r="B1493" s="6" t="n">
        <v>40886.5111111111</v>
      </c>
      <c r="C1493" s="0" t="s">
        <v>29</v>
      </c>
      <c r="D1493" s="0" t="s">
        <v>900</v>
      </c>
      <c r="E1493" s="0" t="n">
        <v>10</v>
      </c>
      <c r="F1493" s="0" t="n">
        <v>0.85</v>
      </c>
      <c r="G1493" s="7" t="str">
        <f aca="false">_xlfn.XLOOKUP(D1493,Catalog!$B$2:$B$4102,Catalog!$A$2:$A$4102,"NOT IN CATALOG")</f>
        <v>NOT IN CATALOG</v>
      </c>
      <c r="H1493" s="7" t="str">
        <f aca="false">_xlfn.IFNA(VLOOKUP(D1493,Catalog!$B$2:$C$4102,2,FALSE()),"")</f>
        <v/>
      </c>
      <c r="I1493" s="7" t="str">
        <f aca="false">HLOOKUP(C1493,Regions!$B$1:$S$2,2,FALSE())</f>
        <v>EU</v>
      </c>
      <c r="J1493" s="7" t="n">
        <f aca="false">E1493*F1493</f>
        <v>8.5</v>
      </c>
      <c r="K1493" s="8" t="str">
        <f aca="false">IF(H1493="","",1-F1493/H1493)</f>
        <v/>
      </c>
    </row>
    <row r="1494" customFormat="false" ht="15" hidden="false" customHeight="false" outlineLevel="0" collapsed="false">
      <c r="A1494" s="0" t="s">
        <v>888</v>
      </c>
      <c r="B1494" s="6" t="n">
        <v>40886.5111111111</v>
      </c>
      <c r="C1494" s="0" t="s">
        <v>29</v>
      </c>
      <c r="D1494" s="0" t="s">
        <v>901</v>
      </c>
      <c r="E1494" s="0" t="n">
        <v>10</v>
      </c>
      <c r="F1494" s="0" t="n">
        <v>2.08</v>
      </c>
      <c r="G1494" s="7" t="str">
        <f aca="false">_xlfn.XLOOKUP(D1494,Catalog!$B$2:$B$4102,Catalog!$A$2:$A$4102,"NOT IN CATALOG")</f>
        <v>NOT IN CATALOG</v>
      </c>
      <c r="H1494" s="7" t="str">
        <f aca="false">_xlfn.IFNA(VLOOKUP(D1494,Catalog!$B$2:$C$4102,2,FALSE()),"")</f>
        <v/>
      </c>
      <c r="I1494" s="7" t="str">
        <f aca="false">HLOOKUP(C1494,Regions!$B$1:$S$2,2,FALSE())</f>
        <v>EU</v>
      </c>
      <c r="J1494" s="7" t="n">
        <f aca="false">E1494*F1494</f>
        <v>20.8</v>
      </c>
      <c r="K1494" s="8" t="str">
        <f aca="false">IF(H1494="","",1-F1494/H1494)</f>
        <v/>
      </c>
    </row>
    <row r="1495" customFormat="false" ht="15" hidden="false" customHeight="false" outlineLevel="0" collapsed="false">
      <c r="A1495" s="0" t="s">
        <v>888</v>
      </c>
      <c r="B1495" s="6" t="n">
        <v>40886.5111111111</v>
      </c>
      <c r="C1495" s="0" t="s">
        <v>29</v>
      </c>
      <c r="D1495" s="0" t="s">
        <v>575</v>
      </c>
      <c r="E1495" s="0" t="n">
        <v>6</v>
      </c>
      <c r="F1495" s="0" t="n">
        <v>2.08</v>
      </c>
      <c r="G1495" s="7" t="str">
        <f aca="false">_xlfn.XLOOKUP(D1495,Catalog!$B$2:$B$4102,Catalog!$A$2:$A$4102,"NOT IN CATALOG")</f>
        <v>NOT IN CATALOG</v>
      </c>
      <c r="H1495" s="7" t="str">
        <f aca="false">_xlfn.IFNA(VLOOKUP(D1495,Catalog!$B$2:$C$4102,2,FALSE()),"")</f>
        <v/>
      </c>
      <c r="I1495" s="7" t="str">
        <f aca="false">HLOOKUP(C1495,Regions!$B$1:$S$2,2,FALSE())</f>
        <v>EU</v>
      </c>
      <c r="J1495" s="7" t="n">
        <f aca="false">E1495*F1495</f>
        <v>12.48</v>
      </c>
      <c r="K1495" s="8" t="str">
        <f aca="false">IF(H1495="","",1-F1495/H1495)</f>
        <v/>
      </c>
    </row>
    <row r="1496" customFormat="false" ht="15" hidden="false" customHeight="false" outlineLevel="0" collapsed="false">
      <c r="A1496" s="0" t="s">
        <v>888</v>
      </c>
      <c r="B1496" s="6" t="n">
        <v>40886.5111111111</v>
      </c>
      <c r="C1496" s="0" t="s">
        <v>29</v>
      </c>
      <c r="D1496" s="0" t="s">
        <v>902</v>
      </c>
      <c r="E1496" s="0" t="n">
        <v>10</v>
      </c>
      <c r="F1496" s="0" t="n">
        <v>1.65</v>
      </c>
      <c r="G1496" s="7" t="str">
        <f aca="false">_xlfn.XLOOKUP(D1496,Catalog!$B$2:$B$4102,Catalog!$A$2:$A$4102,"NOT IN CATALOG")</f>
        <v>RIBBON REEL FLORA + FAUNA</v>
      </c>
      <c r="H1496" s="7" t="n">
        <f aca="false">_xlfn.IFNA(VLOOKUP(D1496,Catalog!$B$2:$C$4102,2,FALSE()),"")</f>
        <v>1.65</v>
      </c>
      <c r="I1496" s="7" t="str">
        <f aca="false">HLOOKUP(C1496,Regions!$B$1:$S$2,2,FALSE())</f>
        <v>EU</v>
      </c>
      <c r="J1496" s="7" t="n">
        <f aca="false">E1496*F1496</f>
        <v>16.5</v>
      </c>
      <c r="K1496" s="8" t="n">
        <f aca="false">IF(H1496="","",1-F1496/H1496)</f>
        <v>0</v>
      </c>
    </row>
    <row r="1497" customFormat="false" ht="15" hidden="false" customHeight="false" outlineLevel="0" collapsed="false">
      <c r="A1497" s="0" t="s">
        <v>888</v>
      </c>
      <c r="B1497" s="6" t="n">
        <v>40886.5111111111</v>
      </c>
      <c r="C1497" s="0" t="s">
        <v>29</v>
      </c>
      <c r="D1497" s="0" t="s">
        <v>903</v>
      </c>
      <c r="E1497" s="0" t="n">
        <v>10</v>
      </c>
      <c r="F1497" s="0" t="n">
        <v>1.65</v>
      </c>
      <c r="G1497" s="7" t="str">
        <f aca="false">_xlfn.XLOOKUP(D1497,Catalog!$B$2:$B$4102,Catalog!$A$2:$A$4102,"NOT IN CATALOG")</f>
        <v>RIBBON REEL SPOTS DESIGN</v>
      </c>
      <c r="H1497" s="7" t="n">
        <f aca="false">_xlfn.IFNA(VLOOKUP(D1497,Catalog!$B$2:$C$4102,2,FALSE()),"")</f>
        <v>1.65</v>
      </c>
      <c r="I1497" s="7" t="str">
        <f aca="false">HLOOKUP(C1497,Regions!$B$1:$S$2,2,FALSE())</f>
        <v>EU</v>
      </c>
      <c r="J1497" s="7" t="n">
        <f aca="false">E1497*F1497</f>
        <v>16.5</v>
      </c>
      <c r="K1497" s="8" t="n">
        <f aca="false">IF(H1497="","",1-F1497/H1497)</f>
        <v>0</v>
      </c>
    </row>
    <row r="1498" customFormat="false" ht="15" hidden="false" customHeight="false" outlineLevel="0" collapsed="false">
      <c r="A1498" s="0" t="s">
        <v>888</v>
      </c>
      <c r="B1498" s="6" t="n">
        <v>40886.5111111111</v>
      </c>
      <c r="C1498" s="0" t="s">
        <v>29</v>
      </c>
      <c r="D1498" s="0" t="s">
        <v>270</v>
      </c>
      <c r="E1498" s="0" t="n">
        <v>9</v>
      </c>
      <c r="F1498" s="0" t="n">
        <v>4.95</v>
      </c>
      <c r="G1498" s="7" t="str">
        <f aca="false">_xlfn.XLOOKUP(D1498,Catalog!$B$2:$B$4102,Catalog!$A$2:$A$4102,"NOT IN CATALOG")</f>
        <v>NOT IN CATALOG</v>
      </c>
      <c r="H1498" s="7" t="str">
        <f aca="false">_xlfn.IFNA(VLOOKUP(D1498,Catalog!$B$2:$C$4102,2,FALSE()),"")</f>
        <v/>
      </c>
      <c r="I1498" s="7" t="str">
        <f aca="false">HLOOKUP(C1498,Regions!$B$1:$S$2,2,FALSE())</f>
        <v>EU</v>
      </c>
      <c r="J1498" s="7" t="n">
        <f aca="false">E1498*F1498</f>
        <v>44.55</v>
      </c>
      <c r="K1498" s="8" t="str">
        <f aca="false">IF(H1498="","",1-F1498/H1498)</f>
        <v/>
      </c>
    </row>
    <row r="1499" customFormat="false" ht="15" hidden="false" customHeight="false" outlineLevel="0" collapsed="false">
      <c r="A1499" s="0" t="s">
        <v>888</v>
      </c>
      <c r="B1499" s="6" t="n">
        <v>40886.5111111111</v>
      </c>
      <c r="C1499" s="0" t="s">
        <v>29</v>
      </c>
      <c r="D1499" s="0" t="s">
        <v>304</v>
      </c>
      <c r="E1499" s="0" t="n">
        <v>12</v>
      </c>
      <c r="F1499" s="0" t="n">
        <v>1.25</v>
      </c>
      <c r="G1499" s="7" t="str">
        <f aca="false">_xlfn.XLOOKUP(D1499,Catalog!$B$2:$B$4102,Catalog!$A$2:$A$4102,"NOT IN CATALOG")</f>
        <v>NOT IN CATALOG</v>
      </c>
      <c r="H1499" s="7" t="str">
        <f aca="false">_xlfn.IFNA(VLOOKUP(D1499,Catalog!$B$2:$C$4102,2,FALSE()),"")</f>
        <v/>
      </c>
      <c r="I1499" s="7" t="str">
        <f aca="false">HLOOKUP(C1499,Regions!$B$1:$S$2,2,FALSE())</f>
        <v>EU</v>
      </c>
      <c r="J1499" s="7" t="n">
        <f aca="false">E1499*F1499</f>
        <v>15</v>
      </c>
      <c r="K1499" s="8" t="str">
        <f aca="false">IF(H1499="","",1-F1499/H1499)</f>
        <v/>
      </c>
    </row>
    <row r="1500" customFormat="false" ht="15" hidden="false" customHeight="false" outlineLevel="0" collapsed="false">
      <c r="A1500" s="0" t="s">
        <v>888</v>
      </c>
      <c r="B1500" s="6" t="n">
        <v>40886.5111111111</v>
      </c>
      <c r="C1500" s="0" t="s">
        <v>29</v>
      </c>
      <c r="D1500" s="0" t="s">
        <v>178</v>
      </c>
      <c r="E1500" s="0" t="n">
        <v>12</v>
      </c>
      <c r="F1500" s="0" t="n">
        <v>0.85</v>
      </c>
      <c r="G1500" s="7" t="str">
        <f aca="false">_xlfn.XLOOKUP(D1500,Catalog!$B$2:$B$4102,Catalog!$A$2:$A$4102,"NOT IN CATALOG")</f>
        <v>PACK OF 20 NAPKINS PANTRY DESIGN</v>
      </c>
      <c r="H1500" s="7" t="n">
        <f aca="false">_xlfn.IFNA(VLOOKUP(D1500,Catalog!$B$2:$C$4102,2,FALSE()),"")</f>
        <v>0.85</v>
      </c>
      <c r="I1500" s="7" t="str">
        <f aca="false">HLOOKUP(C1500,Regions!$B$1:$S$2,2,FALSE())</f>
        <v>EU</v>
      </c>
      <c r="J1500" s="7" t="n">
        <f aca="false">E1500*F1500</f>
        <v>10.2</v>
      </c>
      <c r="K1500" s="8" t="n">
        <f aca="false">IF(H1500="","",1-F1500/H1500)</f>
        <v>0</v>
      </c>
    </row>
    <row r="1501" customFormat="false" ht="15" hidden="false" customHeight="false" outlineLevel="0" collapsed="false">
      <c r="A1501" s="0" t="s">
        <v>888</v>
      </c>
      <c r="B1501" s="6" t="n">
        <v>40886.5111111111</v>
      </c>
      <c r="C1501" s="0" t="s">
        <v>29</v>
      </c>
      <c r="D1501" s="0" t="s">
        <v>168</v>
      </c>
      <c r="E1501" s="0" t="n">
        <v>12</v>
      </c>
      <c r="F1501" s="0" t="n">
        <v>0.85</v>
      </c>
      <c r="G1501" s="7" t="str">
        <f aca="false">_xlfn.XLOOKUP(D1501,Catalog!$B$2:$B$4102,Catalog!$A$2:$A$4102,"NOT IN CATALOG")</f>
        <v>PACK OF 20 NAPKINS RED APPLES</v>
      </c>
      <c r="H1501" s="7" t="n">
        <f aca="false">_xlfn.IFNA(VLOOKUP(D1501,Catalog!$B$2:$C$4102,2,FALSE()),"")</f>
        <v>0.85</v>
      </c>
      <c r="I1501" s="7" t="str">
        <f aca="false">HLOOKUP(C1501,Regions!$B$1:$S$2,2,FALSE())</f>
        <v>EU</v>
      </c>
      <c r="J1501" s="7" t="n">
        <f aca="false">E1501*F1501</f>
        <v>10.2</v>
      </c>
      <c r="K1501" s="8" t="n">
        <f aca="false">IF(H1501="","",1-F1501/H1501)</f>
        <v>0</v>
      </c>
    </row>
    <row r="1502" customFormat="false" ht="15" hidden="false" customHeight="false" outlineLevel="0" collapsed="false">
      <c r="A1502" s="0" t="s">
        <v>888</v>
      </c>
      <c r="B1502" s="6" t="n">
        <v>40886.5111111111</v>
      </c>
      <c r="C1502" s="0" t="s">
        <v>29</v>
      </c>
      <c r="D1502" s="0" t="s">
        <v>904</v>
      </c>
      <c r="E1502" s="0" t="n">
        <v>12</v>
      </c>
      <c r="F1502" s="0" t="n">
        <v>2.08</v>
      </c>
      <c r="G1502" s="7" t="str">
        <f aca="false">_xlfn.XLOOKUP(D1502,Catalog!$B$2:$B$4102,Catalog!$A$2:$A$4102,"NOT IN CATALOG")</f>
        <v>NOT IN CATALOG</v>
      </c>
      <c r="H1502" s="7" t="str">
        <f aca="false">_xlfn.IFNA(VLOOKUP(D1502,Catalog!$B$2:$C$4102,2,FALSE()),"")</f>
        <v/>
      </c>
      <c r="I1502" s="7" t="str">
        <f aca="false">HLOOKUP(C1502,Regions!$B$1:$S$2,2,FALSE())</f>
        <v>EU</v>
      </c>
      <c r="J1502" s="7" t="n">
        <f aca="false">E1502*F1502</f>
        <v>24.96</v>
      </c>
      <c r="K1502" s="8" t="str">
        <f aca="false">IF(H1502="","",1-F1502/H1502)</f>
        <v/>
      </c>
    </row>
    <row r="1503" customFormat="false" ht="15" hidden="false" customHeight="false" outlineLevel="0" collapsed="false">
      <c r="A1503" s="0" t="s">
        <v>888</v>
      </c>
      <c r="B1503" s="6" t="n">
        <v>40886.5111111111</v>
      </c>
      <c r="C1503" s="0" t="s">
        <v>29</v>
      </c>
      <c r="D1503" s="0" t="s">
        <v>785</v>
      </c>
      <c r="E1503" s="0" t="n">
        <v>10</v>
      </c>
      <c r="F1503" s="0" t="n">
        <v>1.65</v>
      </c>
      <c r="G1503" s="7" t="str">
        <f aca="false">_xlfn.XLOOKUP(D1503,Catalog!$B$2:$B$4102,Catalog!$A$2:$A$4102,"NOT IN CATALOG")</f>
        <v>RIBBON REEL MAKING SNOWMEN</v>
      </c>
      <c r="H1503" s="7" t="n">
        <f aca="false">_xlfn.IFNA(VLOOKUP(D1503,Catalog!$B$2:$C$4102,2,FALSE()),"")</f>
        <v>1.65</v>
      </c>
      <c r="I1503" s="7" t="str">
        <f aca="false">HLOOKUP(C1503,Regions!$B$1:$S$2,2,FALSE())</f>
        <v>EU</v>
      </c>
      <c r="J1503" s="7" t="n">
        <f aca="false">E1503*F1503</f>
        <v>16.5</v>
      </c>
      <c r="K1503" s="8" t="n">
        <f aca="false">IF(H1503="","",1-F1503/H1503)</f>
        <v>0</v>
      </c>
    </row>
    <row r="1504" customFormat="false" ht="15" hidden="false" customHeight="false" outlineLevel="0" collapsed="false">
      <c r="A1504" s="0" t="s">
        <v>905</v>
      </c>
      <c r="B1504" s="6" t="n">
        <v>40886.5347222222</v>
      </c>
      <c r="C1504" s="0" t="s">
        <v>81</v>
      </c>
      <c r="D1504" s="0" t="s">
        <v>464</v>
      </c>
      <c r="E1504" s="0" t="n">
        <v>12</v>
      </c>
      <c r="F1504" s="0" t="n">
        <v>1.95</v>
      </c>
      <c r="G1504" s="7" t="str">
        <f aca="false">_xlfn.XLOOKUP(D1504,Catalog!$B$2:$B$4102,Catalog!$A$2:$A$4102,"NOT IN CATALOG")</f>
        <v>CIRCUS PARADE LUNCH BOX</v>
      </c>
      <c r="H1504" s="7" t="n">
        <f aca="false">_xlfn.IFNA(VLOOKUP(D1504,Catalog!$B$2:$C$4102,2,FALSE()),"")</f>
        <v>1.95</v>
      </c>
      <c r="I1504" s="7" t="str">
        <f aca="false">HLOOKUP(C1504,Regions!$B$1:$S$2,2,FALSE())</f>
        <v>EU</v>
      </c>
      <c r="J1504" s="7" t="n">
        <f aca="false">E1504*F1504</f>
        <v>23.4</v>
      </c>
      <c r="K1504" s="8" t="n">
        <f aca="false">IF(H1504="","",1-F1504/H1504)</f>
        <v>0</v>
      </c>
    </row>
    <row r="1505" customFormat="false" ht="15" hidden="false" customHeight="false" outlineLevel="0" collapsed="false">
      <c r="A1505" s="0" t="s">
        <v>905</v>
      </c>
      <c r="B1505" s="6" t="n">
        <v>40886.5347222222</v>
      </c>
      <c r="C1505" s="0" t="s">
        <v>81</v>
      </c>
      <c r="D1505" s="0" t="s">
        <v>151</v>
      </c>
      <c r="E1505" s="0" t="n">
        <v>12</v>
      </c>
      <c r="F1505" s="0" t="n">
        <v>1.65</v>
      </c>
      <c r="G1505" s="7" t="str">
        <f aca="false">_xlfn.XLOOKUP(D1505,Catalog!$B$2:$B$4102,Catalog!$A$2:$A$4102,"NOT IN CATALOG")</f>
        <v>PLASTERS IN TIN CIRCUS PARADE</v>
      </c>
      <c r="H1505" s="7" t="n">
        <f aca="false">_xlfn.IFNA(VLOOKUP(D1505,Catalog!$B$2:$C$4102,2,FALSE()),"")</f>
        <v>1.65</v>
      </c>
      <c r="I1505" s="7" t="str">
        <f aca="false">HLOOKUP(C1505,Regions!$B$1:$S$2,2,FALSE())</f>
        <v>EU</v>
      </c>
      <c r="J1505" s="7" t="n">
        <f aca="false">E1505*F1505</f>
        <v>19.8</v>
      </c>
      <c r="K1505" s="8" t="n">
        <f aca="false">IF(H1505="","",1-F1505/H1505)</f>
        <v>0</v>
      </c>
    </row>
    <row r="1506" customFormat="false" ht="15" hidden="false" customHeight="false" outlineLevel="0" collapsed="false">
      <c r="A1506" s="0" t="s">
        <v>905</v>
      </c>
      <c r="B1506" s="6" t="n">
        <v>40886.5347222222</v>
      </c>
      <c r="C1506" s="0" t="s">
        <v>81</v>
      </c>
      <c r="D1506" s="0" t="s">
        <v>244</v>
      </c>
      <c r="E1506" s="0" t="n">
        <v>12</v>
      </c>
      <c r="F1506" s="0" t="n">
        <v>1.65</v>
      </c>
      <c r="G1506" s="7" t="str">
        <f aca="false">_xlfn.XLOOKUP(D1506,Catalog!$B$2:$B$4102,Catalog!$A$2:$A$4102,"NOT IN CATALOG")</f>
        <v>PLASTERS IN TIN STRONGMAN</v>
      </c>
      <c r="H1506" s="7" t="n">
        <f aca="false">_xlfn.IFNA(VLOOKUP(D1506,Catalog!$B$2:$C$4102,2,FALSE()),"")</f>
        <v>1.65</v>
      </c>
      <c r="I1506" s="7" t="str">
        <f aca="false">HLOOKUP(C1506,Regions!$B$1:$S$2,2,FALSE())</f>
        <v>EU</v>
      </c>
      <c r="J1506" s="7" t="n">
        <f aca="false">E1506*F1506</f>
        <v>19.8</v>
      </c>
      <c r="K1506" s="8" t="n">
        <f aca="false">IF(H1506="","",1-F1506/H1506)</f>
        <v>0</v>
      </c>
    </row>
    <row r="1507" customFormat="false" ht="15" hidden="false" customHeight="false" outlineLevel="0" collapsed="false">
      <c r="A1507" s="0" t="s">
        <v>905</v>
      </c>
      <c r="B1507" s="6" t="n">
        <v>40886.5347222222</v>
      </c>
      <c r="C1507" s="0" t="s">
        <v>81</v>
      </c>
      <c r="D1507" s="0" t="s">
        <v>65</v>
      </c>
      <c r="E1507" s="0" t="n">
        <v>4</v>
      </c>
      <c r="F1507" s="0" t="n">
        <v>3.75</v>
      </c>
      <c r="G1507" s="7" t="str">
        <f aca="false">_xlfn.XLOOKUP(D1507,Catalog!$B$2:$B$4102,Catalog!$A$2:$A$4102,"NOT IN CATALOG")</f>
        <v>ALARM CLOCK BAKELIKE PINK</v>
      </c>
      <c r="H1507" s="7" t="n">
        <f aca="false">_xlfn.IFNA(VLOOKUP(D1507,Catalog!$B$2:$C$4102,2,FALSE()),"")</f>
        <v>3.75</v>
      </c>
      <c r="I1507" s="7" t="str">
        <f aca="false">HLOOKUP(C1507,Regions!$B$1:$S$2,2,FALSE())</f>
        <v>EU</v>
      </c>
      <c r="J1507" s="7" t="n">
        <f aca="false">E1507*F1507</f>
        <v>15</v>
      </c>
      <c r="K1507" s="8" t="n">
        <f aca="false">IF(H1507="","",1-F1507/H1507)</f>
        <v>0</v>
      </c>
    </row>
    <row r="1508" customFormat="false" ht="15" hidden="false" customHeight="false" outlineLevel="0" collapsed="false">
      <c r="A1508" s="0" t="s">
        <v>905</v>
      </c>
      <c r="B1508" s="6" t="n">
        <v>40886.5347222222</v>
      </c>
      <c r="C1508" s="0" t="s">
        <v>81</v>
      </c>
      <c r="D1508" s="0" t="s">
        <v>63</v>
      </c>
      <c r="E1508" s="0" t="n">
        <v>4</v>
      </c>
      <c r="F1508" s="0" t="n">
        <v>3.75</v>
      </c>
      <c r="G1508" s="7" t="str">
        <f aca="false">_xlfn.XLOOKUP(D1508,Catalog!$B$2:$B$4102,Catalog!$A$2:$A$4102,"NOT IN CATALOG")</f>
        <v>ALARM CLOCK BAKELIKE RED</v>
      </c>
      <c r="H1508" s="7" t="n">
        <f aca="false">_xlfn.IFNA(VLOOKUP(D1508,Catalog!$B$2:$C$4102,2,FALSE()),"")</f>
        <v>3.75</v>
      </c>
      <c r="I1508" s="7" t="str">
        <f aca="false">HLOOKUP(C1508,Regions!$B$1:$S$2,2,FALSE())</f>
        <v>EU</v>
      </c>
      <c r="J1508" s="7" t="n">
        <f aca="false">E1508*F1508</f>
        <v>15</v>
      </c>
      <c r="K1508" s="8" t="n">
        <f aca="false">IF(H1508="","",1-F1508/H1508)</f>
        <v>0</v>
      </c>
    </row>
    <row r="1509" customFormat="false" ht="15" hidden="false" customHeight="false" outlineLevel="0" collapsed="false">
      <c r="A1509" s="0" t="s">
        <v>905</v>
      </c>
      <c r="B1509" s="6" t="n">
        <v>40886.5347222222</v>
      </c>
      <c r="C1509" s="0" t="s">
        <v>81</v>
      </c>
      <c r="D1509" s="0" t="s">
        <v>64</v>
      </c>
      <c r="E1509" s="0" t="n">
        <v>4</v>
      </c>
      <c r="F1509" s="0" t="n">
        <v>3.75</v>
      </c>
      <c r="G1509" s="7" t="str">
        <f aca="false">_xlfn.XLOOKUP(D1509,Catalog!$B$2:$B$4102,Catalog!$A$2:$A$4102,"NOT IN CATALOG")</f>
        <v>ALARM CLOCK BAKELIKE GREEN</v>
      </c>
      <c r="H1509" s="7" t="n">
        <f aca="false">_xlfn.IFNA(VLOOKUP(D1509,Catalog!$B$2:$C$4102,2,FALSE()),"")</f>
        <v>3.75</v>
      </c>
      <c r="I1509" s="7" t="str">
        <f aca="false">HLOOKUP(C1509,Regions!$B$1:$S$2,2,FALSE())</f>
        <v>EU</v>
      </c>
      <c r="J1509" s="7" t="n">
        <f aca="false">E1509*F1509</f>
        <v>15</v>
      </c>
      <c r="K1509" s="8" t="n">
        <f aca="false">IF(H1509="","",1-F1509/H1509)</f>
        <v>0</v>
      </c>
    </row>
    <row r="1510" customFormat="false" ht="15" hidden="false" customHeight="false" outlineLevel="0" collapsed="false">
      <c r="A1510" s="0" t="s">
        <v>905</v>
      </c>
      <c r="B1510" s="6" t="n">
        <v>40886.5347222222</v>
      </c>
      <c r="C1510" s="0" t="s">
        <v>81</v>
      </c>
      <c r="D1510" s="0" t="s">
        <v>66</v>
      </c>
      <c r="E1510" s="0" t="n">
        <v>4</v>
      </c>
      <c r="F1510" s="0" t="n">
        <v>3.75</v>
      </c>
      <c r="G1510" s="7" t="str">
        <f aca="false">_xlfn.XLOOKUP(D1510,Catalog!$B$2:$B$4102,Catalog!$A$2:$A$4102,"NOT IN CATALOG")</f>
        <v>ALARM CLOCK BAKELIKE IVORY</v>
      </c>
      <c r="H1510" s="7" t="n">
        <f aca="false">_xlfn.IFNA(VLOOKUP(D1510,Catalog!$B$2:$C$4102,2,FALSE()),"")</f>
        <v>3.75</v>
      </c>
      <c r="I1510" s="7" t="str">
        <f aca="false">HLOOKUP(C1510,Regions!$B$1:$S$2,2,FALSE())</f>
        <v>EU</v>
      </c>
      <c r="J1510" s="7" t="n">
        <f aca="false">E1510*F1510</f>
        <v>15</v>
      </c>
      <c r="K1510" s="8" t="n">
        <f aca="false">IF(H1510="","",1-F1510/H1510)</f>
        <v>0</v>
      </c>
    </row>
    <row r="1511" customFormat="false" ht="15" hidden="false" customHeight="false" outlineLevel="0" collapsed="false">
      <c r="A1511" s="0" t="s">
        <v>905</v>
      </c>
      <c r="B1511" s="6" t="n">
        <v>40886.5347222222</v>
      </c>
      <c r="C1511" s="0" t="s">
        <v>81</v>
      </c>
      <c r="D1511" s="0" t="s">
        <v>481</v>
      </c>
      <c r="E1511" s="0" t="n">
        <v>8</v>
      </c>
      <c r="F1511" s="0" t="n">
        <v>1.95</v>
      </c>
      <c r="G1511" s="7" t="str">
        <f aca="false">_xlfn.XLOOKUP(D1511,Catalog!$B$2:$B$4102,Catalog!$A$2:$A$4102,"NOT IN CATALOG")</f>
        <v>CHILDRENS APRON SPACEBOY DESIGN</v>
      </c>
      <c r="H1511" s="7" t="n">
        <f aca="false">_xlfn.IFNA(VLOOKUP(D1511,Catalog!$B$2:$C$4102,2,FALSE()),"")</f>
        <v>1.95</v>
      </c>
      <c r="I1511" s="7" t="str">
        <f aca="false">HLOOKUP(C1511,Regions!$B$1:$S$2,2,FALSE())</f>
        <v>EU</v>
      </c>
      <c r="J1511" s="7" t="n">
        <f aca="false">E1511*F1511</f>
        <v>15.6</v>
      </c>
      <c r="K1511" s="8" t="n">
        <f aca="false">IF(H1511="","",1-F1511/H1511)</f>
        <v>0</v>
      </c>
    </row>
    <row r="1512" customFormat="false" ht="15" hidden="false" customHeight="false" outlineLevel="0" collapsed="false">
      <c r="A1512" s="0" t="s">
        <v>905</v>
      </c>
      <c r="B1512" s="6" t="n">
        <v>40886.5347222222</v>
      </c>
      <c r="C1512" s="0" t="s">
        <v>81</v>
      </c>
      <c r="D1512" s="0" t="s">
        <v>307</v>
      </c>
      <c r="E1512" s="0" t="n">
        <v>12</v>
      </c>
      <c r="F1512" s="0" t="n">
        <v>1.95</v>
      </c>
      <c r="G1512" s="7" t="str">
        <f aca="false">_xlfn.XLOOKUP(D1512,Catalog!$B$2:$B$4102,Catalog!$A$2:$A$4102,"NOT IN CATALOG")</f>
        <v>SPACEBOY LUNCH BOX</v>
      </c>
      <c r="H1512" s="7" t="n">
        <f aca="false">_xlfn.IFNA(VLOOKUP(D1512,Catalog!$B$2:$C$4102,2,FALSE()),"")</f>
        <v>1.95</v>
      </c>
      <c r="I1512" s="7" t="str">
        <f aca="false">HLOOKUP(C1512,Regions!$B$1:$S$2,2,FALSE())</f>
        <v>EU</v>
      </c>
      <c r="J1512" s="7" t="n">
        <f aca="false">E1512*F1512</f>
        <v>23.4</v>
      </c>
      <c r="K1512" s="8" t="n">
        <f aca="false">IF(H1512="","",1-F1512/H1512)</f>
        <v>0</v>
      </c>
    </row>
    <row r="1513" customFormat="false" ht="15" hidden="false" customHeight="false" outlineLevel="0" collapsed="false">
      <c r="A1513" s="0" t="s">
        <v>905</v>
      </c>
      <c r="B1513" s="6" t="n">
        <v>40886.5347222222</v>
      </c>
      <c r="C1513" s="0" t="s">
        <v>81</v>
      </c>
      <c r="D1513" s="0" t="s">
        <v>506</v>
      </c>
      <c r="E1513" s="0" t="n">
        <v>4</v>
      </c>
      <c r="F1513" s="0" t="n">
        <v>4.15</v>
      </c>
      <c r="G1513" s="7" t="str">
        <f aca="false">_xlfn.XLOOKUP(D1513,Catalog!$B$2:$B$4102,Catalog!$A$2:$A$4102,"NOT IN CATALOG")</f>
        <v>NOT IN CATALOG</v>
      </c>
      <c r="H1513" s="7" t="str">
        <f aca="false">_xlfn.IFNA(VLOOKUP(D1513,Catalog!$B$2:$C$4102,2,FALSE()),"")</f>
        <v/>
      </c>
      <c r="I1513" s="7" t="str">
        <f aca="false">HLOOKUP(C1513,Regions!$B$1:$S$2,2,FALSE())</f>
        <v>EU</v>
      </c>
      <c r="J1513" s="7" t="n">
        <f aca="false">E1513*F1513</f>
        <v>16.6</v>
      </c>
      <c r="K1513" s="8" t="str">
        <f aca="false">IF(H1513="","",1-F1513/H1513)</f>
        <v/>
      </c>
    </row>
    <row r="1514" customFormat="false" ht="15" hidden="false" customHeight="false" outlineLevel="0" collapsed="false">
      <c r="A1514" s="0" t="s">
        <v>905</v>
      </c>
      <c r="B1514" s="6" t="n">
        <v>40886.5347222222</v>
      </c>
      <c r="C1514" s="0" t="s">
        <v>81</v>
      </c>
      <c r="D1514" s="0" t="s">
        <v>169</v>
      </c>
      <c r="E1514" s="0" t="n">
        <v>12</v>
      </c>
      <c r="F1514" s="0" t="n">
        <v>0.85</v>
      </c>
      <c r="G1514" s="7" t="str">
        <f aca="false">_xlfn.XLOOKUP(D1514,Catalog!$B$2:$B$4102,Catalog!$A$2:$A$4102,"NOT IN CATALOG")</f>
        <v>PACK OF 20 SPACEBOY NAPKINS</v>
      </c>
      <c r="H1514" s="7" t="n">
        <f aca="false">_xlfn.IFNA(VLOOKUP(D1514,Catalog!$B$2:$C$4102,2,FALSE()),"")</f>
        <v>0.85</v>
      </c>
      <c r="I1514" s="7" t="str">
        <f aca="false">HLOOKUP(C1514,Regions!$B$1:$S$2,2,FALSE())</f>
        <v>EU</v>
      </c>
      <c r="J1514" s="7" t="n">
        <f aca="false">E1514*F1514</f>
        <v>10.2</v>
      </c>
      <c r="K1514" s="8" t="n">
        <f aca="false">IF(H1514="","",1-F1514/H1514)</f>
        <v>0</v>
      </c>
    </row>
    <row r="1515" customFormat="false" ht="15" hidden="false" customHeight="false" outlineLevel="0" collapsed="false">
      <c r="A1515" s="0" t="s">
        <v>905</v>
      </c>
      <c r="B1515" s="6" t="n">
        <v>40886.5347222222</v>
      </c>
      <c r="C1515" s="0" t="s">
        <v>81</v>
      </c>
      <c r="D1515" s="0" t="s">
        <v>509</v>
      </c>
      <c r="E1515" s="0" t="n">
        <v>6</v>
      </c>
      <c r="F1515" s="0" t="n">
        <v>2.1</v>
      </c>
      <c r="G1515" s="7" t="str">
        <f aca="false">_xlfn.XLOOKUP(D1515,Catalog!$B$2:$B$4102,Catalog!$A$2:$A$4102,"NOT IN CATALOG")</f>
        <v>CHILDREN'S APRON DOLLY GIRL</v>
      </c>
      <c r="H1515" s="7" t="n">
        <f aca="false">_xlfn.IFNA(VLOOKUP(D1515,Catalog!$B$2:$C$4102,2,FALSE()),"")</f>
        <v>2.1</v>
      </c>
      <c r="I1515" s="7" t="str">
        <f aca="false">HLOOKUP(C1515,Regions!$B$1:$S$2,2,FALSE())</f>
        <v>EU</v>
      </c>
      <c r="J1515" s="7" t="n">
        <f aca="false">E1515*F1515</f>
        <v>12.6</v>
      </c>
      <c r="K1515" s="8" t="n">
        <f aca="false">IF(H1515="","",1-F1515/H1515)</f>
        <v>0</v>
      </c>
    </row>
    <row r="1516" customFormat="false" ht="15" hidden="false" customHeight="false" outlineLevel="0" collapsed="false">
      <c r="A1516" s="0" t="s">
        <v>905</v>
      </c>
      <c r="B1516" s="6" t="n">
        <v>40886.5347222222</v>
      </c>
      <c r="C1516" s="0" t="s">
        <v>81</v>
      </c>
      <c r="D1516" s="0" t="s">
        <v>508</v>
      </c>
      <c r="E1516" s="0" t="n">
        <v>4</v>
      </c>
      <c r="F1516" s="0" t="n">
        <v>4.15</v>
      </c>
      <c r="G1516" s="7" t="str">
        <f aca="false">_xlfn.XLOOKUP(D1516,Catalog!$B$2:$B$4102,Catalog!$A$2:$A$4102,"NOT IN CATALOG")</f>
        <v>NOT IN CATALOG</v>
      </c>
      <c r="H1516" s="7" t="str">
        <f aca="false">_xlfn.IFNA(VLOOKUP(D1516,Catalog!$B$2:$C$4102,2,FALSE()),"")</f>
        <v/>
      </c>
      <c r="I1516" s="7" t="str">
        <f aca="false">HLOOKUP(C1516,Regions!$B$1:$S$2,2,FALSE())</f>
        <v>EU</v>
      </c>
      <c r="J1516" s="7" t="n">
        <f aca="false">E1516*F1516</f>
        <v>16.6</v>
      </c>
      <c r="K1516" s="8" t="str">
        <f aca="false">IF(H1516="","",1-F1516/H1516)</f>
        <v/>
      </c>
    </row>
    <row r="1517" customFormat="false" ht="15" hidden="false" customHeight="false" outlineLevel="0" collapsed="false">
      <c r="A1517" s="0" t="s">
        <v>905</v>
      </c>
      <c r="B1517" s="6" t="n">
        <v>40886.5347222222</v>
      </c>
      <c r="C1517" s="0" t="s">
        <v>81</v>
      </c>
      <c r="D1517" s="0" t="s">
        <v>522</v>
      </c>
      <c r="E1517" s="0" t="n">
        <v>4</v>
      </c>
      <c r="F1517" s="0" t="n">
        <v>4.15</v>
      </c>
      <c r="G1517" s="7" t="str">
        <f aca="false">_xlfn.XLOOKUP(D1517,Catalog!$B$2:$B$4102,Catalog!$A$2:$A$4102,"NOT IN CATALOG")</f>
        <v>NOT IN CATALOG</v>
      </c>
      <c r="H1517" s="7" t="str">
        <f aca="false">_xlfn.IFNA(VLOOKUP(D1517,Catalog!$B$2:$C$4102,2,FALSE()),"")</f>
        <v/>
      </c>
      <c r="I1517" s="7" t="str">
        <f aca="false">HLOOKUP(C1517,Regions!$B$1:$S$2,2,FALSE())</f>
        <v>EU</v>
      </c>
      <c r="J1517" s="7" t="n">
        <f aca="false">E1517*F1517</f>
        <v>16.6</v>
      </c>
      <c r="K1517" s="8" t="str">
        <f aca="false">IF(H1517="","",1-F1517/H1517)</f>
        <v/>
      </c>
    </row>
    <row r="1518" customFormat="false" ht="15" hidden="false" customHeight="false" outlineLevel="0" collapsed="false">
      <c r="A1518" s="0" t="s">
        <v>905</v>
      </c>
      <c r="B1518" s="6" t="n">
        <v>40886.5347222222</v>
      </c>
      <c r="C1518" s="0" t="s">
        <v>81</v>
      </c>
      <c r="D1518" s="0" t="s">
        <v>98</v>
      </c>
      <c r="E1518" s="0" t="n">
        <v>3</v>
      </c>
      <c r="F1518" s="0" t="n">
        <v>4.95</v>
      </c>
      <c r="G1518" s="7" t="str">
        <f aca="false">_xlfn.XLOOKUP(D1518,Catalog!$B$2:$B$4102,Catalog!$A$2:$A$4102,"NOT IN CATALOG")</f>
        <v>BAKING SET 9 PIECE RETROSPOT</v>
      </c>
      <c r="H1518" s="7" t="n">
        <f aca="false">_xlfn.IFNA(VLOOKUP(D1518,Catalog!$B$2:$C$4102,2,FALSE()),"")</f>
        <v>4.95</v>
      </c>
      <c r="I1518" s="7" t="str">
        <f aca="false">HLOOKUP(C1518,Regions!$B$1:$S$2,2,FALSE())</f>
        <v>EU</v>
      </c>
      <c r="J1518" s="7" t="n">
        <f aca="false">E1518*F1518</f>
        <v>14.85</v>
      </c>
      <c r="K1518" s="8" t="n">
        <f aca="false">IF(H1518="","",1-F1518/H1518)</f>
        <v>0</v>
      </c>
    </row>
    <row r="1519" customFormat="false" ht="15" hidden="false" customHeight="false" outlineLevel="0" collapsed="false">
      <c r="A1519" s="0" t="s">
        <v>905</v>
      </c>
      <c r="B1519" s="6" t="n">
        <v>40886.5347222222</v>
      </c>
      <c r="C1519" s="0" t="s">
        <v>81</v>
      </c>
      <c r="D1519" s="0" t="s">
        <v>39</v>
      </c>
      <c r="E1519" s="0" t="n">
        <v>1</v>
      </c>
      <c r="F1519" s="0" t="n">
        <v>18</v>
      </c>
      <c r="G1519" s="7" t="str">
        <f aca="false">_xlfn.XLOOKUP(D1519,Catalog!$B$2:$B$4102,Catalog!$A$2:$A$4102,"NOT IN CATALOG")</f>
        <v>POSTAGE</v>
      </c>
      <c r="H1519" s="7" t="n">
        <f aca="false">_xlfn.IFNA(VLOOKUP(D1519,Catalog!$B$2:$C$4102,2,FALSE()),"")</f>
        <v>18</v>
      </c>
      <c r="I1519" s="7" t="str">
        <f aca="false">HLOOKUP(C1519,Regions!$B$1:$S$2,2,FALSE())</f>
        <v>EU</v>
      </c>
      <c r="J1519" s="7" t="n">
        <f aca="false">E1519*F1519</f>
        <v>18</v>
      </c>
      <c r="K1519" s="8" t="n">
        <f aca="false">IF(H1519="","",1-F1519/H1519)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4" t="s">
        <v>23</v>
      </c>
      <c r="B1" s="4" t="s">
        <v>20</v>
      </c>
      <c r="C1" s="4" t="s">
        <v>24</v>
      </c>
    </row>
    <row r="2" customFormat="false" ht="15" hidden="false" customHeight="false" outlineLevel="0" collapsed="false">
      <c r="A2" s="0" t="s">
        <v>906</v>
      </c>
      <c r="B2" s="0" t="s">
        <v>907</v>
      </c>
      <c r="C2" s="0" t="n">
        <v>16.98</v>
      </c>
    </row>
    <row r="3" customFormat="false" ht="15" hidden="false" customHeight="false" outlineLevel="0" collapsed="false">
      <c r="A3" s="0" t="s">
        <v>908</v>
      </c>
      <c r="B3" s="0" t="s">
        <v>909</v>
      </c>
      <c r="C3" s="0" t="n">
        <v>8.65</v>
      </c>
    </row>
    <row r="4" customFormat="false" ht="15" hidden="false" customHeight="false" outlineLevel="0" collapsed="false">
      <c r="A4" s="0" t="s">
        <v>910</v>
      </c>
      <c r="B4" s="0" t="s">
        <v>911</v>
      </c>
      <c r="C4" s="0" t="n">
        <v>8.65</v>
      </c>
    </row>
    <row r="5" customFormat="false" ht="15" hidden="false" customHeight="false" outlineLevel="0" collapsed="false">
      <c r="A5" s="0" t="s">
        <v>912</v>
      </c>
      <c r="B5" s="0" t="s">
        <v>913</v>
      </c>
      <c r="C5" s="0" t="n">
        <v>0.85</v>
      </c>
    </row>
    <row r="6" customFormat="false" ht="15" hidden="false" customHeight="false" outlineLevel="0" collapsed="false">
      <c r="A6" s="0" t="s">
        <v>914</v>
      </c>
      <c r="B6" s="0" t="s">
        <v>915</v>
      </c>
      <c r="C6" s="0" t="n">
        <v>2.1</v>
      </c>
    </row>
    <row r="7" customFormat="false" ht="15" hidden="false" customHeight="false" outlineLevel="0" collapsed="false">
      <c r="A7" s="0" t="s">
        <v>916</v>
      </c>
      <c r="B7" s="0" t="s">
        <v>917</v>
      </c>
      <c r="C7" s="0" t="n">
        <v>0.65</v>
      </c>
    </row>
    <row r="8" customFormat="false" ht="15" hidden="false" customHeight="false" outlineLevel="0" collapsed="false">
      <c r="A8" s="0" t="s">
        <v>918</v>
      </c>
      <c r="B8" s="0" t="s">
        <v>919</v>
      </c>
      <c r="C8" s="0" t="n">
        <v>1.65</v>
      </c>
    </row>
    <row r="9" customFormat="false" ht="15" hidden="false" customHeight="false" outlineLevel="0" collapsed="false">
      <c r="A9" s="0" t="s">
        <v>920</v>
      </c>
      <c r="B9" s="0" t="s">
        <v>832</v>
      </c>
      <c r="C9" s="0" t="n">
        <v>12.75</v>
      </c>
    </row>
    <row r="10" customFormat="false" ht="15" hidden="false" customHeight="false" outlineLevel="0" collapsed="false">
      <c r="A10" s="0" t="s">
        <v>921</v>
      </c>
      <c r="B10" s="0" t="s">
        <v>922</v>
      </c>
      <c r="C10" s="0" t="n">
        <v>1.25</v>
      </c>
    </row>
    <row r="11" customFormat="false" ht="15" hidden="false" customHeight="false" outlineLevel="0" collapsed="false">
      <c r="A11" s="0" t="s">
        <v>923</v>
      </c>
      <c r="B11" s="0" t="s">
        <v>924</v>
      </c>
      <c r="C11" s="0" t="n">
        <v>1.65</v>
      </c>
    </row>
    <row r="12" customFormat="false" ht="15" hidden="false" customHeight="false" outlineLevel="0" collapsed="false">
      <c r="A12" s="0" t="s">
        <v>925</v>
      </c>
      <c r="B12" s="0" t="s">
        <v>926</v>
      </c>
      <c r="C12" s="0" t="n">
        <v>1.25</v>
      </c>
    </row>
    <row r="13" customFormat="false" ht="15" hidden="false" customHeight="false" outlineLevel="0" collapsed="false">
      <c r="A13" s="0" t="s">
        <v>927</v>
      </c>
      <c r="B13" s="0" t="s">
        <v>51</v>
      </c>
      <c r="C13" s="0" t="n">
        <v>0.65</v>
      </c>
    </row>
    <row r="14" customFormat="false" ht="15" hidden="false" customHeight="false" outlineLevel="0" collapsed="false">
      <c r="A14" s="0" t="s">
        <v>928</v>
      </c>
      <c r="B14" s="0" t="s">
        <v>929</v>
      </c>
      <c r="C14" s="0" t="n">
        <v>0.65</v>
      </c>
    </row>
    <row r="15" customFormat="false" ht="15" hidden="false" customHeight="false" outlineLevel="0" collapsed="false">
      <c r="A15" s="0" t="s">
        <v>930</v>
      </c>
      <c r="B15" s="0" t="s">
        <v>397</v>
      </c>
      <c r="C15" s="0" t="n">
        <v>0.65</v>
      </c>
    </row>
    <row r="16" customFormat="false" ht="15" hidden="false" customHeight="false" outlineLevel="0" collapsed="false">
      <c r="A16" s="0" t="s">
        <v>931</v>
      </c>
      <c r="B16" s="0" t="s">
        <v>932</v>
      </c>
      <c r="C16" s="0" t="n">
        <v>0.65</v>
      </c>
    </row>
    <row r="17" customFormat="false" ht="15" hidden="false" customHeight="false" outlineLevel="0" collapsed="false">
      <c r="A17" s="0" t="s">
        <v>933</v>
      </c>
      <c r="B17" s="0" t="s">
        <v>934</v>
      </c>
      <c r="C17" s="0" t="n">
        <v>0.85</v>
      </c>
    </row>
    <row r="18" customFormat="false" ht="15" hidden="false" customHeight="false" outlineLevel="0" collapsed="false">
      <c r="A18" s="0" t="s">
        <v>935</v>
      </c>
      <c r="B18" s="0" t="s">
        <v>500</v>
      </c>
      <c r="C18" s="0" t="n">
        <v>0.85</v>
      </c>
    </row>
    <row r="19" customFormat="false" ht="15" hidden="false" customHeight="false" outlineLevel="0" collapsed="false">
      <c r="A19" s="0" t="s">
        <v>936</v>
      </c>
      <c r="B19" s="0" t="s">
        <v>501</v>
      </c>
      <c r="C19" s="0" t="n">
        <v>0.85</v>
      </c>
    </row>
    <row r="20" customFormat="false" ht="15" hidden="false" customHeight="false" outlineLevel="0" collapsed="false">
      <c r="A20" s="0" t="s">
        <v>937</v>
      </c>
      <c r="B20" s="0" t="s">
        <v>938</v>
      </c>
      <c r="C20" s="0" t="n">
        <v>0.85</v>
      </c>
    </row>
    <row r="21" customFormat="false" ht="15" hidden="false" customHeight="false" outlineLevel="0" collapsed="false">
      <c r="A21" s="0" t="s">
        <v>939</v>
      </c>
      <c r="B21" s="0" t="s">
        <v>940</v>
      </c>
      <c r="C21" s="0" t="n">
        <v>2.55</v>
      </c>
    </row>
    <row r="22" customFormat="false" ht="15" hidden="false" customHeight="false" outlineLevel="0" collapsed="false">
      <c r="A22" s="0" t="s">
        <v>941</v>
      </c>
      <c r="B22" s="0" t="s">
        <v>942</v>
      </c>
      <c r="C22" s="0" t="n">
        <v>1.25</v>
      </c>
    </row>
    <row r="23" customFormat="false" ht="15" hidden="false" customHeight="false" outlineLevel="0" collapsed="false">
      <c r="A23" s="0" t="s">
        <v>943</v>
      </c>
      <c r="B23" s="0" t="s">
        <v>944</v>
      </c>
      <c r="C23" s="0" t="n">
        <v>1.25</v>
      </c>
    </row>
    <row r="24" customFormat="false" ht="15" hidden="false" customHeight="false" outlineLevel="0" collapsed="false">
      <c r="A24" s="0" t="s">
        <v>945</v>
      </c>
      <c r="B24" s="0" t="s">
        <v>946</v>
      </c>
      <c r="C24" s="0" t="n">
        <v>2.95</v>
      </c>
    </row>
    <row r="25" customFormat="false" ht="15" hidden="false" customHeight="false" outlineLevel="0" collapsed="false">
      <c r="A25" s="0" t="s">
        <v>947</v>
      </c>
      <c r="B25" s="0" t="s">
        <v>948</v>
      </c>
      <c r="C25" s="0" t="n">
        <v>7.95</v>
      </c>
    </row>
    <row r="26" customFormat="false" ht="15" hidden="false" customHeight="false" outlineLevel="0" collapsed="false">
      <c r="A26" s="0" t="s">
        <v>949</v>
      </c>
      <c r="B26" s="0" t="s">
        <v>950</v>
      </c>
      <c r="C26" s="0" t="n">
        <v>2.96</v>
      </c>
    </row>
    <row r="27" customFormat="false" ht="15" hidden="false" customHeight="false" outlineLevel="0" collapsed="false">
      <c r="A27" s="0" t="s">
        <v>951</v>
      </c>
      <c r="B27" s="0" t="s">
        <v>952</v>
      </c>
      <c r="C27" s="0" t="n">
        <v>1.25</v>
      </c>
    </row>
    <row r="28" customFormat="false" ht="15" hidden="false" customHeight="false" outlineLevel="0" collapsed="false">
      <c r="A28" s="0" t="s">
        <v>953</v>
      </c>
      <c r="B28" s="0" t="s">
        <v>954</v>
      </c>
      <c r="C28" s="0" t="n">
        <v>1.25</v>
      </c>
    </row>
    <row r="29" customFormat="false" ht="15" hidden="false" customHeight="false" outlineLevel="0" collapsed="false">
      <c r="A29" s="0" t="s">
        <v>955</v>
      </c>
      <c r="B29" s="0" t="s">
        <v>956</v>
      </c>
      <c r="C29" s="0" t="n">
        <v>1.25</v>
      </c>
    </row>
    <row r="30" customFormat="false" ht="15" hidden="false" customHeight="false" outlineLevel="0" collapsed="false">
      <c r="A30" s="0" t="s">
        <v>957</v>
      </c>
      <c r="B30" s="0" t="s">
        <v>668</v>
      </c>
      <c r="C30" s="0" t="n">
        <v>1.25</v>
      </c>
    </row>
    <row r="31" customFormat="false" ht="15" hidden="false" customHeight="false" outlineLevel="0" collapsed="false">
      <c r="A31" s="0" t="s">
        <v>958</v>
      </c>
      <c r="B31" s="0" t="s">
        <v>959</v>
      </c>
      <c r="C31" s="0" t="n">
        <v>1.25</v>
      </c>
    </row>
    <row r="32" customFormat="false" ht="15" hidden="false" customHeight="false" outlineLevel="0" collapsed="false">
      <c r="A32" s="0" t="s">
        <v>960</v>
      </c>
      <c r="B32" s="0" t="s">
        <v>961</v>
      </c>
      <c r="C32" s="0" t="n">
        <v>1.25</v>
      </c>
    </row>
    <row r="33" customFormat="false" ht="15" hidden="false" customHeight="false" outlineLevel="0" collapsed="false">
      <c r="A33" s="0" t="s">
        <v>962</v>
      </c>
      <c r="B33" s="0" t="s">
        <v>963</v>
      </c>
      <c r="C33" s="0" t="n">
        <v>3.75</v>
      </c>
    </row>
    <row r="34" customFormat="false" ht="15" hidden="false" customHeight="false" outlineLevel="0" collapsed="false">
      <c r="A34" s="0" t="s">
        <v>964</v>
      </c>
      <c r="B34" s="0" t="s">
        <v>965</v>
      </c>
      <c r="C34" s="0" t="n">
        <v>1.65</v>
      </c>
    </row>
    <row r="35" customFormat="false" ht="15" hidden="false" customHeight="false" outlineLevel="0" collapsed="false">
      <c r="A35" s="0" t="s">
        <v>966</v>
      </c>
      <c r="B35" s="0" t="s">
        <v>967</v>
      </c>
      <c r="C35" s="0" t="n">
        <v>0.19</v>
      </c>
    </row>
    <row r="36" customFormat="false" ht="15" hidden="false" customHeight="false" outlineLevel="0" collapsed="false">
      <c r="A36" s="0" t="s">
        <v>968</v>
      </c>
      <c r="B36" s="0" t="s">
        <v>969</v>
      </c>
      <c r="C36" s="0" t="n">
        <v>4.25</v>
      </c>
    </row>
    <row r="37" customFormat="false" ht="15" hidden="false" customHeight="false" outlineLevel="0" collapsed="false">
      <c r="A37" s="0" t="s">
        <v>970</v>
      </c>
      <c r="B37" s="0" t="s">
        <v>971</v>
      </c>
      <c r="C37" s="0" t="n">
        <v>2.95</v>
      </c>
    </row>
    <row r="38" customFormat="false" ht="15" hidden="false" customHeight="false" outlineLevel="0" collapsed="false">
      <c r="A38" s="0" t="s">
        <v>972</v>
      </c>
      <c r="B38" s="0" t="s">
        <v>827</v>
      </c>
      <c r="C38" s="0" t="n">
        <v>8.5</v>
      </c>
    </row>
    <row r="39" customFormat="false" ht="15" hidden="false" customHeight="false" outlineLevel="0" collapsed="false">
      <c r="A39" s="0" t="s">
        <v>973</v>
      </c>
      <c r="B39" s="0" t="s">
        <v>215</v>
      </c>
      <c r="C39" s="0" t="n">
        <v>2.1</v>
      </c>
    </row>
    <row r="40" customFormat="false" ht="15" hidden="false" customHeight="false" outlineLevel="0" collapsed="false">
      <c r="A40" s="0" t="s">
        <v>974</v>
      </c>
      <c r="B40" s="0" t="s">
        <v>975</v>
      </c>
      <c r="C40" s="0" t="n">
        <v>1.25</v>
      </c>
    </row>
    <row r="41" customFormat="false" ht="15" hidden="false" customHeight="false" outlineLevel="0" collapsed="false">
      <c r="A41" s="0" t="s">
        <v>976</v>
      </c>
      <c r="B41" s="0" t="s">
        <v>42</v>
      </c>
      <c r="C41" s="0" t="n">
        <v>4.25</v>
      </c>
    </row>
    <row r="42" customFormat="false" ht="15" hidden="false" customHeight="false" outlineLevel="0" collapsed="false">
      <c r="A42" s="0" t="s">
        <v>977</v>
      </c>
      <c r="B42" s="0" t="s">
        <v>978</v>
      </c>
      <c r="C42" s="0" t="n">
        <v>1.95</v>
      </c>
    </row>
    <row r="43" customFormat="false" ht="15" hidden="false" customHeight="false" outlineLevel="0" collapsed="false">
      <c r="A43" s="0" t="s">
        <v>979</v>
      </c>
      <c r="B43" s="0" t="s">
        <v>980</v>
      </c>
      <c r="C43" s="0" t="n">
        <v>14.95</v>
      </c>
    </row>
    <row r="44" customFormat="false" ht="15" hidden="false" customHeight="false" outlineLevel="0" collapsed="false">
      <c r="A44" s="0" t="s">
        <v>981</v>
      </c>
      <c r="B44" s="0" t="s">
        <v>982</v>
      </c>
      <c r="C44" s="0" t="n">
        <v>14.95</v>
      </c>
    </row>
    <row r="45" customFormat="false" ht="15" hidden="false" customHeight="false" outlineLevel="0" collapsed="false">
      <c r="A45" s="0" t="s">
        <v>983</v>
      </c>
      <c r="B45" s="0" t="s">
        <v>984</v>
      </c>
      <c r="C45" s="0" t="n">
        <v>35.95</v>
      </c>
    </row>
    <row r="46" customFormat="false" ht="15" hidden="false" customHeight="false" outlineLevel="0" collapsed="false">
      <c r="A46" s="0" t="s">
        <v>985</v>
      </c>
      <c r="B46" s="0" t="s">
        <v>986</v>
      </c>
      <c r="C46" s="0" t="n">
        <v>2.1</v>
      </c>
    </row>
    <row r="47" customFormat="false" ht="15" hidden="false" customHeight="false" outlineLevel="0" collapsed="false">
      <c r="A47" s="0" t="s">
        <v>987</v>
      </c>
      <c r="B47" s="0" t="s">
        <v>751</v>
      </c>
      <c r="C47" s="0" t="n">
        <v>4.25</v>
      </c>
    </row>
    <row r="48" customFormat="false" ht="15" hidden="false" customHeight="false" outlineLevel="0" collapsed="false">
      <c r="A48" s="0" t="s">
        <v>988</v>
      </c>
      <c r="B48" s="0" t="s">
        <v>989</v>
      </c>
      <c r="C48" s="0" t="n">
        <v>3.75</v>
      </c>
    </row>
    <row r="49" customFormat="false" ht="15" hidden="false" customHeight="false" outlineLevel="0" collapsed="false">
      <c r="A49" s="0" t="s">
        <v>990</v>
      </c>
      <c r="B49" s="0" t="s">
        <v>991</v>
      </c>
      <c r="C49" s="0" t="n">
        <v>1.45</v>
      </c>
    </row>
    <row r="50" customFormat="false" ht="15" hidden="false" customHeight="false" outlineLevel="0" collapsed="false">
      <c r="A50" s="0" t="s">
        <v>992</v>
      </c>
      <c r="B50" s="0" t="s">
        <v>217</v>
      </c>
      <c r="C50" s="0" t="n">
        <v>1.45</v>
      </c>
    </row>
    <row r="51" customFormat="false" ht="15" hidden="false" customHeight="false" outlineLevel="0" collapsed="false">
      <c r="A51" s="0" t="s">
        <v>993</v>
      </c>
      <c r="B51" s="0" t="s">
        <v>994</v>
      </c>
      <c r="C51" s="0" t="n">
        <v>1.45</v>
      </c>
    </row>
    <row r="52" customFormat="false" ht="15" hidden="false" customHeight="false" outlineLevel="0" collapsed="false">
      <c r="A52" s="0" t="s">
        <v>995</v>
      </c>
      <c r="B52" s="0" t="s">
        <v>996</v>
      </c>
      <c r="C52" s="0" t="n">
        <v>2.1</v>
      </c>
    </row>
    <row r="53" customFormat="false" ht="15" hidden="false" customHeight="false" outlineLevel="0" collapsed="false">
      <c r="A53" s="0" t="s">
        <v>997</v>
      </c>
      <c r="B53" s="0" t="s">
        <v>998</v>
      </c>
      <c r="C53" s="0" t="n">
        <v>2.1</v>
      </c>
    </row>
    <row r="54" customFormat="false" ht="15" hidden="false" customHeight="false" outlineLevel="0" collapsed="false">
      <c r="A54" s="0" t="s">
        <v>999</v>
      </c>
      <c r="B54" s="0" t="s">
        <v>1000</v>
      </c>
      <c r="C54" s="0" t="n">
        <v>1.25</v>
      </c>
    </row>
    <row r="55" customFormat="false" ht="15" hidden="false" customHeight="false" outlineLevel="0" collapsed="false">
      <c r="A55" s="0" t="s">
        <v>1001</v>
      </c>
      <c r="B55" s="0" t="s">
        <v>1002</v>
      </c>
      <c r="C55" s="0" t="n">
        <v>1.25</v>
      </c>
    </row>
    <row r="56" customFormat="false" ht="15" hidden="false" customHeight="false" outlineLevel="0" collapsed="false">
      <c r="A56" s="0" t="s">
        <v>1003</v>
      </c>
      <c r="B56" s="0" t="s">
        <v>1004</v>
      </c>
      <c r="C56" s="0" t="n">
        <v>1.25</v>
      </c>
    </row>
    <row r="57" customFormat="false" ht="15" hidden="false" customHeight="false" outlineLevel="0" collapsed="false">
      <c r="A57" s="0" t="s">
        <v>1005</v>
      </c>
      <c r="B57" s="0" t="s">
        <v>1006</v>
      </c>
      <c r="C57" s="0" t="n">
        <v>1.25</v>
      </c>
    </row>
    <row r="58" customFormat="false" ht="15" hidden="false" customHeight="false" outlineLevel="0" collapsed="false">
      <c r="A58" s="0" t="s">
        <v>1007</v>
      </c>
      <c r="B58" s="0" t="s">
        <v>1008</v>
      </c>
      <c r="C58" s="0" t="n">
        <v>1.25</v>
      </c>
    </row>
    <row r="59" customFormat="false" ht="15" hidden="false" customHeight="false" outlineLevel="0" collapsed="false">
      <c r="A59" s="0" t="s">
        <v>1009</v>
      </c>
      <c r="B59" s="0" t="s">
        <v>1010</v>
      </c>
      <c r="C59" s="0" t="n">
        <v>2.95</v>
      </c>
    </row>
    <row r="60" customFormat="false" ht="15" hidden="false" customHeight="false" outlineLevel="0" collapsed="false">
      <c r="A60" s="0" t="s">
        <v>1011</v>
      </c>
      <c r="B60" s="0" t="s">
        <v>1012</v>
      </c>
      <c r="C60" s="0" t="n">
        <v>2.95</v>
      </c>
    </row>
    <row r="61" customFormat="false" ht="15" hidden="false" customHeight="false" outlineLevel="0" collapsed="false">
      <c r="A61" s="0" t="s">
        <v>1013</v>
      </c>
      <c r="B61" s="0" t="s">
        <v>1014</v>
      </c>
      <c r="C61" s="0" t="n">
        <v>0.85</v>
      </c>
    </row>
    <row r="62" customFormat="false" ht="15" hidden="false" customHeight="false" outlineLevel="0" collapsed="false">
      <c r="A62" s="0" t="s">
        <v>1015</v>
      </c>
      <c r="B62" s="0" t="s">
        <v>1016</v>
      </c>
      <c r="C62" s="0" t="n">
        <v>0.85</v>
      </c>
    </row>
    <row r="63" customFormat="false" ht="15" hidden="false" customHeight="false" outlineLevel="0" collapsed="false">
      <c r="A63" s="0" t="s">
        <v>1017</v>
      </c>
      <c r="B63" s="0" t="s">
        <v>1018</v>
      </c>
      <c r="C63" s="0" t="n">
        <v>0.85</v>
      </c>
    </row>
    <row r="64" customFormat="false" ht="15" hidden="false" customHeight="false" outlineLevel="0" collapsed="false">
      <c r="A64" s="0" t="s">
        <v>1019</v>
      </c>
      <c r="B64" s="0" t="s">
        <v>1020</v>
      </c>
      <c r="C64" s="0" t="n">
        <v>1.25</v>
      </c>
    </row>
    <row r="65" customFormat="false" ht="15" hidden="false" customHeight="false" outlineLevel="0" collapsed="false">
      <c r="A65" s="0" t="s">
        <v>1021</v>
      </c>
      <c r="B65" s="0" t="s">
        <v>1022</v>
      </c>
      <c r="C65" s="0" t="n">
        <v>1.25</v>
      </c>
    </row>
    <row r="66" customFormat="false" ht="15" hidden="false" customHeight="false" outlineLevel="0" collapsed="false">
      <c r="A66" s="0" t="s">
        <v>1023</v>
      </c>
      <c r="B66" s="0" t="s">
        <v>1024</v>
      </c>
      <c r="C66" s="0" t="n">
        <v>1.25</v>
      </c>
    </row>
    <row r="67" customFormat="false" ht="15" hidden="false" customHeight="false" outlineLevel="0" collapsed="false">
      <c r="A67" s="0" t="s">
        <v>1025</v>
      </c>
      <c r="B67" s="0" t="s">
        <v>1026</v>
      </c>
      <c r="C67" s="0" t="n">
        <v>1.25</v>
      </c>
    </row>
    <row r="68" customFormat="false" ht="15" hidden="false" customHeight="false" outlineLevel="0" collapsed="false">
      <c r="A68" s="0" t="s">
        <v>1027</v>
      </c>
      <c r="B68" s="0" t="s">
        <v>1028</v>
      </c>
      <c r="C68" s="0" t="n">
        <v>2.55</v>
      </c>
    </row>
    <row r="69" customFormat="false" ht="15" hidden="false" customHeight="false" outlineLevel="0" collapsed="false">
      <c r="A69" s="0" t="s">
        <v>1029</v>
      </c>
      <c r="B69" s="0" t="s">
        <v>521</v>
      </c>
      <c r="C69" s="0" t="n">
        <v>2.55</v>
      </c>
    </row>
    <row r="70" customFormat="false" ht="15" hidden="false" customHeight="false" outlineLevel="0" collapsed="false">
      <c r="A70" s="0" t="s">
        <v>1030</v>
      </c>
      <c r="B70" s="0" t="s">
        <v>1031</v>
      </c>
      <c r="C70" s="0" t="n">
        <v>3.75</v>
      </c>
    </row>
    <row r="71" customFormat="false" ht="15" hidden="false" customHeight="false" outlineLevel="0" collapsed="false">
      <c r="A71" s="0" t="s">
        <v>1032</v>
      </c>
      <c r="B71" s="0" t="s">
        <v>1033</v>
      </c>
      <c r="C71" s="0" t="n">
        <v>3.75</v>
      </c>
    </row>
    <row r="72" customFormat="false" ht="15" hidden="false" customHeight="false" outlineLevel="0" collapsed="false">
      <c r="A72" s="0" t="s">
        <v>1034</v>
      </c>
      <c r="B72" s="0" t="s">
        <v>1035</v>
      </c>
      <c r="C72" s="0" t="n">
        <v>3.75</v>
      </c>
    </row>
    <row r="73" customFormat="false" ht="15" hidden="false" customHeight="false" outlineLevel="0" collapsed="false">
      <c r="A73" s="0" t="s">
        <v>1036</v>
      </c>
      <c r="B73" s="0" t="s">
        <v>1037</v>
      </c>
      <c r="C73" s="0" t="n">
        <v>1.25</v>
      </c>
    </row>
    <row r="74" customFormat="false" ht="15" hidden="false" customHeight="false" outlineLevel="0" collapsed="false">
      <c r="A74" s="0" t="s">
        <v>1038</v>
      </c>
      <c r="B74" s="0" t="s">
        <v>150</v>
      </c>
      <c r="C74" s="0" t="n">
        <v>1.25</v>
      </c>
    </row>
    <row r="75" customFormat="false" ht="15" hidden="false" customHeight="false" outlineLevel="0" collapsed="false">
      <c r="A75" s="0" t="s">
        <v>1039</v>
      </c>
      <c r="B75" s="0" t="s">
        <v>1040</v>
      </c>
      <c r="C75" s="0" t="n">
        <v>3.75</v>
      </c>
    </row>
    <row r="76" customFormat="false" ht="15" hidden="false" customHeight="false" outlineLevel="0" collapsed="false">
      <c r="A76" s="0" t="s">
        <v>1041</v>
      </c>
      <c r="B76" s="0" t="s">
        <v>1042</v>
      </c>
      <c r="C76" s="0" t="n">
        <v>3.75</v>
      </c>
    </row>
    <row r="77" customFormat="false" ht="15" hidden="false" customHeight="false" outlineLevel="0" collapsed="false">
      <c r="A77" s="0" t="s">
        <v>1043</v>
      </c>
      <c r="B77" s="0" t="s">
        <v>1044</v>
      </c>
      <c r="C77" s="0" t="n">
        <v>9.95</v>
      </c>
    </row>
    <row r="78" customFormat="false" ht="15" hidden="false" customHeight="false" outlineLevel="0" collapsed="false">
      <c r="A78" s="0" t="s">
        <v>1045</v>
      </c>
      <c r="B78" s="0" t="s">
        <v>1046</v>
      </c>
      <c r="C78" s="0" t="n">
        <v>6.35</v>
      </c>
    </row>
    <row r="79" customFormat="false" ht="15" hidden="false" customHeight="false" outlineLevel="0" collapsed="false">
      <c r="A79" s="0" t="s">
        <v>1047</v>
      </c>
      <c r="B79" s="0" t="s">
        <v>1048</v>
      </c>
      <c r="C79" s="0" t="n">
        <v>6.35</v>
      </c>
    </row>
    <row r="80" customFormat="false" ht="15" hidden="false" customHeight="false" outlineLevel="0" collapsed="false">
      <c r="A80" s="0" t="s">
        <v>1049</v>
      </c>
      <c r="B80" s="0" t="s">
        <v>1050</v>
      </c>
      <c r="C80" s="0" t="n">
        <v>6.35</v>
      </c>
    </row>
    <row r="81" customFormat="false" ht="15" hidden="false" customHeight="false" outlineLevel="0" collapsed="false">
      <c r="A81" s="0" t="s">
        <v>1051</v>
      </c>
      <c r="B81" s="0" t="s">
        <v>1052</v>
      </c>
      <c r="C81" s="0" t="n">
        <v>6.35</v>
      </c>
    </row>
    <row r="82" customFormat="false" ht="15" hidden="false" customHeight="false" outlineLevel="0" collapsed="false">
      <c r="A82" s="0" t="s">
        <v>1053</v>
      </c>
      <c r="B82" s="0" t="s">
        <v>1054</v>
      </c>
      <c r="C82" s="0" t="n">
        <v>0.85</v>
      </c>
    </row>
    <row r="83" customFormat="false" ht="15" hidden="false" customHeight="false" outlineLevel="0" collapsed="false">
      <c r="A83" s="0" t="s">
        <v>1055</v>
      </c>
      <c r="B83" s="0" t="s">
        <v>1056</v>
      </c>
      <c r="C83" s="0" t="n">
        <v>2.1</v>
      </c>
    </row>
    <row r="84" customFormat="false" ht="15" hidden="false" customHeight="false" outlineLevel="0" collapsed="false">
      <c r="A84" s="0" t="s">
        <v>1057</v>
      </c>
      <c r="B84" s="0" t="s">
        <v>1058</v>
      </c>
      <c r="C84" s="0" t="n">
        <v>1.25</v>
      </c>
    </row>
    <row r="85" customFormat="false" ht="15" hidden="false" customHeight="false" outlineLevel="0" collapsed="false">
      <c r="A85" s="0" t="s">
        <v>1059</v>
      </c>
      <c r="B85" s="0" t="s">
        <v>631</v>
      </c>
      <c r="C85" s="0" t="n">
        <v>7.95</v>
      </c>
    </row>
    <row r="86" customFormat="false" ht="15" hidden="false" customHeight="false" outlineLevel="0" collapsed="false">
      <c r="A86" s="0" t="s">
        <v>1060</v>
      </c>
      <c r="B86" s="0" t="s">
        <v>1061</v>
      </c>
      <c r="C86" s="0" t="n">
        <v>8.49</v>
      </c>
    </row>
    <row r="87" customFormat="false" ht="15" hidden="false" customHeight="false" outlineLevel="0" collapsed="false">
      <c r="A87" s="0" t="s">
        <v>1062</v>
      </c>
      <c r="B87" s="0" t="s">
        <v>1063</v>
      </c>
      <c r="C87" s="0" t="n">
        <v>1.95</v>
      </c>
    </row>
    <row r="88" customFormat="false" ht="15" hidden="false" customHeight="false" outlineLevel="0" collapsed="false">
      <c r="A88" s="0" t="s">
        <v>1064</v>
      </c>
      <c r="B88" s="0" t="s">
        <v>1065</v>
      </c>
      <c r="C88" s="0" t="n">
        <v>1.66</v>
      </c>
    </row>
    <row r="89" customFormat="false" ht="15" hidden="false" customHeight="false" outlineLevel="0" collapsed="false">
      <c r="A89" s="0" t="s">
        <v>1066</v>
      </c>
      <c r="B89" s="0" t="s">
        <v>804</v>
      </c>
      <c r="C89" s="0" t="n">
        <v>1.65</v>
      </c>
    </row>
    <row r="90" customFormat="false" ht="15" hidden="false" customHeight="false" outlineLevel="0" collapsed="false">
      <c r="A90" s="0" t="s">
        <v>1067</v>
      </c>
      <c r="B90" s="0" t="s">
        <v>1068</v>
      </c>
      <c r="C90" s="0" t="n">
        <v>1.65</v>
      </c>
    </row>
    <row r="91" customFormat="false" ht="15" hidden="false" customHeight="false" outlineLevel="0" collapsed="false">
      <c r="A91" s="0" t="s">
        <v>1069</v>
      </c>
      <c r="B91" s="0" t="s">
        <v>790</v>
      </c>
      <c r="C91" s="0" t="n">
        <v>1.65</v>
      </c>
    </row>
    <row r="92" customFormat="false" ht="15" hidden="false" customHeight="false" outlineLevel="0" collapsed="false">
      <c r="A92" s="0" t="s">
        <v>1070</v>
      </c>
      <c r="B92" s="0" t="s">
        <v>805</v>
      </c>
      <c r="C92" s="0" t="n">
        <v>1.65</v>
      </c>
    </row>
    <row r="93" customFormat="false" ht="15" hidden="false" customHeight="false" outlineLevel="0" collapsed="false">
      <c r="A93" s="0" t="s">
        <v>1071</v>
      </c>
      <c r="B93" s="0" t="s">
        <v>1072</v>
      </c>
      <c r="C93" s="0" t="n">
        <v>0.65</v>
      </c>
    </row>
    <row r="94" customFormat="false" ht="15" hidden="false" customHeight="false" outlineLevel="0" collapsed="false">
      <c r="A94" s="0" t="s">
        <v>1073</v>
      </c>
      <c r="B94" s="0" t="s">
        <v>1074</v>
      </c>
      <c r="C94" s="0" t="n">
        <v>7.95</v>
      </c>
    </row>
    <row r="95" customFormat="false" ht="15" hidden="false" customHeight="false" outlineLevel="0" collapsed="false">
      <c r="A95" s="0" t="s">
        <v>1075</v>
      </c>
      <c r="B95" s="0" t="s">
        <v>220</v>
      </c>
      <c r="C95" s="0" t="n">
        <v>0.55</v>
      </c>
    </row>
    <row r="96" customFormat="false" ht="15" hidden="false" customHeight="false" outlineLevel="0" collapsed="false">
      <c r="A96" s="0" t="s">
        <v>1076</v>
      </c>
      <c r="B96" s="0" t="s">
        <v>1077</v>
      </c>
      <c r="C96" s="0" t="n">
        <v>0.55</v>
      </c>
    </row>
    <row r="97" customFormat="false" ht="15" hidden="false" customHeight="false" outlineLevel="0" collapsed="false">
      <c r="A97" s="0" t="s">
        <v>1078</v>
      </c>
      <c r="B97" s="0" t="s">
        <v>1079</v>
      </c>
      <c r="C97" s="0" t="n">
        <v>0.55</v>
      </c>
    </row>
    <row r="98" customFormat="false" ht="15" hidden="false" customHeight="false" outlineLevel="0" collapsed="false">
      <c r="A98" s="0" t="s">
        <v>1080</v>
      </c>
      <c r="B98" s="0" t="s">
        <v>624</v>
      </c>
      <c r="C98" s="0" t="n">
        <v>0.55</v>
      </c>
    </row>
    <row r="99" customFormat="false" ht="15" hidden="false" customHeight="false" outlineLevel="0" collapsed="false">
      <c r="A99" s="0" t="s">
        <v>1081</v>
      </c>
      <c r="B99" s="0" t="s">
        <v>1082</v>
      </c>
      <c r="C99" s="0" t="n">
        <v>1.45</v>
      </c>
    </row>
    <row r="100" customFormat="false" ht="15" hidden="false" customHeight="false" outlineLevel="0" collapsed="false">
      <c r="A100" s="0" t="s">
        <v>1083</v>
      </c>
      <c r="B100" s="0" t="s">
        <v>219</v>
      </c>
      <c r="C100" s="0" t="n">
        <v>0.55</v>
      </c>
    </row>
    <row r="101" customFormat="false" ht="15" hidden="false" customHeight="false" outlineLevel="0" collapsed="false">
      <c r="A101" s="0" t="s">
        <v>1084</v>
      </c>
      <c r="B101" s="0" t="s">
        <v>1085</v>
      </c>
      <c r="C101" s="0" t="n">
        <v>0.55</v>
      </c>
    </row>
    <row r="102" customFormat="false" ht="15" hidden="false" customHeight="false" outlineLevel="0" collapsed="false">
      <c r="A102" s="0" t="s">
        <v>1086</v>
      </c>
      <c r="B102" s="0" t="s">
        <v>1087</v>
      </c>
      <c r="C102" s="0" t="n">
        <v>0.42</v>
      </c>
    </row>
    <row r="103" customFormat="false" ht="15" hidden="false" customHeight="false" outlineLevel="0" collapsed="false">
      <c r="A103" s="0" t="s">
        <v>1088</v>
      </c>
      <c r="B103" s="0" t="s">
        <v>1089</v>
      </c>
      <c r="C103" s="0" t="n">
        <v>0.55</v>
      </c>
    </row>
    <row r="104" customFormat="false" ht="15" hidden="false" customHeight="false" outlineLevel="0" collapsed="false">
      <c r="A104" s="0" t="s">
        <v>1090</v>
      </c>
      <c r="B104" s="0" t="s">
        <v>623</v>
      </c>
      <c r="C104" s="0" t="n">
        <v>0.42</v>
      </c>
    </row>
    <row r="105" customFormat="false" ht="15" hidden="false" customHeight="false" outlineLevel="0" collapsed="false">
      <c r="A105" s="0" t="s">
        <v>1091</v>
      </c>
      <c r="B105" s="0" t="s">
        <v>1092</v>
      </c>
      <c r="C105" s="0" t="n">
        <v>1.49</v>
      </c>
    </row>
    <row r="106" customFormat="false" ht="15" hidden="false" customHeight="false" outlineLevel="0" collapsed="false">
      <c r="A106" s="0" t="s">
        <v>1093</v>
      </c>
      <c r="B106" s="0" t="s">
        <v>1094</v>
      </c>
      <c r="C106" s="0" t="n">
        <v>0.65</v>
      </c>
    </row>
    <row r="107" customFormat="false" ht="15" hidden="false" customHeight="false" outlineLevel="0" collapsed="false">
      <c r="A107" s="0" t="s">
        <v>1095</v>
      </c>
      <c r="B107" s="0" t="s">
        <v>1096</v>
      </c>
      <c r="C107" s="0" t="n">
        <v>2.55</v>
      </c>
    </row>
    <row r="108" customFormat="false" ht="15" hidden="false" customHeight="false" outlineLevel="0" collapsed="false">
      <c r="A108" s="0" t="s">
        <v>1097</v>
      </c>
      <c r="B108" s="0" t="s">
        <v>1098</v>
      </c>
      <c r="C108" s="0" t="n">
        <v>1.65</v>
      </c>
    </row>
    <row r="109" customFormat="false" ht="15" hidden="false" customHeight="false" outlineLevel="0" collapsed="false">
      <c r="A109" s="0" t="s">
        <v>1099</v>
      </c>
      <c r="B109" s="0" t="s">
        <v>1100</v>
      </c>
      <c r="C109" s="0" t="n">
        <v>0.85</v>
      </c>
    </row>
    <row r="110" customFormat="false" ht="15" hidden="false" customHeight="false" outlineLevel="0" collapsed="false">
      <c r="A110" s="0" t="s">
        <v>1101</v>
      </c>
      <c r="B110" s="0" t="s">
        <v>1102</v>
      </c>
      <c r="C110" s="0" t="n">
        <v>3.75</v>
      </c>
    </row>
    <row r="111" customFormat="false" ht="15" hidden="false" customHeight="false" outlineLevel="0" collapsed="false">
      <c r="A111" s="0" t="s">
        <v>1103</v>
      </c>
      <c r="B111" s="0" t="s">
        <v>1104</v>
      </c>
      <c r="C111" s="0" t="n">
        <v>0.38</v>
      </c>
    </row>
    <row r="112" customFormat="false" ht="15" hidden="false" customHeight="false" outlineLevel="0" collapsed="false">
      <c r="A112" s="0" t="s">
        <v>1105</v>
      </c>
      <c r="B112" s="0" t="s">
        <v>1106</v>
      </c>
      <c r="C112" s="0" t="n">
        <v>0.38</v>
      </c>
    </row>
    <row r="113" customFormat="false" ht="15" hidden="false" customHeight="false" outlineLevel="0" collapsed="false">
      <c r="A113" s="0" t="s">
        <v>1107</v>
      </c>
      <c r="B113" s="0" t="s">
        <v>1108</v>
      </c>
      <c r="C113" s="0" t="n">
        <v>2.95</v>
      </c>
    </row>
    <row r="114" customFormat="false" ht="15" hidden="false" customHeight="false" outlineLevel="0" collapsed="false">
      <c r="A114" s="0" t="s">
        <v>1109</v>
      </c>
      <c r="B114" s="0" t="s">
        <v>1110</v>
      </c>
      <c r="C114" s="0" t="n">
        <v>18.95</v>
      </c>
    </row>
    <row r="115" customFormat="false" ht="15" hidden="false" customHeight="false" outlineLevel="0" collapsed="false">
      <c r="A115" s="0" t="s">
        <v>1111</v>
      </c>
      <c r="B115" s="0" t="s">
        <v>1112</v>
      </c>
      <c r="C115" s="0" t="n">
        <v>1.25</v>
      </c>
    </row>
    <row r="116" customFormat="false" ht="15" hidden="false" customHeight="false" outlineLevel="0" collapsed="false">
      <c r="A116" s="0" t="s">
        <v>1113</v>
      </c>
      <c r="B116" s="0" t="s">
        <v>1114</v>
      </c>
      <c r="C116" s="0" t="n">
        <v>0.38</v>
      </c>
    </row>
    <row r="117" customFormat="false" ht="15" hidden="false" customHeight="false" outlineLevel="0" collapsed="false">
      <c r="A117" s="0" t="s">
        <v>1115</v>
      </c>
      <c r="B117" s="0" t="s">
        <v>1116</v>
      </c>
      <c r="C117" s="0" t="n">
        <v>1.25</v>
      </c>
    </row>
    <row r="118" customFormat="false" ht="15" hidden="false" customHeight="false" outlineLevel="0" collapsed="false">
      <c r="A118" s="0" t="s">
        <v>1117</v>
      </c>
      <c r="B118" s="0" t="s">
        <v>1118</v>
      </c>
      <c r="C118" s="0" t="n">
        <v>0.38</v>
      </c>
    </row>
    <row r="119" customFormat="false" ht="15" hidden="false" customHeight="false" outlineLevel="0" collapsed="false">
      <c r="A119" s="0" t="s">
        <v>1119</v>
      </c>
      <c r="B119" s="0" t="s">
        <v>1120</v>
      </c>
      <c r="C119" s="0" t="n">
        <v>3.43</v>
      </c>
    </row>
    <row r="120" customFormat="false" ht="15" hidden="false" customHeight="false" outlineLevel="0" collapsed="false">
      <c r="A120" s="0" t="s">
        <v>1121</v>
      </c>
      <c r="B120" s="0" t="s">
        <v>1122</v>
      </c>
      <c r="C120" s="0" t="n">
        <v>3.36</v>
      </c>
    </row>
    <row r="121" customFormat="false" ht="15" hidden="false" customHeight="false" outlineLevel="0" collapsed="false">
      <c r="A121" s="0" t="s">
        <v>1123</v>
      </c>
      <c r="B121" s="0" t="s">
        <v>1124</v>
      </c>
      <c r="C121" s="0" t="n">
        <v>2.1</v>
      </c>
    </row>
    <row r="122" customFormat="false" ht="15" hidden="false" customHeight="false" outlineLevel="0" collapsed="false">
      <c r="A122" s="0" t="s">
        <v>1125</v>
      </c>
      <c r="B122" s="0" t="s">
        <v>1126</v>
      </c>
      <c r="C122" s="0" t="n">
        <v>0.38</v>
      </c>
    </row>
    <row r="123" customFormat="false" ht="15" hidden="false" customHeight="false" outlineLevel="0" collapsed="false">
      <c r="A123" s="0" t="s">
        <v>1125</v>
      </c>
      <c r="B123" s="0" t="s">
        <v>1127</v>
      </c>
      <c r="C123" s="0" t="n">
        <v>0.38</v>
      </c>
    </row>
    <row r="124" customFormat="false" ht="15" hidden="false" customHeight="false" outlineLevel="0" collapsed="false">
      <c r="A124" s="0" t="s">
        <v>1128</v>
      </c>
      <c r="B124" s="0" t="s">
        <v>1129</v>
      </c>
      <c r="C124" s="0" t="n">
        <v>0.38</v>
      </c>
    </row>
    <row r="125" customFormat="false" ht="15" hidden="false" customHeight="false" outlineLevel="0" collapsed="false">
      <c r="A125" s="0" t="s">
        <v>1130</v>
      </c>
      <c r="B125" s="0" t="s">
        <v>1131</v>
      </c>
      <c r="C125" s="0" t="n">
        <v>5.95</v>
      </c>
    </row>
    <row r="126" customFormat="false" ht="15" hidden="false" customHeight="false" outlineLevel="0" collapsed="false">
      <c r="A126" s="0" t="s">
        <v>1132</v>
      </c>
      <c r="B126" s="0" t="s">
        <v>1133</v>
      </c>
      <c r="C126" s="0" t="n">
        <v>3.45</v>
      </c>
    </row>
    <row r="127" customFormat="false" ht="15" hidden="false" customHeight="false" outlineLevel="0" collapsed="false">
      <c r="A127" s="0" t="s">
        <v>1134</v>
      </c>
      <c r="B127" s="0" t="s">
        <v>1135</v>
      </c>
      <c r="C127" s="0" t="n">
        <v>0.65</v>
      </c>
    </row>
    <row r="128" customFormat="false" ht="15" hidden="false" customHeight="false" outlineLevel="0" collapsed="false">
      <c r="A128" s="0" t="s">
        <v>1136</v>
      </c>
      <c r="B128" s="0" t="s">
        <v>1137</v>
      </c>
      <c r="C128" s="0" t="n">
        <v>4.25</v>
      </c>
    </row>
    <row r="129" customFormat="false" ht="15" hidden="false" customHeight="false" outlineLevel="0" collapsed="false">
      <c r="A129" s="0" t="s">
        <v>1138</v>
      </c>
      <c r="B129" s="0" t="s">
        <v>1139</v>
      </c>
      <c r="C129" s="0" t="n">
        <v>6.35</v>
      </c>
    </row>
    <row r="130" customFormat="false" ht="15" hidden="false" customHeight="false" outlineLevel="0" collapsed="false">
      <c r="A130" s="0" t="s">
        <v>1140</v>
      </c>
      <c r="B130" s="0" t="s">
        <v>283</v>
      </c>
      <c r="C130" s="0" t="n">
        <v>6.35</v>
      </c>
    </row>
    <row r="131" customFormat="false" ht="15" hidden="false" customHeight="false" outlineLevel="0" collapsed="false">
      <c r="A131" s="0" t="s">
        <v>1141</v>
      </c>
      <c r="B131" s="0" t="s">
        <v>1142</v>
      </c>
      <c r="C131" s="0" t="n">
        <v>4.25</v>
      </c>
    </row>
    <row r="132" customFormat="false" ht="15" hidden="false" customHeight="false" outlineLevel="0" collapsed="false">
      <c r="A132" s="0" t="s">
        <v>1143</v>
      </c>
      <c r="B132" s="0" t="s">
        <v>1144</v>
      </c>
      <c r="C132" s="0" t="n">
        <v>6.35</v>
      </c>
    </row>
    <row r="133" customFormat="false" ht="15" hidden="false" customHeight="false" outlineLevel="0" collapsed="false">
      <c r="A133" s="0" t="s">
        <v>1145</v>
      </c>
      <c r="B133" s="0" t="s">
        <v>191</v>
      </c>
      <c r="C133" s="0" t="n">
        <v>2.1</v>
      </c>
    </row>
    <row r="134" customFormat="false" ht="15" hidden="false" customHeight="false" outlineLevel="0" collapsed="false">
      <c r="A134" s="0" t="s">
        <v>1146</v>
      </c>
      <c r="B134" s="0" t="s">
        <v>62</v>
      </c>
      <c r="C134" s="0" t="n">
        <v>3.75</v>
      </c>
    </row>
    <row r="135" customFormat="false" ht="15" hidden="false" customHeight="false" outlineLevel="0" collapsed="false">
      <c r="A135" s="0" t="s">
        <v>1147</v>
      </c>
      <c r="B135" s="0" t="s">
        <v>64</v>
      </c>
      <c r="C135" s="0" t="n">
        <v>3.75</v>
      </c>
    </row>
    <row r="136" customFormat="false" ht="15" hidden="false" customHeight="false" outlineLevel="0" collapsed="false">
      <c r="A136" s="0" t="s">
        <v>1148</v>
      </c>
      <c r="B136" s="0" t="s">
        <v>66</v>
      </c>
      <c r="C136" s="0" t="n">
        <v>3.75</v>
      </c>
    </row>
    <row r="137" customFormat="false" ht="15" hidden="false" customHeight="false" outlineLevel="0" collapsed="false">
      <c r="A137" s="0" t="s">
        <v>1149</v>
      </c>
      <c r="B137" s="0" t="s">
        <v>1150</v>
      </c>
      <c r="C137" s="0" t="n">
        <v>3.75</v>
      </c>
    </row>
    <row r="138" customFormat="false" ht="15" hidden="false" customHeight="false" outlineLevel="0" collapsed="false">
      <c r="A138" s="0" t="s">
        <v>1151</v>
      </c>
      <c r="B138" s="0" t="s">
        <v>65</v>
      </c>
      <c r="C138" s="0" t="n">
        <v>3.75</v>
      </c>
    </row>
    <row r="139" customFormat="false" ht="15" hidden="false" customHeight="false" outlineLevel="0" collapsed="false">
      <c r="A139" s="0" t="s">
        <v>1152</v>
      </c>
      <c r="B139" s="0" t="s">
        <v>63</v>
      </c>
      <c r="C139" s="0" t="n">
        <v>3.75</v>
      </c>
    </row>
    <row r="140" customFormat="false" ht="15" hidden="false" customHeight="false" outlineLevel="0" collapsed="false">
      <c r="A140" s="0" t="s">
        <v>1153</v>
      </c>
      <c r="B140" s="0" t="s">
        <v>1154</v>
      </c>
      <c r="C140" s="0" t="n">
        <v>0.85</v>
      </c>
    </row>
    <row r="141" customFormat="false" ht="15" hidden="false" customHeight="false" outlineLevel="0" collapsed="false">
      <c r="A141" s="0" t="s">
        <v>1155</v>
      </c>
      <c r="B141" s="0" t="s">
        <v>789</v>
      </c>
      <c r="C141" s="0" t="n">
        <v>1.25</v>
      </c>
    </row>
    <row r="142" customFormat="false" ht="15" hidden="false" customHeight="false" outlineLevel="0" collapsed="false">
      <c r="A142" s="0" t="s">
        <v>1156</v>
      </c>
      <c r="B142" s="0" t="s">
        <v>1157</v>
      </c>
      <c r="C142" s="0" t="n">
        <v>6706.71</v>
      </c>
    </row>
    <row r="143" customFormat="false" ht="15" hidden="false" customHeight="false" outlineLevel="0" collapsed="false">
      <c r="A143" s="0" t="s">
        <v>1158</v>
      </c>
      <c r="B143" s="0" t="s">
        <v>1159</v>
      </c>
      <c r="C143" s="0" t="n">
        <v>2.96</v>
      </c>
    </row>
    <row r="144" customFormat="false" ht="15" hidden="false" customHeight="false" outlineLevel="0" collapsed="false">
      <c r="A144" s="0" t="s">
        <v>1160</v>
      </c>
      <c r="B144" s="0" t="s">
        <v>1161</v>
      </c>
      <c r="C144" s="0" t="n">
        <v>4.21</v>
      </c>
    </row>
    <row r="145" customFormat="false" ht="15" hidden="false" customHeight="false" outlineLevel="0" collapsed="false">
      <c r="A145" s="0" t="s">
        <v>1162</v>
      </c>
      <c r="B145" s="0" t="s">
        <v>1163</v>
      </c>
      <c r="C145" s="0" t="n">
        <v>1.69</v>
      </c>
    </row>
    <row r="146" customFormat="false" ht="15" hidden="false" customHeight="false" outlineLevel="0" collapsed="false">
      <c r="A146" s="0" t="s">
        <v>1164</v>
      </c>
      <c r="B146" s="0" t="s">
        <v>1165</v>
      </c>
      <c r="C146" s="0" t="n">
        <v>8.95</v>
      </c>
    </row>
    <row r="147" customFormat="false" ht="15" hidden="false" customHeight="false" outlineLevel="0" collapsed="false">
      <c r="A147" s="0" t="s">
        <v>1166</v>
      </c>
      <c r="B147" s="0" t="s">
        <v>1167</v>
      </c>
      <c r="C147" s="0" t="n">
        <v>11.95</v>
      </c>
    </row>
    <row r="148" customFormat="false" ht="15" hidden="false" customHeight="false" outlineLevel="0" collapsed="false">
      <c r="A148" s="0" t="s">
        <v>1168</v>
      </c>
      <c r="B148" s="0" t="s">
        <v>1169</v>
      </c>
      <c r="C148" s="0" t="n">
        <v>2.95</v>
      </c>
    </row>
    <row r="149" customFormat="false" ht="15" hidden="false" customHeight="false" outlineLevel="0" collapsed="false">
      <c r="A149" s="0" t="s">
        <v>1170</v>
      </c>
      <c r="B149" s="0" t="s">
        <v>1171</v>
      </c>
      <c r="C149" s="0" t="n">
        <v>4.24</v>
      </c>
    </row>
    <row r="150" customFormat="false" ht="15" hidden="false" customHeight="false" outlineLevel="0" collapsed="false">
      <c r="A150" s="0" t="s">
        <v>1172</v>
      </c>
      <c r="B150" s="0" t="s">
        <v>1173</v>
      </c>
      <c r="C150" s="0" t="n">
        <v>2.96</v>
      </c>
    </row>
    <row r="151" customFormat="false" ht="15" hidden="false" customHeight="false" outlineLevel="0" collapsed="false">
      <c r="A151" s="0" t="s">
        <v>1174</v>
      </c>
      <c r="B151" s="0" t="s">
        <v>1175</v>
      </c>
      <c r="C151" s="0" t="n">
        <v>5.95</v>
      </c>
    </row>
    <row r="152" customFormat="false" ht="15" hidden="false" customHeight="false" outlineLevel="0" collapsed="false">
      <c r="A152" s="0" t="s">
        <v>1176</v>
      </c>
      <c r="B152" s="0" t="s">
        <v>1177</v>
      </c>
      <c r="C152" s="0" t="n">
        <v>4.95</v>
      </c>
    </row>
    <row r="153" customFormat="false" ht="15" hidden="false" customHeight="false" outlineLevel="0" collapsed="false">
      <c r="A153" s="0" t="s">
        <v>1178</v>
      </c>
      <c r="B153" s="0" t="s">
        <v>1179</v>
      </c>
      <c r="C153" s="0" t="n">
        <v>1.66</v>
      </c>
    </row>
    <row r="154" customFormat="false" ht="15" hidden="false" customHeight="false" outlineLevel="0" collapsed="false">
      <c r="A154" s="0" t="s">
        <v>1180</v>
      </c>
      <c r="B154" s="0" t="s">
        <v>1181</v>
      </c>
      <c r="C154" s="0" t="n">
        <v>9.34</v>
      </c>
    </row>
    <row r="155" customFormat="false" ht="15" hidden="false" customHeight="false" outlineLevel="0" collapsed="false">
      <c r="A155" s="0" t="s">
        <v>1182</v>
      </c>
      <c r="B155" s="0" t="s">
        <v>1183</v>
      </c>
      <c r="C155" s="0" t="n">
        <v>8.95</v>
      </c>
    </row>
    <row r="156" customFormat="false" ht="15" hidden="false" customHeight="false" outlineLevel="0" collapsed="false">
      <c r="A156" s="0" t="s">
        <v>1184</v>
      </c>
      <c r="B156" s="0" t="s">
        <v>1185</v>
      </c>
      <c r="C156" s="0" t="n">
        <v>4.24</v>
      </c>
    </row>
    <row r="157" customFormat="false" ht="15" hidden="false" customHeight="false" outlineLevel="0" collapsed="false">
      <c r="A157" s="0" t="s">
        <v>1186</v>
      </c>
      <c r="B157" s="0" t="s">
        <v>1187</v>
      </c>
      <c r="C157" s="0" t="n">
        <v>3.03</v>
      </c>
    </row>
    <row r="158" customFormat="false" ht="15" hidden="false" customHeight="false" outlineLevel="0" collapsed="false">
      <c r="A158" s="0" t="s">
        <v>1188</v>
      </c>
      <c r="B158" s="0" t="s">
        <v>1189</v>
      </c>
      <c r="C158" s="0" t="n">
        <v>8.95</v>
      </c>
    </row>
    <row r="159" customFormat="false" ht="15" hidden="false" customHeight="false" outlineLevel="0" collapsed="false">
      <c r="A159" s="0" t="s">
        <v>1190</v>
      </c>
      <c r="B159" s="0" t="s">
        <v>1191</v>
      </c>
      <c r="C159" s="0" t="n">
        <v>4.25</v>
      </c>
    </row>
    <row r="160" customFormat="false" ht="15" hidden="false" customHeight="false" outlineLevel="0" collapsed="false">
      <c r="A160" s="0" t="s">
        <v>1192</v>
      </c>
      <c r="B160" s="0" t="s">
        <v>1193</v>
      </c>
      <c r="C160" s="0" t="n">
        <v>2.96</v>
      </c>
    </row>
    <row r="161" customFormat="false" ht="15" hidden="false" customHeight="false" outlineLevel="0" collapsed="false">
      <c r="A161" s="0" t="s">
        <v>1194</v>
      </c>
      <c r="B161" s="0" t="s">
        <v>1195</v>
      </c>
      <c r="C161" s="0" t="n">
        <v>9.34</v>
      </c>
    </row>
    <row r="162" customFormat="false" ht="15" hidden="false" customHeight="false" outlineLevel="0" collapsed="false">
      <c r="A162" s="0" t="s">
        <v>1196</v>
      </c>
      <c r="B162" s="0" t="s">
        <v>1197</v>
      </c>
      <c r="C162" s="0" t="n">
        <v>2.95</v>
      </c>
    </row>
    <row r="163" customFormat="false" ht="15" hidden="false" customHeight="false" outlineLevel="0" collapsed="false">
      <c r="A163" s="0" t="s">
        <v>1198</v>
      </c>
      <c r="B163" s="0" t="s">
        <v>1199</v>
      </c>
      <c r="C163" s="0" t="n">
        <v>0.42</v>
      </c>
    </row>
    <row r="164" customFormat="false" ht="15" hidden="false" customHeight="false" outlineLevel="0" collapsed="false">
      <c r="A164" s="0" t="s">
        <v>1200</v>
      </c>
      <c r="B164" s="0" t="s">
        <v>1201</v>
      </c>
      <c r="C164" s="0" t="n">
        <v>0.65</v>
      </c>
    </row>
    <row r="165" customFormat="false" ht="15" hidden="false" customHeight="false" outlineLevel="0" collapsed="false">
      <c r="A165" s="0" t="s">
        <v>1202</v>
      </c>
      <c r="B165" s="0" t="s">
        <v>105</v>
      </c>
      <c r="C165" s="0" t="n">
        <v>0.42</v>
      </c>
    </row>
    <row r="166" customFormat="false" ht="15" hidden="false" customHeight="false" outlineLevel="0" collapsed="false">
      <c r="A166" s="0" t="s">
        <v>1203</v>
      </c>
      <c r="B166" s="0" t="s">
        <v>1204</v>
      </c>
      <c r="C166" s="0" t="n">
        <v>0.85</v>
      </c>
    </row>
    <row r="167" customFormat="false" ht="15" hidden="false" customHeight="false" outlineLevel="0" collapsed="false">
      <c r="A167" s="0" t="s">
        <v>1205</v>
      </c>
      <c r="B167" s="0" t="s">
        <v>1206</v>
      </c>
      <c r="C167" s="0" t="n">
        <v>0.85</v>
      </c>
    </row>
    <row r="168" customFormat="false" ht="15" hidden="false" customHeight="false" outlineLevel="0" collapsed="false">
      <c r="A168" s="0" t="s">
        <v>1207</v>
      </c>
      <c r="B168" s="0" t="s">
        <v>1208</v>
      </c>
      <c r="C168" s="0" t="n">
        <v>0.21</v>
      </c>
    </row>
    <row r="169" customFormat="false" ht="15" hidden="false" customHeight="false" outlineLevel="0" collapsed="false">
      <c r="A169" s="0" t="s">
        <v>1209</v>
      </c>
      <c r="B169" s="0" t="s">
        <v>1210</v>
      </c>
      <c r="C169" s="0" t="n">
        <v>5.09</v>
      </c>
    </row>
    <row r="170" customFormat="false" ht="15" hidden="false" customHeight="false" outlineLevel="0" collapsed="false">
      <c r="A170" s="0" t="s">
        <v>1211</v>
      </c>
      <c r="B170" s="0" t="s">
        <v>1212</v>
      </c>
      <c r="C170" s="0" t="n">
        <v>5.09</v>
      </c>
    </row>
    <row r="171" customFormat="false" ht="15" hidden="false" customHeight="false" outlineLevel="0" collapsed="false">
      <c r="A171" s="0" t="s">
        <v>1213</v>
      </c>
      <c r="B171" s="0" t="s">
        <v>1214</v>
      </c>
      <c r="C171" s="0" t="n">
        <v>5.09</v>
      </c>
    </row>
    <row r="172" customFormat="false" ht="15" hidden="false" customHeight="false" outlineLevel="0" collapsed="false">
      <c r="A172" s="0" t="s">
        <v>1215</v>
      </c>
      <c r="B172" s="0" t="s">
        <v>1216</v>
      </c>
      <c r="C172" s="0" t="n">
        <v>5.09</v>
      </c>
    </row>
    <row r="173" customFormat="false" ht="15" hidden="false" customHeight="false" outlineLevel="0" collapsed="false">
      <c r="A173" s="0" t="s">
        <v>1217</v>
      </c>
      <c r="B173" s="0" t="s">
        <v>1218</v>
      </c>
      <c r="C173" s="0" t="n">
        <v>2.95</v>
      </c>
    </row>
    <row r="174" customFormat="false" ht="15" hidden="false" customHeight="false" outlineLevel="0" collapsed="false">
      <c r="A174" s="0" t="s">
        <v>1219</v>
      </c>
      <c r="B174" s="0" t="s">
        <v>1220</v>
      </c>
      <c r="C174" s="0" t="n">
        <v>2.95</v>
      </c>
    </row>
    <row r="175" customFormat="false" ht="15" hidden="false" customHeight="false" outlineLevel="0" collapsed="false">
      <c r="A175" s="0" t="s">
        <v>1221</v>
      </c>
      <c r="B175" s="0" t="s">
        <v>1222</v>
      </c>
      <c r="C175" s="0" t="n">
        <v>2.95</v>
      </c>
    </row>
    <row r="176" customFormat="false" ht="15" hidden="false" customHeight="false" outlineLevel="0" collapsed="false">
      <c r="A176" s="0" t="s">
        <v>1223</v>
      </c>
      <c r="B176" s="0" t="s">
        <v>1224</v>
      </c>
      <c r="C176" s="0" t="n">
        <v>2.95</v>
      </c>
    </row>
    <row r="177" customFormat="false" ht="15" hidden="false" customHeight="false" outlineLevel="0" collapsed="false">
      <c r="A177" s="0" t="s">
        <v>1225</v>
      </c>
      <c r="B177" s="0" t="s">
        <v>1226</v>
      </c>
      <c r="C177" s="0" t="n">
        <v>8.5</v>
      </c>
    </row>
    <row r="178" customFormat="false" ht="15" hidden="false" customHeight="false" outlineLevel="0" collapsed="false">
      <c r="A178" s="0" t="s">
        <v>1227</v>
      </c>
      <c r="B178" s="0" t="s">
        <v>1228</v>
      </c>
      <c r="C178" s="0" t="n">
        <v>5.95</v>
      </c>
    </row>
    <row r="179" customFormat="false" ht="15" hidden="false" customHeight="false" outlineLevel="0" collapsed="false">
      <c r="A179" s="0" t="s">
        <v>1229</v>
      </c>
      <c r="B179" s="0" t="s">
        <v>1230</v>
      </c>
      <c r="C179" s="0" t="n">
        <v>125</v>
      </c>
    </row>
    <row r="180" customFormat="false" ht="15" hidden="false" customHeight="false" outlineLevel="0" collapsed="false">
      <c r="A180" s="0" t="s">
        <v>1231</v>
      </c>
      <c r="B180" s="0" t="s">
        <v>1232</v>
      </c>
      <c r="C180" s="0" t="n">
        <v>3.95</v>
      </c>
    </row>
    <row r="181" customFormat="false" ht="15" hidden="false" customHeight="false" outlineLevel="0" collapsed="false">
      <c r="A181" s="0" t="s">
        <v>1233</v>
      </c>
      <c r="B181" s="0" t="s">
        <v>1234</v>
      </c>
      <c r="C181" s="0" t="n">
        <v>2.1</v>
      </c>
    </row>
    <row r="182" customFormat="false" ht="15" hidden="false" customHeight="false" outlineLevel="0" collapsed="false">
      <c r="A182" s="0" t="s">
        <v>1235</v>
      </c>
      <c r="B182" s="0" t="s">
        <v>1236</v>
      </c>
      <c r="C182" s="0" t="n">
        <v>12.75</v>
      </c>
    </row>
    <row r="183" customFormat="false" ht="15" hidden="false" customHeight="false" outlineLevel="0" collapsed="false">
      <c r="A183" s="0" t="s">
        <v>1237</v>
      </c>
      <c r="B183" s="0" t="s">
        <v>1238</v>
      </c>
      <c r="C183" s="0" t="n">
        <v>8.5</v>
      </c>
    </row>
    <row r="184" customFormat="false" ht="15" hidden="false" customHeight="false" outlineLevel="0" collapsed="false">
      <c r="A184" s="0" t="s">
        <v>1239</v>
      </c>
      <c r="B184" s="0" t="s">
        <v>1240</v>
      </c>
      <c r="C184" s="0" t="n">
        <v>12.75</v>
      </c>
    </row>
    <row r="185" customFormat="false" ht="15" hidden="false" customHeight="false" outlineLevel="0" collapsed="false">
      <c r="A185" s="0" t="s">
        <v>1241</v>
      </c>
      <c r="B185" s="0" t="s">
        <v>1242</v>
      </c>
      <c r="C185" s="0" t="n">
        <v>2.95</v>
      </c>
    </row>
    <row r="186" customFormat="false" ht="15" hidden="false" customHeight="false" outlineLevel="0" collapsed="false">
      <c r="A186" s="0" t="s">
        <v>1243</v>
      </c>
      <c r="B186" s="0" t="s">
        <v>1244</v>
      </c>
      <c r="C186" s="0" t="n">
        <v>1.95</v>
      </c>
    </row>
    <row r="187" customFormat="false" ht="15" hidden="false" customHeight="false" outlineLevel="0" collapsed="false">
      <c r="A187" s="0" t="s">
        <v>1245</v>
      </c>
      <c r="B187" s="0" t="s">
        <v>1246</v>
      </c>
      <c r="C187" s="0" t="n">
        <v>3.75</v>
      </c>
    </row>
    <row r="188" customFormat="false" ht="15" hidden="false" customHeight="false" outlineLevel="0" collapsed="false">
      <c r="A188" s="0" t="s">
        <v>1247</v>
      </c>
      <c r="B188" s="0" t="s">
        <v>1248</v>
      </c>
      <c r="C188" s="0" t="n">
        <v>1.25</v>
      </c>
    </row>
    <row r="189" customFormat="false" ht="15" hidden="false" customHeight="false" outlineLevel="0" collapsed="false">
      <c r="A189" s="0" t="s">
        <v>1249</v>
      </c>
      <c r="B189" s="0" t="s">
        <v>1250</v>
      </c>
      <c r="C189" s="0" t="n">
        <v>1.95</v>
      </c>
    </row>
    <row r="190" customFormat="false" ht="15" hidden="false" customHeight="false" outlineLevel="0" collapsed="false">
      <c r="A190" s="0" t="s">
        <v>1251</v>
      </c>
      <c r="B190" s="0" t="s">
        <v>1252</v>
      </c>
      <c r="C190" s="0" t="n">
        <v>4.95</v>
      </c>
    </row>
    <row r="191" customFormat="false" ht="15" hidden="false" customHeight="false" outlineLevel="0" collapsed="false">
      <c r="A191" s="0" t="s">
        <v>1253</v>
      </c>
      <c r="B191" s="0" t="s">
        <v>1254</v>
      </c>
      <c r="C191" s="0" t="n">
        <v>4.25</v>
      </c>
    </row>
    <row r="192" customFormat="false" ht="15" hidden="false" customHeight="false" outlineLevel="0" collapsed="false">
      <c r="A192" s="0" t="s">
        <v>1255</v>
      </c>
      <c r="B192" s="0" t="s">
        <v>1256</v>
      </c>
      <c r="C192" s="0" t="n">
        <v>4.25</v>
      </c>
    </row>
    <row r="193" customFormat="false" ht="15" hidden="false" customHeight="false" outlineLevel="0" collapsed="false">
      <c r="A193" s="0" t="s">
        <v>1257</v>
      </c>
      <c r="B193" s="0" t="s">
        <v>1258</v>
      </c>
      <c r="C193" s="0" t="n">
        <v>4.25</v>
      </c>
    </row>
    <row r="194" customFormat="false" ht="15" hidden="false" customHeight="false" outlineLevel="0" collapsed="false">
      <c r="A194" s="0" t="s">
        <v>1259</v>
      </c>
      <c r="B194" s="0" t="s">
        <v>1260</v>
      </c>
      <c r="C194" s="0" t="n">
        <v>4.25</v>
      </c>
    </row>
    <row r="195" customFormat="false" ht="15" hidden="false" customHeight="false" outlineLevel="0" collapsed="false">
      <c r="A195" s="0" t="s">
        <v>1261</v>
      </c>
      <c r="B195" s="0" t="s">
        <v>1262</v>
      </c>
      <c r="C195" s="0" t="n">
        <v>1.25</v>
      </c>
    </row>
    <row r="196" customFormat="false" ht="15" hidden="false" customHeight="false" outlineLevel="0" collapsed="false">
      <c r="A196" s="0" t="s">
        <v>1263</v>
      </c>
      <c r="B196" s="0" t="s">
        <v>1264</v>
      </c>
      <c r="C196" s="0" t="n">
        <v>1.25</v>
      </c>
    </row>
    <row r="197" customFormat="false" ht="15" hidden="false" customHeight="false" outlineLevel="0" collapsed="false">
      <c r="A197" s="0" t="s">
        <v>1265</v>
      </c>
      <c r="B197" s="0" t="s">
        <v>1266</v>
      </c>
      <c r="C197" s="0" t="n">
        <v>3.75</v>
      </c>
    </row>
    <row r="198" customFormat="false" ht="15" hidden="false" customHeight="false" outlineLevel="0" collapsed="false">
      <c r="A198" s="0" t="s">
        <v>1267</v>
      </c>
      <c r="B198" s="0" t="s">
        <v>1268</v>
      </c>
      <c r="C198" s="0" t="n">
        <v>1.25</v>
      </c>
    </row>
    <row r="199" customFormat="false" ht="15" hidden="false" customHeight="false" outlineLevel="0" collapsed="false">
      <c r="A199" s="0" t="s">
        <v>1269</v>
      </c>
      <c r="B199" s="0" t="s">
        <v>1270</v>
      </c>
      <c r="C199" s="0" t="n">
        <v>4.95</v>
      </c>
    </row>
    <row r="200" customFormat="false" ht="15" hidden="false" customHeight="false" outlineLevel="0" collapsed="false">
      <c r="A200" s="0" t="s">
        <v>1271</v>
      </c>
      <c r="B200" s="0" t="s">
        <v>1272</v>
      </c>
      <c r="C200" s="0" t="n">
        <v>5.95</v>
      </c>
    </row>
    <row r="201" customFormat="false" ht="15" hidden="false" customHeight="false" outlineLevel="0" collapsed="false">
      <c r="A201" s="0" t="s">
        <v>1273</v>
      </c>
      <c r="B201" s="0" t="s">
        <v>1274</v>
      </c>
      <c r="C201" s="0" t="n">
        <v>2.1</v>
      </c>
    </row>
    <row r="202" customFormat="false" ht="15" hidden="false" customHeight="false" outlineLevel="0" collapsed="false">
      <c r="A202" s="0" t="s">
        <v>1275</v>
      </c>
      <c r="B202" s="0" t="s">
        <v>1276</v>
      </c>
      <c r="C202" s="0" t="n">
        <v>12.75</v>
      </c>
    </row>
    <row r="203" customFormat="false" ht="15" hidden="false" customHeight="false" outlineLevel="0" collapsed="false">
      <c r="A203" s="0" t="s">
        <v>1277</v>
      </c>
      <c r="B203" s="0" t="s">
        <v>1278</v>
      </c>
      <c r="C203" s="0" t="n">
        <v>2.1</v>
      </c>
    </row>
    <row r="204" customFormat="false" ht="15" hidden="false" customHeight="false" outlineLevel="0" collapsed="false">
      <c r="A204" s="0" t="s">
        <v>1279</v>
      </c>
      <c r="B204" s="0" t="s">
        <v>1280</v>
      </c>
      <c r="C204" s="0" t="n">
        <v>0.42</v>
      </c>
    </row>
    <row r="205" customFormat="false" ht="15" hidden="false" customHeight="false" outlineLevel="0" collapsed="false">
      <c r="A205" s="0" t="s">
        <v>1281</v>
      </c>
      <c r="B205" s="0" t="s">
        <v>1282</v>
      </c>
      <c r="C205" s="0" t="n">
        <v>0.65</v>
      </c>
    </row>
    <row r="206" customFormat="false" ht="15" hidden="false" customHeight="false" outlineLevel="0" collapsed="false">
      <c r="A206" s="0" t="s">
        <v>1283</v>
      </c>
      <c r="B206" s="0" t="s">
        <v>840</v>
      </c>
      <c r="C206" s="0" t="n">
        <v>2.95</v>
      </c>
    </row>
    <row r="207" customFormat="false" ht="15" hidden="false" customHeight="false" outlineLevel="0" collapsed="false">
      <c r="A207" s="0" t="s">
        <v>1284</v>
      </c>
      <c r="B207" s="0" t="s">
        <v>1285</v>
      </c>
      <c r="C207" s="0" t="n">
        <v>0.42</v>
      </c>
    </row>
    <row r="208" customFormat="false" ht="15" hidden="false" customHeight="false" outlineLevel="0" collapsed="false">
      <c r="A208" s="0" t="s">
        <v>1286</v>
      </c>
      <c r="B208" s="0" t="s">
        <v>1287</v>
      </c>
      <c r="C208" s="0" t="n">
        <v>1.05</v>
      </c>
    </row>
    <row r="209" customFormat="false" ht="15" hidden="false" customHeight="false" outlineLevel="0" collapsed="false">
      <c r="A209" s="0" t="s">
        <v>1288</v>
      </c>
      <c r="B209" s="0" t="s">
        <v>1289</v>
      </c>
      <c r="C209" s="0" t="n">
        <v>1.05</v>
      </c>
    </row>
    <row r="210" customFormat="false" ht="15" hidden="false" customHeight="false" outlineLevel="0" collapsed="false">
      <c r="A210" s="0" t="s">
        <v>1290</v>
      </c>
      <c r="B210" s="0" t="s">
        <v>1291</v>
      </c>
      <c r="C210" s="0" t="n">
        <v>0.42</v>
      </c>
    </row>
    <row r="211" customFormat="false" ht="15" hidden="false" customHeight="false" outlineLevel="0" collapsed="false">
      <c r="A211" s="0" t="s">
        <v>1292</v>
      </c>
      <c r="B211" s="0" t="s">
        <v>1293</v>
      </c>
      <c r="C211" s="0" t="n">
        <v>0.42</v>
      </c>
    </row>
    <row r="212" customFormat="false" ht="15" hidden="false" customHeight="false" outlineLevel="0" collapsed="false">
      <c r="A212" s="0" t="s">
        <v>1294</v>
      </c>
      <c r="B212" s="0" t="s">
        <v>1295</v>
      </c>
      <c r="C212" s="0" t="n">
        <v>0.85</v>
      </c>
    </row>
    <row r="213" customFormat="false" ht="15" hidden="false" customHeight="false" outlineLevel="0" collapsed="false">
      <c r="A213" s="0" t="s">
        <v>1296</v>
      </c>
      <c r="B213" s="0" t="s">
        <v>1297</v>
      </c>
      <c r="C213" s="0" t="n">
        <v>0.65</v>
      </c>
    </row>
    <row r="214" customFormat="false" ht="15" hidden="false" customHeight="false" outlineLevel="0" collapsed="false">
      <c r="A214" s="0" t="s">
        <v>1298</v>
      </c>
      <c r="B214" s="0" t="s">
        <v>1299</v>
      </c>
      <c r="C214" s="0" t="n">
        <v>1.25</v>
      </c>
    </row>
    <row r="215" customFormat="false" ht="15" hidden="false" customHeight="false" outlineLevel="0" collapsed="false">
      <c r="A215" s="0" t="s">
        <v>1300</v>
      </c>
      <c r="B215" s="0" t="s">
        <v>1301</v>
      </c>
      <c r="C215" s="0" t="n">
        <v>1.25</v>
      </c>
    </row>
    <row r="216" customFormat="false" ht="15" hidden="false" customHeight="false" outlineLevel="0" collapsed="false">
      <c r="A216" s="0" t="s">
        <v>1302</v>
      </c>
      <c r="B216" s="0" t="s">
        <v>1303</v>
      </c>
      <c r="C216" s="0" t="n">
        <v>1.95</v>
      </c>
    </row>
    <row r="217" customFormat="false" ht="15" hidden="false" customHeight="false" outlineLevel="0" collapsed="false">
      <c r="A217" s="0" t="s">
        <v>1304</v>
      </c>
      <c r="B217" s="0" t="s">
        <v>1305</v>
      </c>
      <c r="C217" s="0" t="n">
        <v>1.25</v>
      </c>
    </row>
    <row r="218" customFormat="false" ht="15" hidden="false" customHeight="false" outlineLevel="0" collapsed="false">
      <c r="A218" s="0" t="s">
        <v>1306</v>
      </c>
      <c r="B218" s="0" t="s">
        <v>1307</v>
      </c>
      <c r="C218" s="0" t="n">
        <v>1.65</v>
      </c>
    </row>
    <row r="219" customFormat="false" ht="15" hidden="false" customHeight="false" outlineLevel="0" collapsed="false">
      <c r="A219" s="0" t="s">
        <v>1308</v>
      </c>
      <c r="B219" s="0" t="s">
        <v>1309</v>
      </c>
      <c r="C219" s="0" t="n">
        <v>1.25</v>
      </c>
    </row>
    <row r="220" customFormat="false" ht="15" hidden="false" customHeight="false" outlineLevel="0" collapsed="false">
      <c r="A220" s="0" t="s">
        <v>1310</v>
      </c>
      <c r="B220" s="0" t="s">
        <v>1311</v>
      </c>
      <c r="C220" s="0" t="n">
        <v>0.42</v>
      </c>
    </row>
    <row r="221" customFormat="false" ht="15" hidden="false" customHeight="false" outlineLevel="0" collapsed="false">
      <c r="A221" s="0" t="s">
        <v>1312</v>
      </c>
      <c r="B221" s="0" t="s">
        <v>313</v>
      </c>
      <c r="C221" s="0" t="n">
        <v>0.42</v>
      </c>
    </row>
    <row r="222" customFormat="false" ht="15" hidden="false" customHeight="false" outlineLevel="0" collapsed="false">
      <c r="A222" s="0" t="s">
        <v>1313</v>
      </c>
      <c r="B222" s="0" t="s">
        <v>1314</v>
      </c>
      <c r="C222" s="0" t="n">
        <v>0.65</v>
      </c>
    </row>
    <row r="223" customFormat="false" ht="15" hidden="false" customHeight="false" outlineLevel="0" collapsed="false">
      <c r="A223" s="0" t="s">
        <v>1315</v>
      </c>
      <c r="B223" s="0" t="s">
        <v>1316</v>
      </c>
      <c r="C223" s="0" t="n">
        <v>0.65</v>
      </c>
    </row>
    <row r="224" customFormat="false" ht="15" hidden="false" customHeight="false" outlineLevel="0" collapsed="false">
      <c r="A224" s="0" t="s">
        <v>1317</v>
      </c>
      <c r="B224" s="0" t="s">
        <v>1318</v>
      </c>
      <c r="C224" s="0" t="n">
        <v>0.21</v>
      </c>
    </row>
    <row r="225" customFormat="false" ht="15" hidden="false" customHeight="false" outlineLevel="0" collapsed="false">
      <c r="A225" s="0" t="s">
        <v>1319</v>
      </c>
      <c r="B225" s="0" t="s">
        <v>1320</v>
      </c>
      <c r="C225" s="0" t="n">
        <v>1.69</v>
      </c>
    </row>
    <row r="226" customFormat="false" ht="15" hidden="false" customHeight="false" outlineLevel="0" collapsed="false">
      <c r="A226" s="0" t="s">
        <v>1321</v>
      </c>
      <c r="B226" s="0" t="s">
        <v>1322</v>
      </c>
      <c r="C226" s="0" t="n">
        <v>0.42</v>
      </c>
    </row>
    <row r="227" customFormat="false" ht="15" hidden="false" customHeight="false" outlineLevel="0" collapsed="false">
      <c r="A227" s="0" t="s">
        <v>1323</v>
      </c>
      <c r="B227" s="0" t="s">
        <v>1324</v>
      </c>
      <c r="C227" s="0" t="n">
        <v>0.42</v>
      </c>
    </row>
    <row r="228" customFormat="false" ht="15" hidden="false" customHeight="false" outlineLevel="0" collapsed="false">
      <c r="A228" s="0" t="s">
        <v>1325</v>
      </c>
      <c r="B228" s="0" t="s">
        <v>1326</v>
      </c>
      <c r="C228" s="0" t="n">
        <v>1.25</v>
      </c>
    </row>
    <row r="229" customFormat="false" ht="15" hidden="false" customHeight="false" outlineLevel="0" collapsed="false">
      <c r="A229" s="0" t="s">
        <v>1327</v>
      </c>
      <c r="B229" s="0" t="s">
        <v>46</v>
      </c>
      <c r="C229" s="0" t="n">
        <v>7.95</v>
      </c>
    </row>
    <row r="230" customFormat="false" ht="15" hidden="false" customHeight="false" outlineLevel="0" collapsed="false">
      <c r="A230" s="0" t="s">
        <v>1328</v>
      </c>
      <c r="B230" s="0" t="s">
        <v>1329</v>
      </c>
      <c r="C230" s="0" t="n">
        <v>4.25</v>
      </c>
    </row>
    <row r="231" customFormat="false" ht="15" hidden="false" customHeight="false" outlineLevel="0" collapsed="false">
      <c r="A231" s="0" t="s">
        <v>1330</v>
      </c>
      <c r="B231" s="0" t="s">
        <v>1331</v>
      </c>
      <c r="C231" s="0" t="n">
        <v>1.25</v>
      </c>
    </row>
    <row r="232" customFormat="false" ht="15" hidden="false" customHeight="false" outlineLevel="0" collapsed="false">
      <c r="A232" s="0" t="s">
        <v>1332</v>
      </c>
      <c r="B232" s="0" t="s">
        <v>1333</v>
      </c>
      <c r="C232" s="0" t="n">
        <v>2.1</v>
      </c>
    </row>
    <row r="233" customFormat="false" ht="15" hidden="false" customHeight="false" outlineLevel="0" collapsed="false">
      <c r="A233" s="0" t="s">
        <v>1334</v>
      </c>
      <c r="B233" s="0" t="s">
        <v>1335</v>
      </c>
      <c r="C233" s="0" t="n">
        <v>2.1</v>
      </c>
    </row>
    <row r="234" customFormat="false" ht="15" hidden="false" customHeight="false" outlineLevel="0" collapsed="false">
      <c r="A234" s="0" t="s">
        <v>1336</v>
      </c>
      <c r="B234" s="0" t="s">
        <v>1337</v>
      </c>
      <c r="C234" s="0" t="n">
        <v>0.19</v>
      </c>
    </row>
    <row r="235" customFormat="false" ht="15" hidden="false" customHeight="false" outlineLevel="0" collapsed="false">
      <c r="A235" s="0" t="s">
        <v>1338</v>
      </c>
      <c r="B235" s="0" t="s">
        <v>1339</v>
      </c>
      <c r="C235" s="0" t="n">
        <v>0.85</v>
      </c>
    </row>
    <row r="236" customFormat="false" ht="15" hidden="false" customHeight="false" outlineLevel="0" collapsed="false">
      <c r="A236" s="0" t="s">
        <v>1340</v>
      </c>
      <c r="B236" s="0" t="s">
        <v>1341</v>
      </c>
      <c r="C236" s="0" t="n">
        <v>0.75</v>
      </c>
    </row>
    <row r="237" customFormat="false" ht="15" hidden="false" customHeight="false" outlineLevel="0" collapsed="false">
      <c r="A237" s="0" t="s">
        <v>1342</v>
      </c>
      <c r="B237" s="0" t="s">
        <v>1343</v>
      </c>
      <c r="C237" s="0" t="n">
        <v>0.42</v>
      </c>
    </row>
    <row r="238" customFormat="false" ht="15" hidden="false" customHeight="false" outlineLevel="0" collapsed="false">
      <c r="A238" s="0" t="s">
        <v>1344</v>
      </c>
      <c r="B238" s="0" t="s">
        <v>1345</v>
      </c>
      <c r="C238" s="0" t="n">
        <v>0.85</v>
      </c>
    </row>
    <row r="239" customFormat="false" ht="15" hidden="false" customHeight="false" outlineLevel="0" collapsed="false">
      <c r="A239" s="0" t="s">
        <v>1346</v>
      </c>
      <c r="B239" s="0" t="s">
        <v>1347</v>
      </c>
      <c r="C239" s="0" t="n">
        <v>1.25</v>
      </c>
    </row>
    <row r="240" customFormat="false" ht="15" hidden="false" customHeight="false" outlineLevel="0" collapsed="false">
      <c r="A240" s="0" t="s">
        <v>1348</v>
      </c>
      <c r="B240" s="0" t="s">
        <v>1349</v>
      </c>
      <c r="C240" s="0" t="n">
        <v>1.25</v>
      </c>
    </row>
    <row r="241" customFormat="false" ht="15" hidden="false" customHeight="false" outlineLevel="0" collapsed="false">
      <c r="A241" s="0" t="s">
        <v>1350</v>
      </c>
      <c r="B241" s="0" t="s">
        <v>1351</v>
      </c>
      <c r="C241" s="0" t="n">
        <v>0.85</v>
      </c>
    </row>
    <row r="242" customFormat="false" ht="15" hidden="false" customHeight="false" outlineLevel="0" collapsed="false">
      <c r="A242" s="0" t="s">
        <v>1352</v>
      </c>
      <c r="B242" s="0" t="s">
        <v>1353</v>
      </c>
      <c r="C242" s="0" t="n">
        <v>0.85</v>
      </c>
    </row>
    <row r="243" customFormat="false" ht="15" hidden="false" customHeight="false" outlineLevel="0" collapsed="false">
      <c r="A243" s="0" t="s">
        <v>1354</v>
      </c>
      <c r="B243" s="0" t="s">
        <v>1355</v>
      </c>
      <c r="C243" s="0" t="n">
        <v>1.95</v>
      </c>
    </row>
    <row r="244" customFormat="false" ht="15" hidden="false" customHeight="false" outlineLevel="0" collapsed="false">
      <c r="A244" s="0" t="s">
        <v>1356</v>
      </c>
      <c r="B244" s="0" t="s">
        <v>1357</v>
      </c>
      <c r="C244" s="0" t="n">
        <v>0.65</v>
      </c>
    </row>
    <row r="245" customFormat="false" ht="15" hidden="false" customHeight="false" outlineLevel="0" collapsed="false">
      <c r="A245" s="0" t="s">
        <v>1358</v>
      </c>
      <c r="B245" s="0" t="s">
        <v>1359</v>
      </c>
      <c r="C245" s="0" t="n">
        <v>0.42</v>
      </c>
    </row>
    <row r="246" customFormat="false" ht="15" hidden="false" customHeight="false" outlineLevel="0" collapsed="false">
      <c r="A246" s="0" t="s">
        <v>1360</v>
      </c>
      <c r="B246" s="0" t="s">
        <v>1361</v>
      </c>
      <c r="C246" s="0" t="n">
        <v>1.7</v>
      </c>
    </row>
    <row r="247" customFormat="false" ht="15" hidden="false" customHeight="false" outlineLevel="0" collapsed="false">
      <c r="A247" s="0" t="s">
        <v>1362</v>
      </c>
      <c r="B247" s="0" t="s">
        <v>1363</v>
      </c>
      <c r="C247" s="0" t="n">
        <v>0.65</v>
      </c>
    </row>
    <row r="248" customFormat="false" ht="15" hidden="false" customHeight="false" outlineLevel="0" collapsed="false">
      <c r="A248" s="0" t="s">
        <v>1364</v>
      </c>
      <c r="B248" s="0" t="s">
        <v>1365</v>
      </c>
      <c r="C248" s="0" t="n">
        <v>0.21</v>
      </c>
    </row>
    <row r="249" customFormat="false" ht="15" hidden="false" customHeight="false" outlineLevel="0" collapsed="false">
      <c r="A249" s="0" t="s">
        <v>1366</v>
      </c>
      <c r="B249" s="0" t="s">
        <v>1367</v>
      </c>
      <c r="C249" s="0" t="n">
        <v>0.43</v>
      </c>
    </row>
    <row r="250" customFormat="false" ht="15" hidden="false" customHeight="false" outlineLevel="0" collapsed="false">
      <c r="A250" s="0" t="s">
        <v>1368</v>
      </c>
      <c r="B250" s="0" t="s">
        <v>1369</v>
      </c>
      <c r="C250" s="0" t="n">
        <v>1.25</v>
      </c>
    </row>
    <row r="251" customFormat="false" ht="15" hidden="false" customHeight="false" outlineLevel="0" collapsed="false">
      <c r="A251" s="0" t="s">
        <v>1370</v>
      </c>
      <c r="B251" s="0" t="s">
        <v>1371</v>
      </c>
      <c r="C251" s="0" t="n">
        <v>0.42</v>
      </c>
    </row>
    <row r="252" customFormat="false" ht="15" hidden="false" customHeight="false" outlineLevel="0" collapsed="false">
      <c r="A252" s="0" t="s">
        <v>1372</v>
      </c>
      <c r="B252" s="0" t="s">
        <v>1373</v>
      </c>
      <c r="C252" s="0" t="n">
        <v>1.25</v>
      </c>
    </row>
    <row r="253" customFormat="false" ht="15" hidden="false" customHeight="false" outlineLevel="0" collapsed="false">
      <c r="A253" s="0" t="s">
        <v>1374</v>
      </c>
      <c r="B253" s="0" t="s">
        <v>1375</v>
      </c>
      <c r="C253" s="0" t="n">
        <v>0.85</v>
      </c>
    </row>
    <row r="254" customFormat="false" ht="15" hidden="false" customHeight="false" outlineLevel="0" collapsed="false">
      <c r="A254" s="0" t="s">
        <v>1376</v>
      </c>
      <c r="B254" s="0" t="s">
        <v>1377</v>
      </c>
      <c r="C254" s="0" t="n">
        <v>0.04</v>
      </c>
    </row>
    <row r="255" customFormat="false" ht="15" hidden="false" customHeight="false" outlineLevel="0" collapsed="false">
      <c r="A255" s="0" t="s">
        <v>1378</v>
      </c>
      <c r="B255" s="0" t="s">
        <v>1379</v>
      </c>
      <c r="C255" s="0" t="n">
        <v>0.65</v>
      </c>
    </row>
    <row r="256" customFormat="false" ht="15" hidden="false" customHeight="false" outlineLevel="0" collapsed="false">
      <c r="A256" s="0" t="s">
        <v>1380</v>
      </c>
      <c r="B256" s="0" t="s">
        <v>1381</v>
      </c>
      <c r="C256" s="0" t="n">
        <v>0.65</v>
      </c>
    </row>
    <row r="257" customFormat="false" ht="15" hidden="false" customHeight="false" outlineLevel="0" collapsed="false">
      <c r="A257" s="0" t="s">
        <v>1382</v>
      </c>
      <c r="B257" s="0" t="s">
        <v>1383</v>
      </c>
      <c r="C257" s="0" t="n">
        <v>0.85</v>
      </c>
    </row>
    <row r="258" customFormat="false" ht="15" hidden="false" customHeight="false" outlineLevel="0" collapsed="false">
      <c r="A258" s="0" t="s">
        <v>1384</v>
      </c>
      <c r="B258" s="0" t="s">
        <v>1385</v>
      </c>
      <c r="C258" s="0" t="n">
        <v>1.25</v>
      </c>
    </row>
    <row r="259" customFormat="false" ht="15" hidden="false" customHeight="false" outlineLevel="0" collapsed="false">
      <c r="A259" s="0" t="s">
        <v>1386</v>
      </c>
      <c r="B259" s="0" t="s">
        <v>1387</v>
      </c>
      <c r="C259" s="0" t="n">
        <v>0.85</v>
      </c>
    </row>
    <row r="260" customFormat="false" ht="15" hidden="false" customHeight="false" outlineLevel="0" collapsed="false">
      <c r="A260" s="0" t="s">
        <v>1388</v>
      </c>
      <c r="B260" s="0" t="s">
        <v>1389</v>
      </c>
      <c r="C260" s="0" t="n">
        <v>1.66</v>
      </c>
    </row>
    <row r="261" customFormat="false" ht="15" hidden="false" customHeight="false" outlineLevel="0" collapsed="false">
      <c r="A261" s="0" t="s">
        <v>1390</v>
      </c>
      <c r="B261" s="0" t="s">
        <v>1391</v>
      </c>
      <c r="C261" s="0" t="n">
        <v>2.1</v>
      </c>
    </row>
    <row r="262" customFormat="false" ht="15" hidden="false" customHeight="false" outlineLevel="0" collapsed="false">
      <c r="A262" s="0" t="s">
        <v>1392</v>
      </c>
      <c r="B262" s="0" t="s">
        <v>1393</v>
      </c>
      <c r="C262" s="0" t="n">
        <v>1.25</v>
      </c>
    </row>
    <row r="263" customFormat="false" ht="15" hidden="false" customHeight="false" outlineLevel="0" collapsed="false">
      <c r="A263" s="0" t="s">
        <v>1394</v>
      </c>
      <c r="B263" s="0" t="s">
        <v>1395</v>
      </c>
      <c r="C263" s="0" t="n">
        <v>2.1</v>
      </c>
    </row>
    <row r="264" customFormat="false" ht="15" hidden="false" customHeight="false" outlineLevel="0" collapsed="false">
      <c r="A264" s="0" t="s">
        <v>1396</v>
      </c>
      <c r="B264" s="0" t="s">
        <v>1397</v>
      </c>
      <c r="C264" s="0" t="n">
        <v>0.85</v>
      </c>
    </row>
    <row r="265" customFormat="false" ht="15" hidden="false" customHeight="false" outlineLevel="0" collapsed="false">
      <c r="A265" s="0" t="s">
        <v>1398</v>
      </c>
      <c r="B265" s="0" t="s">
        <v>1399</v>
      </c>
      <c r="C265" s="0" t="n">
        <v>2.95</v>
      </c>
    </row>
    <row r="266" customFormat="false" ht="15" hidden="false" customHeight="false" outlineLevel="0" collapsed="false">
      <c r="A266" s="0" t="s">
        <v>1400</v>
      </c>
      <c r="B266" s="0" t="s">
        <v>1401</v>
      </c>
      <c r="C266" s="0" t="n">
        <v>1.65</v>
      </c>
    </row>
    <row r="267" customFormat="false" ht="15" hidden="false" customHeight="false" outlineLevel="0" collapsed="false">
      <c r="A267" s="0" t="s">
        <v>1402</v>
      </c>
      <c r="B267" s="0" t="s">
        <v>1403</v>
      </c>
      <c r="C267" s="0" t="n">
        <v>1.25</v>
      </c>
    </row>
    <row r="268" customFormat="false" ht="15" hidden="false" customHeight="false" outlineLevel="0" collapsed="false">
      <c r="A268" s="0" t="s">
        <v>1404</v>
      </c>
      <c r="B268" s="0" t="s">
        <v>1405</v>
      </c>
      <c r="C268" s="0" t="n">
        <v>2.1</v>
      </c>
    </row>
    <row r="269" customFormat="false" ht="15" hidden="false" customHeight="false" outlineLevel="0" collapsed="false">
      <c r="A269" s="0" t="s">
        <v>1406</v>
      </c>
      <c r="B269" s="0" t="s">
        <v>1407</v>
      </c>
      <c r="C269" s="0" t="n">
        <v>1.25</v>
      </c>
    </row>
    <row r="270" customFormat="false" ht="15" hidden="false" customHeight="false" outlineLevel="0" collapsed="false">
      <c r="A270" s="0" t="s">
        <v>1408</v>
      </c>
      <c r="B270" s="0" t="s">
        <v>1409</v>
      </c>
      <c r="C270" s="0" t="n">
        <v>0.85</v>
      </c>
    </row>
    <row r="271" customFormat="false" ht="15" hidden="false" customHeight="false" outlineLevel="0" collapsed="false">
      <c r="A271" s="0" t="s">
        <v>1410</v>
      </c>
      <c r="B271" s="0" t="s">
        <v>1411</v>
      </c>
      <c r="C271" s="0" t="n">
        <v>0.21</v>
      </c>
    </row>
    <row r="272" customFormat="false" ht="15" hidden="false" customHeight="false" outlineLevel="0" collapsed="false">
      <c r="A272" s="0" t="s">
        <v>1412</v>
      </c>
      <c r="B272" s="0" t="s">
        <v>1413</v>
      </c>
      <c r="C272" s="0" t="n">
        <v>0.85</v>
      </c>
    </row>
    <row r="273" customFormat="false" ht="15" hidden="false" customHeight="false" outlineLevel="0" collapsed="false">
      <c r="A273" s="0" t="s">
        <v>1414</v>
      </c>
      <c r="B273" s="0" t="s">
        <v>1415</v>
      </c>
      <c r="C273" s="0" t="n">
        <v>1.69</v>
      </c>
    </row>
    <row r="274" customFormat="false" ht="15" hidden="false" customHeight="false" outlineLevel="0" collapsed="false">
      <c r="A274" s="0" t="s">
        <v>1416</v>
      </c>
      <c r="B274" s="0" t="s">
        <v>1417</v>
      </c>
      <c r="C274" s="0" t="n">
        <v>0.55</v>
      </c>
    </row>
    <row r="275" customFormat="false" ht="15" hidden="false" customHeight="false" outlineLevel="0" collapsed="false">
      <c r="A275" s="0" t="s">
        <v>1418</v>
      </c>
      <c r="B275" s="0" t="s">
        <v>1419</v>
      </c>
      <c r="C275" s="0" t="n">
        <v>1.95</v>
      </c>
    </row>
    <row r="276" customFormat="false" ht="15" hidden="false" customHeight="false" outlineLevel="0" collapsed="false">
      <c r="A276" s="0" t="s">
        <v>1420</v>
      </c>
      <c r="B276" s="0" t="s">
        <v>1421</v>
      </c>
      <c r="C276" s="0" t="n">
        <v>1.69</v>
      </c>
    </row>
    <row r="277" customFormat="false" ht="15" hidden="false" customHeight="false" outlineLevel="0" collapsed="false">
      <c r="A277" s="0" t="s">
        <v>1422</v>
      </c>
      <c r="B277" s="0" t="s">
        <v>1423</v>
      </c>
      <c r="C277" s="0" t="n">
        <v>0.42</v>
      </c>
    </row>
    <row r="278" customFormat="false" ht="15" hidden="false" customHeight="false" outlineLevel="0" collapsed="false">
      <c r="A278" s="0" t="s">
        <v>1424</v>
      </c>
      <c r="B278" s="0" t="s">
        <v>1425</v>
      </c>
      <c r="C278" s="0" t="n">
        <v>72.45</v>
      </c>
    </row>
    <row r="279" customFormat="false" ht="15" hidden="false" customHeight="false" outlineLevel="0" collapsed="false">
      <c r="A279" s="0" t="s">
        <v>1426</v>
      </c>
      <c r="B279" s="0" t="s">
        <v>1427</v>
      </c>
      <c r="C279" s="0" t="n">
        <v>4.57</v>
      </c>
    </row>
    <row r="280" customFormat="false" ht="15" hidden="false" customHeight="false" outlineLevel="0" collapsed="false">
      <c r="A280" s="0" t="s">
        <v>1428</v>
      </c>
      <c r="B280" s="0" t="s">
        <v>1429</v>
      </c>
      <c r="C280" s="0" t="n">
        <v>6.75</v>
      </c>
    </row>
    <row r="281" customFormat="false" ht="15" hidden="false" customHeight="false" outlineLevel="0" collapsed="false">
      <c r="A281" s="0" t="s">
        <v>1430</v>
      </c>
      <c r="B281" s="0" t="s">
        <v>1431</v>
      </c>
      <c r="C281" s="0" t="n">
        <v>1.25</v>
      </c>
    </row>
    <row r="282" customFormat="false" ht="15" hidden="false" customHeight="false" outlineLevel="0" collapsed="false">
      <c r="A282" s="0" t="s">
        <v>1432</v>
      </c>
      <c r="B282" s="0" t="s">
        <v>1433</v>
      </c>
      <c r="C282" s="0" t="n">
        <v>4.25</v>
      </c>
    </row>
    <row r="283" customFormat="false" ht="15" hidden="false" customHeight="false" outlineLevel="0" collapsed="false">
      <c r="A283" s="0" t="s">
        <v>1434</v>
      </c>
      <c r="B283" s="0" t="s">
        <v>798</v>
      </c>
      <c r="C283" s="0" t="n">
        <v>0.42</v>
      </c>
    </row>
    <row r="284" customFormat="false" ht="15" hidden="false" customHeight="false" outlineLevel="0" collapsed="false">
      <c r="A284" s="0" t="s">
        <v>1435</v>
      </c>
      <c r="B284" s="0" t="s">
        <v>550</v>
      </c>
      <c r="C284" s="0" t="n">
        <v>0.85</v>
      </c>
    </row>
    <row r="285" customFormat="false" ht="15" hidden="false" customHeight="false" outlineLevel="0" collapsed="false">
      <c r="A285" s="0" t="s">
        <v>1436</v>
      </c>
      <c r="B285" s="0" t="s">
        <v>140</v>
      </c>
      <c r="C285" s="0" t="n">
        <v>1.65</v>
      </c>
    </row>
    <row r="286" customFormat="false" ht="15" hidden="false" customHeight="false" outlineLevel="0" collapsed="false">
      <c r="A286" s="0" t="s">
        <v>1437</v>
      </c>
      <c r="B286" s="0" t="s">
        <v>1438</v>
      </c>
      <c r="C286" s="0" t="n">
        <v>0.84</v>
      </c>
    </row>
    <row r="287" customFormat="false" ht="15" hidden="false" customHeight="false" outlineLevel="0" collapsed="false">
      <c r="A287" s="0" t="s">
        <v>1439</v>
      </c>
      <c r="B287" s="0" t="s">
        <v>633</v>
      </c>
      <c r="C287" s="0" t="n">
        <v>2.55</v>
      </c>
    </row>
    <row r="288" customFormat="false" ht="15" hidden="false" customHeight="false" outlineLevel="0" collapsed="false">
      <c r="A288" s="0" t="s">
        <v>1440</v>
      </c>
      <c r="B288" s="0" t="s">
        <v>1441</v>
      </c>
      <c r="C288" s="0" t="n">
        <v>2.95</v>
      </c>
    </row>
    <row r="289" customFormat="false" ht="15" hidden="false" customHeight="false" outlineLevel="0" collapsed="false">
      <c r="A289" s="0" t="s">
        <v>1442</v>
      </c>
      <c r="B289" s="0" t="s">
        <v>1443</v>
      </c>
      <c r="C289" s="0" t="n">
        <v>2.55</v>
      </c>
    </row>
    <row r="290" customFormat="false" ht="15" hidden="false" customHeight="false" outlineLevel="0" collapsed="false">
      <c r="A290" s="0" t="s">
        <v>1444</v>
      </c>
      <c r="B290" s="0" t="s">
        <v>635</v>
      </c>
      <c r="C290" s="0" t="n">
        <v>2.55</v>
      </c>
    </row>
    <row r="291" customFormat="false" ht="15" hidden="false" customHeight="false" outlineLevel="0" collapsed="false">
      <c r="A291" s="0" t="s">
        <v>1445</v>
      </c>
      <c r="B291" s="0" t="s">
        <v>1446</v>
      </c>
      <c r="C291" s="0" t="n">
        <v>3.25</v>
      </c>
    </row>
    <row r="292" customFormat="false" ht="15" hidden="false" customHeight="false" outlineLevel="0" collapsed="false">
      <c r="A292" s="0" t="s">
        <v>1447</v>
      </c>
      <c r="B292" s="0" t="s">
        <v>1448</v>
      </c>
      <c r="C292" s="0" t="n">
        <v>3.25</v>
      </c>
    </row>
    <row r="293" customFormat="false" ht="15" hidden="false" customHeight="false" outlineLevel="0" collapsed="false">
      <c r="A293" s="0" t="s">
        <v>1449</v>
      </c>
      <c r="B293" s="0" t="s">
        <v>634</v>
      </c>
      <c r="C293" s="0" t="n">
        <v>2.55</v>
      </c>
    </row>
    <row r="294" customFormat="false" ht="15" hidden="false" customHeight="false" outlineLevel="0" collapsed="false">
      <c r="A294" s="0" t="s">
        <v>1450</v>
      </c>
      <c r="B294" s="0" t="s">
        <v>98</v>
      </c>
      <c r="C294" s="0" t="n">
        <v>4.95</v>
      </c>
    </row>
    <row r="295" customFormat="false" ht="15" hidden="false" customHeight="false" outlineLevel="0" collapsed="false">
      <c r="A295" s="0" t="s">
        <v>1451</v>
      </c>
      <c r="B295" s="0" t="s">
        <v>100</v>
      </c>
      <c r="C295" s="0" t="n">
        <v>4.95</v>
      </c>
    </row>
    <row r="296" customFormat="false" ht="15" hidden="false" customHeight="false" outlineLevel="0" collapsed="false">
      <c r="A296" s="0" t="s">
        <v>1452</v>
      </c>
      <c r="B296" s="0" t="s">
        <v>1453</v>
      </c>
      <c r="C296" s="0" t="n">
        <v>2.95</v>
      </c>
    </row>
    <row r="297" customFormat="false" ht="15" hidden="false" customHeight="false" outlineLevel="0" collapsed="false">
      <c r="A297" s="0" t="s">
        <v>1454</v>
      </c>
      <c r="B297" s="0" t="s">
        <v>806</v>
      </c>
      <c r="C297" s="0" t="n">
        <v>1.95</v>
      </c>
    </row>
    <row r="298" customFormat="false" ht="15" hidden="false" customHeight="false" outlineLevel="0" collapsed="false">
      <c r="A298" s="0" t="s">
        <v>1455</v>
      </c>
      <c r="B298" s="0" t="s">
        <v>1456</v>
      </c>
      <c r="C298" s="0" t="n">
        <v>1.95</v>
      </c>
    </row>
    <row r="299" customFormat="false" ht="15" hidden="false" customHeight="false" outlineLevel="0" collapsed="false">
      <c r="A299" s="0" t="s">
        <v>1457</v>
      </c>
      <c r="B299" s="0" t="s">
        <v>1458</v>
      </c>
      <c r="C299" s="0" t="n">
        <v>0.42</v>
      </c>
    </row>
    <row r="300" customFormat="false" ht="15" hidden="false" customHeight="false" outlineLevel="0" collapsed="false">
      <c r="A300" s="0" t="s">
        <v>1459</v>
      </c>
      <c r="B300" s="0" t="s">
        <v>1460</v>
      </c>
      <c r="C300" s="0" t="n">
        <v>1.65</v>
      </c>
    </row>
    <row r="301" customFormat="false" ht="15" hidden="false" customHeight="false" outlineLevel="0" collapsed="false">
      <c r="A301" s="0" t="s">
        <v>1461</v>
      </c>
      <c r="B301" s="0" t="s">
        <v>1462</v>
      </c>
      <c r="C301" s="0" t="n">
        <v>0.42</v>
      </c>
    </row>
    <row r="302" customFormat="false" ht="15" hidden="false" customHeight="false" outlineLevel="0" collapsed="false">
      <c r="A302" s="0" t="s">
        <v>1463</v>
      </c>
      <c r="B302" s="0" t="s">
        <v>1464</v>
      </c>
      <c r="C302" s="0" t="n">
        <v>0.42</v>
      </c>
    </row>
    <row r="303" customFormat="false" ht="15" hidden="false" customHeight="false" outlineLevel="0" collapsed="false">
      <c r="A303" s="0" t="s">
        <v>1465</v>
      </c>
      <c r="B303" s="0" t="s">
        <v>1466</v>
      </c>
      <c r="C303" s="0" t="n">
        <v>3.81</v>
      </c>
    </row>
    <row r="304" customFormat="false" ht="15" hidden="false" customHeight="false" outlineLevel="0" collapsed="false">
      <c r="A304" s="0" t="s">
        <v>1467</v>
      </c>
      <c r="B304" s="0" t="s">
        <v>1468</v>
      </c>
      <c r="C304" s="0" t="n">
        <v>3.75</v>
      </c>
    </row>
    <row r="305" customFormat="false" ht="15" hidden="false" customHeight="false" outlineLevel="0" collapsed="false">
      <c r="A305" s="0" t="s">
        <v>1469</v>
      </c>
      <c r="B305" s="0" t="s">
        <v>1470</v>
      </c>
      <c r="C305" s="0" t="n">
        <v>3.75</v>
      </c>
    </row>
    <row r="306" customFormat="false" ht="15" hidden="false" customHeight="false" outlineLevel="0" collapsed="false">
      <c r="A306" s="0" t="s">
        <v>1471</v>
      </c>
      <c r="B306" s="0" t="s">
        <v>1472</v>
      </c>
      <c r="C306" s="0" t="n">
        <v>3.75</v>
      </c>
    </row>
    <row r="307" customFormat="false" ht="15" hidden="false" customHeight="false" outlineLevel="0" collapsed="false">
      <c r="A307" s="0" t="s">
        <v>1473</v>
      </c>
      <c r="B307" s="0" t="s">
        <v>1474</v>
      </c>
      <c r="C307" s="0" t="n">
        <v>3.75</v>
      </c>
    </row>
    <row r="308" customFormat="false" ht="15" hidden="false" customHeight="false" outlineLevel="0" collapsed="false">
      <c r="A308" s="0" t="s">
        <v>1475</v>
      </c>
      <c r="B308" s="0" t="s">
        <v>1476</v>
      </c>
      <c r="C308" s="0" t="n">
        <v>0.85</v>
      </c>
    </row>
    <row r="309" customFormat="false" ht="15" hidden="false" customHeight="false" outlineLevel="0" collapsed="false">
      <c r="A309" s="0" t="s">
        <v>1477</v>
      </c>
      <c r="B309" s="0" t="s">
        <v>1478</v>
      </c>
      <c r="C309" s="0" t="n">
        <v>1.25</v>
      </c>
    </row>
    <row r="310" customFormat="false" ht="15" hidden="false" customHeight="false" outlineLevel="0" collapsed="false">
      <c r="A310" s="0" t="s">
        <v>1479</v>
      </c>
      <c r="B310" s="0" t="s">
        <v>1480</v>
      </c>
      <c r="C310" s="0" t="n">
        <v>3.75</v>
      </c>
    </row>
    <row r="311" customFormat="false" ht="15" hidden="false" customHeight="false" outlineLevel="0" collapsed="false">
      <c r="A311" s="0" t="s">
        <v>1481</v>
      </c>
      <c r="B311" s="0" t="s">
        <v>1482</v>
      </c>
      <c r="C311" s="0" t="n">
        <v>5.95</v>
      </c>
    </row>
    <row r="312" customFormat="false" ht="15" hidden="false" customHeight="false" outlineLevel="0" collapsed="false">
      <c r="A312" s="0" t="s">
        <v>1483</v>
      </c>
      <c r="B312" s="0" t="s">
        <v>1484</v>
      </c>
      <c r="C312" s="0" t="n">
        <v>2.95</v>
      </c>
    </row>
    <row r="313" customFormat="false" ht="15" hidden="false" customHeight="false" outlineLevel="0" collapsed="false">
      <c r="A313" s="0" t="s">
        <v>1485</v>
      </c>
      <c r="B313" s="0" t="s">
        <v>1486</v>
      </c>
      <c r="C313" s="0" t="n">
        <v>1.45</v>
      </c>
    </row>
    <row r="314" customFormat="false" ht="15" hidden="false" customHeight="false" outlineLevel="0" collapsed="false">
      <c r="A314" s="0" t="s">
        <v>1485</v>
      </c>
      <c r="B314" s="0" t="s">
        <v>197</v>
      </c>
      <c r="C314" s="0" t="n">
        <v>0.55</v>
      </c>
    </row>
    <row r="315" customFormat="false" ht="15" hidden="false" customHeight="false" outlineLevel="0" collapsed="false">
      <c r="A315" s="0" t="s">
        <v>1487</v>
      </c>
      <c r="B315" s="0" t="s">
        <v>1488</v>
      </c>
      <c r="C315" s="0" t="n">
        <v>7.62</v>
      </c>
    </row>
    <row r="316" customFormat="false" ht="15" hidden="false" customHeight="false" outlineLevel="0" collapsed="false">
      <c r="A316" s="0" t="s">
        <v>1489</v>
      </c>
      <c r="B316" s="0" t="s">
        <v>1490</v>
      </c>
      <c r="C316" s="0" t="n">
        <v>3.75</v>
      </c>
    </row>
    <row r="317" customFormat="false" ht="15" hidden="false" customHeight="false" outlineLevel="0" collapsed="false">
      <c r="A317" s="0" t="s">
        <v>1491</v>
      </c>
      <c r="B317" s="0" t="s">
        <v>1492</v>
      </c>
      <c r="C317" s="0" t="n">
        <v>3.75</v>
      </c>
    </row>
    <row r="318" customFormat="false" ht="15" hidden="false" customHeight="false" outlineLevel="0" collapsed="false">
      <c r="A318" s="0" t="s">
        <v>1493</v>
      </c>
      <c r="B318" s="0" t="s">
        <v>1494</v>
      </c>
      <c r="C318" s="0" t="n">
        <v>3.75</v>
      </c>
    </row>
    <row r="319" customFormat="false" ht="15" hidden="false" customHeight="false" outlineLevel="0" collapsed="false">
      <c r="A319" s="0" t="s">
        <v>1495</v>
      </c>
      <c r="B319" s="0" t="s">
        <v>1496</v>
      </c>
      <c r="C319" s="0" t="n">
        <v>2.95</v>
      </c>
    </row>
    <row r="320" customFormat="false" ht="15" hidden="false" customHeight="false" outlineLevel="0" collapsed="false">
      <c r="A320" s="0" t="s">
        <v>1497</v>
      </c>
      <c r="B320" s="0" t="s">
        <v>1498</v>
      </c>
      <c r="C320" s="0" t="n">
        <v>4.25</v>
      </c>
    </row>
    <row r="321" customFormat="false" ht="15" hidden="false" customHeight="false" outlineLevel="0" collapsed="false">
      <c r="A321" s="0" t="s">
        <v>1499</v>
      </c>
      <c r="B321" s="0" t="s">
        <v>1500</v>
      </c>
      <c r="C321" s="0" t="n">
        <v>7.62</v>
      </c>
    </row>
    <row r="322" customFormat="false" ht="15" hidden="false" customHeight="false" outlineLevel="0" collapsed="false">
      <c r="A322" s="0" t="s">
        <v>1501</v>
      </c>
      <c r="B322" s="0" t="s">
        <v>1502</v>
      </c>
      <c r="C322" s="0" t="n">
        <v>8.47</v>
      </c>
    </row>
    <row r="323" customFormat="false" ht="15" hidden="false" customHeight="false" outlineLevel="0" collapsed="false">
      <c r="A323" s="0" t="s">
        <v>1503</v>
      </c>
      <c r="B323" s="0" t="s">
        <v>1504</v>
      </c>
      <c r="C323" s="0" t="n">
        <v>2.55</v>
      </c>
    </row>
    <row r="324" customFormat="false" ht="15" hidden="false" customHeight="false" outlineLevel="0" collapsed="false">
      <c r="A324" s="0" t="s">
        <v>1505</v>
      </c>
      <c r="B324" s="0" t="s">
        <v>1506</v>
      </c>
      <c r="C324" s="0" t="n">
        <v>5.95</v>
      </c>
    </row>
    <row r="325" customFormat="false" ht="15" hidden="false" customHeight="false" outlineLevel="0" collapsed="false">
      <c r="A325" s="0" t="s">
        <v>1507</v>
      </c>
      <c r="B325" s="0" t="s">
        <v>1508</v>
      </c>
      <c r="C325" s="0" t="n">
        <v>1.65</v>
      </c>
    </row>
    <row r="326" customFormat="false" ht="15" hidden="false" customHeight="false" outlineLevel="0" collapsed="false">
      <c r="A326" s="0" t="s">
        <v>1509</v>
      </c>
      <c r="B326" s="0" t="s">
        <v>1510</v>
      </c>
      <c r="C326" s="0" t="n">
        <v>1.25</v>
      </c>
    </row>
    <row r="327" customFormat="false" ht="15" hidden="false" customHeight="false" outlineLevel="0" collapsed="false">
      <c r="A327" s="0" t="s">
        <v>1511</v>
      </c>
      <c r="B327" s="0" t="s">
        <v>1512</v>
      </c>
      <c r="C327" s="0" t="n">
        <v>1.25</v>
      </c>
    </row>
    <row r="328" customFormat="false" ht="15" hidden="false" customHeight="false" outlineLevel="0" collapsed="false">
      <c r="A328" s="0" t="s">
        <v>1513</v>
      </c>
      <c r="B328" s="0" t="s">
        <v>1514</v>
      </c>
      <c r="C328" s="0" t="n">
        <v>3.36</v>
      </c>
    </row>
    <row r="329" customFormat="false" ht="15" hidden="false" customHeight="false" outlineLevel="0" collapsed="false">
      <c r="A329" s="0" t="s">
        <v>1515</v>
      </c>
      <c r="B329" s="0" t="s">
        <v>1516</v>
      </c>
      <c r="C329" s="0" t="n">
        <v>0.85</v>
      </c>
    </row>
    <row r="330" customFormat="false" ht="15" hidden="false" customHeight="false" outlineLevel="0" collapsed="false">
      <c r="A330" s="0" t="s">
        <v>1517</v>
      </c>
      <c r="B330" s="0" t="s">
        <v>1518</v>
      </c>
      <c r="C330" s="0" t="n">
        <v>1.25</v>
      </c>
    </row>
    <row r="331" customFormat="false" ht="15" hidden="false" customHeight="false" outlineLevel="0" collapsed="false">
      <c r="A331" s="0" t="s">
        <v>1519</v>
      </c>
      <c r="B331" s="0" t="s">
        <v>1520</v>
      </c>
      <c r="C331" s="0" t="n">
        <v>1.65</v>
      </c>
    </row>
    <row r="332" customFormat="false" ht="15" hidden="false" customHeight="false" outlineLevel="0" collapsed="false">
      <c r="A332" s="0" t="s">
        <v>1521</v>
      </c>
      <c r="B332" s="0" t="s">
        <v>1522</v>
      </c>
      <c r="C332" s="0" t="n">
        <v>0.85</v>
      </c>
    </row>
    <row r="333" customFormat="false" ht="15" hidden="false" customHeight="false" outlineLevel="0" collapsed="false">
      <c r="A333" s="0" t="s">
        <v>1523</v>
      </c>
      <c r="B333" s="0" t="s">
        <v>1524</v>
      </c>
      <c r="C333" s="0" t="n">
        <v>1.25</v>
      </c>
    </row>
    <row r="334" customFormat="false" ht="15" hidden="false" customHeight="false" outlineLevel="0" collapsed="false">
      <c r="A334" s="0" t="s">
        <v>1525</v>
      </c>
      <c r="B334" s="0" t="s">
        <v>1526</v>
      </c>
      <c r="C334" s="0" t="n">
        <v>0.85</v>
      </c>
    </row>
    <row r="335" customFormat="false" ht="15" hidden="false" customHeight="false" outlineLevel="0" collapsed="false">
      <c r="A335" s="0" t="s">
        <v>1527</v>
      </c>
      <c r="B335" s="0" t="s">
        <v>1528</v>
      </c>
      <c r="C335" s="0" t="n">
        <v>1.65</v>
      </c>
    </row>
    <row r="336" customFormat="false" ht="15" hidden="false" customHeight="false" outlineLevel="0" collapsed="false">
      <c r="A336" s="0" t="s">
        <v>1529</v>
      </c>
      <c r="B336" s="0" t="s">
        <v>1530</v>
      </c>
      <c r="C336" s="0" t="n">
        <v>1.25</v>
      </c>
    </row>
    <row r="337" customFormat="false" ht="15" hidden="false" customHeight="false" outlineLevel="0" collapsed="false">
      <c r="A337" s="0" t="s">
        <v>1531</v>
      </c>
      <c r="B337" s="0" t="s">
        <v>1532</v>
      </c>
      <c r="C337" s="0" t="n">
        <v>5.95</v>
      </c>
    </row>
    <row r="338" customFormat="false" ht="15" hidden="false" customHeight="false" outlineLevel="0" collapsed="false">
      <c r="A338" s="0" t="s">
        <v>1533</v>
      </c>
      <c r="B338" s="0" t="s">
        <v>1534</v>
      </c>
      <c r="C338" s="0" t="n">
        <v>5.91</v>
      </c>
    </row>
    <row r="339" customFormat="false" ht="15" hidden="false" customHeight="false" outlineLevel="0" collapsed="false">
      <c r="A339" s="0" t="s">
        <v>1535</v>
      </c>
      <c r="B339" s="0" t="s">
        <v>1536</v>
      </c>
      <c r="C339" s="0" t="n">
        <v>3.43</v>
      </c>
    </row>
    <row r="340" customFormat="false" ht="15" hidden="false" customHeight="false" outlineLevel="0" collapsed="false">
      <c r="A340" s="0" t="s">
        <v>1537</v>
      </c>
      <c r="B340" s="0" t="s">
        <v>1538</v>
      </c>
      <c r="C340" s="0" t="n">
        <v>1.95</v>
      </c>
    </row>
    <row r="341" customFormat="false" ht="15" hidden="false" customHeight="false" outlineLevel="0" collapsed="false">
      <c r="A341" s="0" t="s">
        <v>1539</v>
      </c>
      <c r="B341" s="0" t="s">
        <v>1540</v>
      </c>
      <c r="C341" s="0" t="n">
        <v>0.42</v>
      </c>
    </row>
    <row r="342" customFormat="false" ht="15" hidden="false" customHeight="false" outlineLevel="0" collapsed="false">
      <c r="A342" s="0" t="s">
        <v>1541</v>
      </c>
      <c r="B342" s="0" t="s">
        <v>1542</v>
      </c>
      <c r="C342" s="0" t="n">
        <v>16.95</v>
      </c>
    </row>
    <row r="343" customFormat="false" ht="15" hidden="false" customHeight="false" outlineLevel="0" collapsed="false">
      <c r="A343" s="0" t="s">
        <v>1543</v>
      </c>
      <c r="B343" s="0" t="s">
        <v>1544</v>
      </c>
      <c r="C343" s="0" t="n">
        <v>0.85</v>
      </c>
    </row>
    <row r="344" customFormat="false" ht="15" hidden="false" customHeight="false" outlineLevel="0" collapsed="false">
      <c r="A344" s="0" t="s">
        <v>1545</v>
      </c>
      <c r="B344" s="0" t="s">
        <v>1546</v>
      </c>
      <c r="C344" s="0" t="n">
        <v>6.75</v>
      </c>
    </row>
    <row r="345" customFormat="false" ht="15" hidden="false" customHeight="false" outlineLevel="0" collapsed="false">
      <c r="A345" s="0" t="s">
        <v>1547</v>
      </c>
      <c r="B345" s="0" t="s">
        <v>192</v>
      </c>
      <c r="C345" s="0" t="n">
        <v>1.69</v>
      </c>
    </row>
    <row r="346" customFormat="false" ht="15" hidden="false" customHeight="false" outlineLevel="0" collapsed="false">
      <c r="A346" s="0" t="s">
        <v>1548</v>
      </c>
      <c r="B346" s="0" t="s">
        <v>1549</v>
      </c>
      <c r="C346" s="0" t="n">
        <v>0.85</v>
      </c>
    </row>
    <row r="347" customFormat="false" ht="15" hidden="false" customHeight="false" outlineLevel="0" collapsed="false">
      <c r="A347" s="0" t="s">
        <v>1550</v>
      </c>
      <c r="B347" s="0" t="s">
        <v>1551</v>
      </c>
      <c r="C347" s="0" t="n">
        <v>19.95</v>
      </c>
    </row>
    <row r="348" customFormat="false" ht="15" hidden="false" customHeight="false" outlineLevel="0" collapsed="false">
      <c r="A348" s="0" t="s">
        <v>1552</v>
      </c>
      <c r="B348" s="0" t="s">
        <v>1553</v>
      </c>
      <c r="C348" s="0" t="n">
        <v>5.94</v>
      </c>
    </row>
    <row r="349" customFormat="false" ht="15" hidden="false" customHeight="false" outlineLevel="0" collapsed="false">
      <c r="A349" s="0" t="s">
        <v>1554</v>
      </c>
      <c r="B349" s="0" t="s">
        <v>1555</v>
      </c>
      <c r="C349" s="0" t="n">
        <v>3.75</v>
      </c>
    </row>
    <row r="350" customFormat="false" ht="15" hidden="false" customHeight="false" outlineLevel="0" collapsed="false">
      <c r="A350" s="0" t="s">
        <v>1556</v>
      </c>
      <c r="B350" s="0" t="s">
        <v>1557</v>
      </c>
      <c r="C350" s="0" t="n">
        <v>0.85</v>
      </c>
    </row>
    <row r="351" customFormat="false" ht="15" hidden="false" customHeight="false" outlineLevel="0" collapsed="false">
      <c r="A351" s="0" t="s">
        <v>1558</v>
      </c>
      <c r="B351" s="0" t="s">
        <v>1559</v>
      </c>
      <c r="C351" s="0" t="n">
        <v>1.66</v>
      </c>
    </row>
    <row r="352" customFormat="false" ht="15" hidden="false" customHeight="false" outlineLevel="0" collapsed="false">
      <c r="A352" s="0" t="s">
        <v>1560</v>
      </c>
      <c r="B352" s="0" t="s">
        <v>1561</v>
      </c>
      <c r="C352" s="0" t="n">
        <v>0.85</v>
      </c>
    </row>
    <row r="353" customFormat="false" ht="15" hidden="false" customHeight="false" outlineLevel="0" collapsed="false">
      <c r="A353" s="0" t="s">
        <v>1562</v>
      </c>
      <c r="B353" s="0" t="s">
        <v>349</v>
      </c>
      <c r="C353" s="0" t="n">
        <v>2.55</v>
      </c>
    </row>
    <row r="354" customFormat="false" ht="15" hidden="false" customHeight="false" outlineLevel="0" collapsed="false">
      <c r="A354" s="0" t="s">
        <v>1563</v>
      </c>
      <c r="B354" s="0" t="s">
        <v>1564</v>
      </c>
      <c r="C354" s="0" t="n">
        <v>1.25</v>
      </c>
    </row>
    <row r="355" customFormat="false" ht="15" hidden="false" customHeight="false" outlineLevel="0" collapsed="false">
      <c r="A355" s="0" t="s">
        <v>1565</v>
      </c>
      <c r="B355" s="0" t="s">
        <v>877</v>
      </c>
      <c r="C355" s="0" t="n">
        <v>1.25</v>
      </c>
    </row>
    <row r="356" customFormat="false" ht="15" hidden="false" customHeight="false" outlineLevel="0" collapsed="false">
      <c r="A356" s="0" t="s">
        <v>1566</v>
      </c>
      <c r="B356" s="0" t="s">
        <v>1567</v>
      </c>
      <c r="C356" s="0" t="n">
        <v>1.25</v>
      </c>
    </row>
    <row r="357" customFormat="false" ht="15" hidden="false" customHeight="false" outlineLevel="0" collapsed="false">
      <c r="A357" s="0" t="s">
        <v>1568</v>
      </c>
      <c r="B357" s="0" t="s">
        <v>1569</v>
      </c>
      <c r="C357" s="0" t="n">
        <v>1.25</v>
      </c>
    </row>
    <row r="358" customFormat="false" ht="15" hidden="false" customHeight="false" outlineLevel="0" collapsed="false">
      <c r="A358" s="0" t="s">
        <v>1570</v>
      </c>
      <c r="B358" s="0" t="s">
        <v>1571</v>
      </c>
      <c r="C358" s="0" t="n">
        <v>5.95</v>
      </c>
    </row>
    <row r="359" customFormat="false" ht="15" hidden="false" customHeight="false" outlineLevel="0" collapsed="false">
      <c r="A359" s="0" t="s">
        <v>1572</v>
      </c>
      <c r="B359" s="0" t="s">
        <v>1573</v>
      </c>
      <c r="C359" s="0" t="n">
        <v>0.42</v>
      </c>
    </row>
    <row r="360" customFormat="false" ht="15" hidden="false" customHeight="false" outlineLevel="0" collapsed="false">
      <c r="A360" s="0" t="s">
        <v>1574</v>
      </c>
      <c r="B360" s="0" t="s">
        <v>1575</v>
      </c>
      <c r="C360" s="0" t="n">
        <v>0.42</v>
      </c>
    </row>
    <row r="361" customFormat="false" ht="15" hidden="false" customHeight="false" outlineLevel="0" collapsed="false">
      <c r="A361" s="0" t="s">
        <v>1576</v>
      </c>
      <c r="B361" s="0" t="s">
        <v>1577</v>
      </c>
      <c r="C361" s="0" t="n">
        <v>1.25</v>
      </c>
    </row>
    <row r="362" customFormat="false" ht="15" hidden="false" customHeight="false" outlineLevel="0" collapsed="false">
      <c r="A362" s="0" t="s">
        <v>1578</v>
      </c>
      <c r="B362" s="0" t="s">
        <v>1579</v>
      </c>
      <c r="C362" s="0" t="n">
        <v>6.75</v>
      </c>
    </row>
    <row r="363" customFormat="false" ht="15" hidden="false" customHeight="false" outlineLevel="0" collapsed="false">
      <c r="A363" s="0" t="s">
        <v>1580</v>
      </c>
      <c r="B363" s="0" t="s">
        <v>1581</v>
      </c>
      <c r="C363" s="0" t="n">
        <v>6.75</v>
      </c>
    </row>
    <row r="364" customFormat="false" ht="15" hidden="false" customHeight="false" outlineLevel="0" collapsed="false">
      <c r="A364" s="0" t="s">
        <v>1582</v>
      </c>
      <c r="B364" s="0" t="s">
        <v>1583</v>
      </c>
      <c r="C364" s="0" t="n">
        <v>1.25</v>
      </c>
    </row>
    <row r="365" customFormat="false" ht="15" hidden="false" customHeight="false" outlineLevel="0" collapsed="false">
      <c r="A365" s="0" t="s">
        <v>1584</v>
      </c>
      <c r="B365" s="0" t="s">
        <v>1585</v>
      </c>
      <c r="C365" s="0" t="n">
        <v>2.96</v>
      </c>
    </row>
    <row r="366" customFormat="false" ht="15" hidden="false" customHeight="false" outlineLevel="0" collapsed="false">
      <c r="A366" s="0" t="s">
        <v>1586</v>
      </c>
      <c r="B366" s="0" t="s">
        <v>1587</v>
      </c>
      <c r="C366" s="0" t="n">
        <v>12.75</v>
      </c>
    </row>
    <row r="367" customFormat="false" ht="15" hidden="false" customHeight="false" outlineLevel="0" collapsed="false">
      <c r="A367" s="0" t="s">
        <v>1588</v>
      </c>
      <c r="B367" s="0" t="s">
        <v>1589</v>
      </c>
      <c r="C367" s="0" t="n">
        <v>2.1</v>
      </c>
    </row>
    <row r="368" customFormat="false" ht="15" hidden="false" customHeight="false" outlineLevel="0" collapsed="false">
      <c r="A368" s="0" t="s">
        <v>1590</v>
      </c>
      <c r="B368" s="0" t="s">
        <v>1591</v>
      </c>
      <c r="C368" s="0" t="n">
        <v>2.95</v>
      </c>
    </row>
    <row r="369" customFormat="false" ht="15" hidden="false" customHeight="false" outlineLevel="0" collapsed="false">
      <c r="A369" s="0" t="s">
        <v>1592</v>
      </c>
      <c r="B369" s="0" t="s">
        <v>1593</v>
      </c>
      <c r="C369" s="0" t="n">
        <v>1.25</v>
      </c>
    </row>
    <row r="370" customFormat="false" ht="15" hidden="false" customHeight="false" outlineLevel="0" collapsed="false">
      <c r="A370" s="0" t="s">
        <v>1594</v>
      </c>
      <c r="B370" s="0" t="s">
        <v>1595</v>
      </c>
      <c r="C370" s="0" t="n">
        <v>0.38</v>
      </c>
    </row>
    <row r="371" customFormat="false" ht="15" hidden="false" customHeight="false" outlineLevel="0" collapsed="false">
      <c r="A371" s="0" t="s">
        <v>1596</v>
      </c>
      <c r="B371" s="0" t="s">
        <v>1597</v>
      </c>
      <c r="C371" s="0" t="n">
        <v>9.95</v>
      </c>
    </row>
    <row r="372" customFormat="false" ht="15" hidden="false" customHeight="false" outlineLevel="0" collapsed="false">
      <c r="A372" s="0" t="s">
        <v>1598</v>
      </c>
      <c r="B372" s="0" t="s">
        <v>1599</v>
      </c>
      <c r="C372" s="0" t="n">
        <v>12.75</v>
      </c>
    </row>
    <row r="373" customFormat="false" ht="15" hidden="false" customHeight="false" outlineLevel="0" collapsed="false">
      <c r="A373" s="0" t="s">
        <v>1600</v>
      </c>
      <c r="B373" s="0" t="s">
        <v>1601</v>
      </c>
      <c r="C373" s="0" t="n">
        <v>12.75</v>
      </c>
    </row>
    <row r="374" customFormat="false" ht="15" hidden="false" customHeight="false" outlineLevel="0" collapsed="false">
      <c r="A374" s="0" t="s">
        <v>1602</v>
      </c>
      <c r="B374" s="0" t="s">
        <v>1603</v>
      </c>
      <c r="C374" s="0" t="n">
        <v>1.25</v>
      </c>
    </row>
    <row r="375" customFormat="false" ht="15" hidden="false" customHeight="false" outlineLevel="0" collapsed="false">
      <c r="A375" s="0" t="s">
        <v>1604</v>
      </c>
      <c r="B375" s="0" t="s">
        <v>1605</v>
      </c>
      <c r="C375" s="0" t="n">
        <v>5.95</v>
      </c>
    </row>
    <row r="376" customFormat="false" ht="15" hidden="false" customHeight="false" outlineLevel="0" collapsed="false">
      <c r="A376" s="0" t="s">
        <v>1606</v>
      </c>
      <c r="B376" s="0" t="s">
        <v>1607</v>
      </c>
      <c r="C376" s="0" t="n">
        <v>1.66</v>
      </c>
    </row>
    <row r="377" customFormat="false" ht="15" hidden="false" customHeight="false" outlineLevel="0" collapsed="false">
      <c r="A377" s="0" t="s">
        <v>1608</v>
      </c>
      <c r="B377" s="0" t="s">
        <v>1609</v>
      </c>
      <c r="C377" s="0" t="n">
        <v>1.65</v>
      </c>
    </row>
    <row r="378" customFormat="false" ht="15" hidden="false" customHeight="false" outlineLevel="0" collapsed="false">
      <c r="A378" s="0" t="s">
        <v>1610</v>
      </c>
      <c r="B378" s="0" t="s">
        <v>1611</v>
      </c>
      <c r="C378" s="0" t="n">
        <v>6.75</v>
      </c>
    </row>
    <row r="379" customFormat="false" ht="15" hidden="false" customHeight="false" outlineLevel="0" collapsed="false">
      <c r="A379" s="0" t="s">
        <v>1612</v>
      </c>
      <c r="B379" s="0" t="s">
        <v>1613</v>
      </c>
      <c r="C379" s="0" t="n">
        <v>1.25</v>
      </c>
    </row>
    <row r="380" customFormat="false" ht="15" hidden="false" customHeight="false" outlineLevel="0" collapsed="false">
      <c r="A380" s="0" t="s">
        <v>1614</v>
      </c>
      <c r="B380" s="0" t="s">
        <v>1615</v>
      </c>
      <c r="C380" s="0" t="n">
        <v>8.49</v>
      </c>
    </row>
    <row r="381" customFormat="false" ht="15" hidden="false" customHeight="false" outlineLevel="0" collapsed="false">
      <c r="A381" s="0" t="s">
        <v>1616</v>
      </c>
      <c r="B381" s="0" t="s">
        <v>1617</v>
      </c>
      <c r="C381" s="0" t="n">
        <v>2.95</v>
      </c>
    </row>
    <row r="382" customFormat="false" ht="15" hidden="false" customHeight="false" outlineLevel="0" collapsed="false">
      <c r="A382" s="0" t="s">
        <v>1618</v>
      </c>
      <c r="B382" s="0" t="s">
        <v>1619</v>
      </c>
      <c r="C382" s="0" t="n">
        <v>8.95</v>
      </c>
    </row>
    <row r="383" customFormat="false" ht="15" hidden="false" customHeight="false" outlineLevel="0" collapsed="false">
      <c r="A383" s="0" t="s">
        <v>1620</v>
      </c>
      <c r="B383" s="0" t="s">
        <v>1621</v>
      </c>
      <c r="C383" s="0" t="n">
        <v>2.95</v>
      </c>
    </row>
    <row r="384" customFormat="false" ht="15" hidden="false" customHeight="false" outlineLevel="0" collapsed="false">
      <c r="A384" s="0" t="s">
        <v>1622</v>
      </c>
      <c r="B384" s="0" t="s">
        <v>1623</v>
      </c>
      <c r="C384" s="0" t="n">
        <v>4.25</v>
      </c>
    </row>
    <row r="385" customFormat="false" ht="15" hidden="false" customHeight="false" outlineLevel="0" collapsed="false">
      <c r="A385" s="0" t="s">
        <v>1624</v>
      </c>
      <c r="B385" s="0" t="s">
        <v>1625</v>
      </c>
      <c r="C385" s="0" t="n">
        <v>2.55</v>
      </c>
    </row>
    <row r="386" customFormat="false" ht="15" hidden="false" customHeight="false" outlineLevel="0" collapsed="false">
      <c r="A386" s="0" t="s">
        <v>1626</v>
      </c>
      <c r="B386" s="0" t="s">
        <v>1627</v>
      </c>
      <c r="C386" s="0" t="n">
        <v>8.95</v>
      </c>
    </row>
    <row r="387" customFormat="false" ht="15" hidden="false" customHeight="false" outlineLevel="0" collapsed="false">
      <c r="A387" s="0" t="s">
        <v>1628</v>
      </c>
      <c r="B387" s="0" t="s">
        <v>1629</v>
      </c>
      <c r="C387" s="0" t="n">
        <v>8.5</v>
      </c>
    </row>
    <row r="388" customFormat="false" ht="15" hidden="false" customHeight="false" outlineLevel="0" collapsed="false">
      <c r="A388" s="0" t="s">
        <v>1630</v>
      </c>
      <c r="B388" s="0" t="s">
        <v>1631</v>
      </c>
      <c r="C388" s="0" t="n">
        <v>10.2</v>
      </c>
    </row>
    <row r="389" customFormat="false" ht="15" hidden="false" customHeight="false" outlineLevel="0" collapsed="false">
      <c r="A389" s="0" t="s">
        <v>1632</v>
      </c>
      <c r="B389" s="0" t="s">
        <v>1633</v>
      </c>
      <c r="C389" s="0" t="n">
        <v>3.03</v>
      </c>
    </row>
    <row r="390" customFormat="false" ht="15" hidden="false" customHeight="false" outlineLevel="0" collapsed="false">
      <c r="A390" s="0" t="s">
        <v>1634</v>
      </c>
      <c r="B390" s="0" t="s">
        <v>1635</v>
      </c>
      <c r="C390" s="0" t="n">
        <v>5.49</v>
      </c>
    </row>
    <row r="391" customFormat="false" ht="15" hidden="false" customHeight="false" outlineLevel="0" collapsed="false">
      <c r="A391" s="0" t="s">
        <v>1636</v>
      </c>
      <c r="B391" s="0" t="s">
        <v>285</v>
      </c>
      <c r="C391" s="0" t="n">
        <v>2.96</v>
      </c>
    </row>
    <row r="392" customFormat="false" ht="15" hidden="false" customHeight="false" outlineLevel="0" collapsed="false">
      <c r="A392" s="0" t="s">
        <v>1637</v>
      </c>
      <c r="B392" s="0" t="s">
        <v>1638</v>
      </c>
      <c r="C392" s="0" t="n">
        <v>1.65</v>
      </c>
    </row>
    <row r="393" customFormat="false" ht="15" hidden="false" customHeight="false" outlineLevel="0" collapsed="false">
      <c r="A393" s="0" t="s">
        <v>1639</v>
      </c>
      <c r="B393" s="0" t="s">
        <v>1640</v>
      </c>
      <c r="C393" s="0" t="n">
        <v>3.75</v>
      </c>
    </row>
    <row r="394" customFormat="false" ht="15" hidden="false" customHeight="false" outlineLevel="0" collapsed="false">
      <c r="A394" s="0" t="s">
        <v>1641</v>
      </c>
      <c r="B394" s="0" t="s">
        <v>1642</v>
      </c>
      <c r="C394" s="0" t="n">
        <v>0.19</v>
      </c>
    </row>
    <row r="395" customFormat="false" ht="15" hidden="false" customHeight="false" outlineLevel="0" collapsed="false">
      <c r="A395" s="0" t="s">
        <v>1643</v>
      </c>
      <c r="B395" s="0" t="s">
        <v>1644</v>
      </c>
      <c r="C395" s="0" t="n">
        <v>5.95</v>
      </c>
    </row>
    <row r="396" customFormat="false" ht="15" hidden="false" customHeight="false" outlineLevel="0" collapsed="false">
      <c r="A396" s="0" t="s">
        <v>1645</v>
      </c>
      <c r="B396" s="0" t="s">
        <v>1646</v>
      </c>
      <c r="C396" s="0" t="n">
        <v>0.42</v>
      </c>
    </row>
    <row r="397" customFormat="false" ht="15" hidden="false" customHeight="false" outlineLevel="0" collapsed="false">
      <c r="A397" s="0" t="s">
        <v>1647</v>
      </c>
      <c r="B397" s="0" t="s">
        <v>1648</v>
      </c>
      <c r="C397" s="0" t="n">
        <v>0.85</v>
      </c>
    </row>
    <row r="398" customFormat="false" ht="15" hidden="false" customHeight="false" outlineLevel="0" collapsed="false">
      <c r="A398" s="0" t="s">
        <v>1649</v>
      </c>
      <c r="B398" s="0" t="s">
        <v>1650</v>
      </c>
      <c r="C398" s="0" t="n">
        <v>8.95</v>
      </c>
    </row>
    <row r="399" customFormat="false" ht="15" hidden="false" customHeight="false" outlineLevel="0" collapsed="false">
      <c r="A399" s="0" t="s">
        <v>1651</v>
      </c>
      <c r="B399" s="0" t="s">
        <v>1652</v>
      </c>
      <c r="C399" s="0" t="n">
        <v>12.75</v>
      </c>
    </row>
    <row r="400" customFormat="false" ht="15" hidden="false" customHeight="false" outlineLevel="0" collapsed="false">
      <c r="A400" s="0" t="s">
        <v>1653</v>
      </c>
      <c r="B400" s="0" t="s">
        <v>1654</v>
      </c>
      <c r="C400" s="0" t="n">
        <v>5.09</v>
      </c>
    </row>
    <row r="401" customFormat="false" ht="15" hidden="false" customHeight="false" outlineLevel="0" collapsed="false">
      <c r="A401" s="0" t="s">
        <v>1655</v>
      </c>
      <c r="B401" s="0" t="s">
        <v>1656</v>
      </c>
      <c r="C401" s="0" t="n">
        <v>4.25</v>
      </c>
    </row>
    <row r="402" customFormat="false" ht="15" hidden="false" customHeight="false" outlineLevel="0" collapsed="false">
      <c r="A402" s="0" t="s">
        <v>1657</v>
      </c>
      <c r="B402" s="0" t="s">
        <v>1658</v>
      </c>
      <c r="C402" s="0" t="n">
        <v>9.34</v>
      </c>
    </row>
    <row r="403" customFormat="false" ht="15" hidden="false" customHeight="false" outlineLevel="0" collapsed="false">
      <c r="A403" s="0" t="s">
        <v>1659</v>
      </c>
      <c r="B403" s="0" t="s">
        <v>1660</v>
      </c>
      <c r="C403" s="0" t="n">
        <v>4.25</v>
      </c>
    </row>
    <row r="404" customFormat="false" ht="15" hidden="false" customHeight="false" outlineLevel="0" collapsed="false">
      <c r="A404" s="0" t="s">
        <v>1661</v>
      </c>
      <c r="B404" s="0" t="s">
        <v>1662</v>
      </c>
      <c r="C404" s="0" t="n">
        <v>3.95</v>
      </c>
    </row>
    <row r="405" customFormat="false" ht="15" hidden="false" customHeight="false" outlineLevel="0" collapsed="false">
      <c r="A405" s="0" t="s">
        <v>1663</v>
      </c>
      <c r="B405" s="0" t="s">
        <v>223</v>
      </c>
      <c r="C405" s="0" t="n">
        <v>8.5</v>
      </c>
    </row>
    <row r="406" customFormat="false" ht="15" hidden="false" customHeight="false" outlineLevel="0" collapsed="false">
      <c r="A406" s="0" t="s">
        <v>1664</v>
      </c>
      <c r="B406" s="0" t="s">
        <v>1665</v>
      </c>
      <c r="C406" s="0" t="n">
        <v>1.25</v>
      </c>
    </row>
    <row r="407" customFormat="false" ht="15" hidden="false" customHeight="false" outlineLevel="0" collapsed="false">
      <c r="A407" s="0" t="s">
        <v>1666</v>
      </c>
      <c r="B407" s="0" t="s">
        <v>1667</v>
      </c>
      <c r="C407" s="0" t="n">
        <v>3.75</v>
      </c>
    </row>
    <row r="408" customFormat="false" ht="15" hidden="false" customHeight="false" outlineLevel="0" collapsed="false">
      <c r="A408" s="0" t="s">
        <v>1668</v>
      </c>
      <c r="B408" s="0" t="s">
        <v>1669</v>
      </c>
      <c r="C408" s="0" t="n">
        <v>3.75</v>
      </c>
    </row>
    <row r="409" customFormat="false" ht="15" hidden="false" customHeight="false" outlineLevel="0" collapsed="false">
      <c r="A409" s="0" t="s">
        <v>1670</v>
      </c>
      <c r="B409" s="0" t="s">
        <v>1671</v>
      </c>
      <c r="C409" s="0" t="n">
        <v>3.75</v>
      </c>
    </row>
    <row r="410" customFormat="false" ht="15" hidden="false" customHeight="false" outlineLevel="0" collapsed="false">
      <c r="A410" s="0" t="s">
        <v>1672</v>
      </c>
      <c r="B410" s="0" t="s">
        <v>1673</v>
      </c>
      <c r="C410" s="0" t="n">
        <v>0.85</v>
      </c>
    </row>
    <row r="411" customFormat="false" ht="15" hidden="false" customHeight="false" outlineLevel="0" collapsed="false">
      <c r="A411" s="0" t="s">
        <v>1674</v>
      </c>
      <c r="B411" s="0" t="s">
        <v>1675</v>
      </c>
      <c r="C411" s="0" t="n">
        <v>5.95</v>
      </c>
    </row>
    <row r="412" customFormat="false" ht="15" hidden="false" customHeight="false" outlineLevel="0" collapsed="false">
      <c r="A412" s="0" t="s">
        <v>1676</v>
      </c>
      <c r="B412" s="0" t="s">
        <v>1677</v>
      </c>
      <c r="C412" s="0" t="n">
        <v>0.42</v>
      </c>
    </row>
    <row r="413" customFormat="false" ht="15" hidden="false" customHeight="false" outlineLevel="0" collapsed="false">
      <c r="A413" s="0" t="s">
        <v>1678</v>
      </c>
      <c r="B413" s="0" t="s">
        <v>1679</v>
      </c>
      <c r="C413" s="0" t="n">
        <v>1.95</v>
      </c>
    </row>
    <row r="414" customFormat="false" ht="15" hidden="false" customHeight="false" outlineLevel="0" collapsed="false">
      <c r="A414" s="0" t="s">
        <v>1680</v>
      </c>
      <c r="B414" s="0" t="s">
        <v>1681</v>
      </c>
      <c r="C414" s="0" t="n">
        <v>2.95</v>
      </c>
    </row>
    <row r="415" customFormat="false" ht="15" hidden="false" customHeight="false" outlineLevel="0" collapsed="false">
      <c r="A415" s="0" t="s">
        <v>1682</v>
      </c>
      <c r="B415" s="0" t="s">
        <v>1683</v>
      </c>
      <c r="C415" s="0" t="n">
        <v>1.65</v>
      </c>
    </row>
    <row r="416" customFormat="false" ht="15" hidden="false" customHeight="false" outlineLevel="0" collapsed="false">
      <c r="A416" s="0" t="s">
        <v>1684</v>
      </c>
      <c r="B416" s="0" t="s">
        <v>1685</v>
      </c>
      <c r="C416" s="0" t="n">
        <v>3.75</v>
      </c>
    </row>
    <row r="417" customFormat="false" ht="15" hidden="false" customHeight="false" outlineLevel="0" collapsed="false">
      <c r="A417" s="0" t="s">
        <v>1686</v>
      </c>
      <c r="B417" s="0" t="s">
        <v>1687</v>
      </c>
      <c r="C417" s="0" t="n">
        <v>34</v>
      </c>
    </row>
    <row r="418" customFormat="false" ht="15" hidden="false" customHeight="false" outlineLevel="0" collapsed="false">
      <c r="A418" s="0" t="s">
        <v>1688</v>
      </c>
      <c r="B418" s="0" t="s">
        <v>1689</v>
      </c>
      <c r="C418" s="0" t="n">
        <v>1.95</v>
      </c>
    </row>
    <row r="419" customFormat="false" ht="15" hidden="false" customHeight="false" outlineLevel="0" collapsed="false">
      <c r="A419" s="0" t="s">
        <v>1690</v>
      </c>
      <c r="B419" s="0" t="s">
        <v>1691</v>
      </c>
      <c r="C419" s="0" t="n">
        <v>2.55</v>
      </c>
    </row>
    <row r="420" customFormat="false" ht="15" hidden="false" customHeight="false" outlineLevel="0" collapsed="false">
      <c r="A420" s="0" t="s">
        <v>1692</v>
      </c>
      <c r="B420" s="0" t="s">
        <v>1693</v>
      </c>
      <c r="C420" s="0" t="n">
        <v>2.1</v>
      </c>
    </row>
    <row r="421" customFormat="false" ht="15" hidden="false" customHeight="false" outlineLevel="0" collapsed="false">
      <c r="A421" s="0" t="s">
        <v>1694</v>
      </c>
      <c r="B421" s="0" t="s">
        <v>1695</v>
      </c>
      <c r="C421" s="0" t="n">
        <v>0.85</v>
      </c>
    </row>
    <row r="422" customFormat="false" ht="15" hidden="false" customHeight="false" outlineLevel="0" collapsed="false">
      <c r="A422" s="0" t="s">
        <v>1694</v>
      </c>
      <c r="B422" s="0" t="s">
        <v>1696</v>
      </c>
      <c r="C422" s="0" t="n">
        <v>2.1</v>
      </c>
    </row>
    <row r="423" customFormat="false" ht="15" hidden="false" customHeight="false" outlineLevel="0" collapsed="false">
      <c r="A423" s="0" t="s">
        <v>1697</v>
      </c>
      <c r="B423" s="0" t="s">
        <v>1698</v>
      </c>
      <c r="C423" s="0" t="n">
        <v>0.19</v>
      </c>
    </row>
    <row r="424" customFormat="false" ht="15" hidden="false" customHeight="false" outlineLevel="0" collapsed="false">
      <c r="A424" s="0" t="s">
        <v>1699</v>
      </c>
      <c r="B424" s="0" t="s">
        <v>1700</v>
      </c>
      <c r="C424" s="0" t="n">
        <v>1.95</v>
      </c>
    </row>
    <row r="425" customFormat="false" ht="15" hidden="false" customHeight="false" outlineLevel="0" collapsed="false">
      <c r="A425" s="0" t="s">
        <v>1701</v>
      </c>
      <c r="B425" s="0" t="s">
        <v>592</v>
      </c>
      <c r="C425" s="0" t="n">
        <v>2.55</v>
      </c>
    </row>
    <row r="426" customFormat="false" ht="15" hidden="false" customHeight="false" outlineLevel="0" collapsed="false">
      <c r="A426" s="0" t="s">
        <v>1702</v>
      </c>
      <c r="B426" s="0" t="s">
        <v>1703</v>
      </c>
      <c r="C426" s="0" t="n">
        <v>3.75</v>
      </c>
    </row>
    <row r="427" customFormat="false" ht="15" hidden="false" customHeight="false" outlineLevel="0" collapsed="false">
      <c r="A427" s="0" t="s">
        <v>1704</v>
      </c>
      <c r="B427" s="0" t="s">
        <v>1705</v>
      </c>
      <c r="C427" s="0" t="n">
        <v>4.25</v>
      </c>
    </row>
    <row r="428" customFormat="false" ht="15" hidden="false" customHeight="false" outlineLevel="0" collapsed="false">
      <c r="A428" s="0" t="s">
        <v>1706</v>
      </c>
      <c r="B428" s="0" t="s">
        <v>1707</v>
      </c>
      <c r="C428" s="0" t="n">
        <v>1.25</v>
      </c>
    </row>
    <row r="429" customFormat="false" ht="15" hidden="false" customHeight="false" outlineLevel="0" collapsed="false">
      <c r="A429" s="0" t="s">
        <v>1708</v>
      </c>
      <c r="B429" s="0" t="s">
        <v>1709</v>
      </c>
      <c r="C429" s="0" t="n">
        <v>12.72</v>
      </c>
    </row>
    <row r="430" customFormat="false" ht="15" hidden="false" customHeight="false" outlineLevel="0" collapsed="false">
      <c r="A430" s="0" t="s">
        <v>1710</v>
      </c>
      <c r="B430" s="0" t="s">
        <v>1711</v>
      </c>
      <c r="C430" s="0" t="n">
        <v>6.75</v>
      </c>
    </row>
    <row r="431" customFormat="false" ht="15" hidden="false" customHeight="false" outlineLevel="0" collapsed="false">
      <c r="A431" s="0" t="s">
        <v>1712</v>
      </c>
      <c r="B431" s="0" t="s">
        <v>1713</v>
      </c>
      <c r="C431" s="0" t="n">
        <v>8.5</v>
      </c>
    </row>
    <row r="432" customFormat="false" ht="15" hidden="false" customHeight="false" outlineLevel="0" collapsed="false">
      <c r="A432" s="0" t="s">
        <v>1714</v>
      </c>
      <c r="B432" s="0" t="s">
        <v>1715</v>
      </c>
      <c r="C432" s="0" t="n">
        <v>3.75</v>
      </c>
    </row>
    <row r="433" customFormat="false" ht="15" hidden="false" customHeight="false" outlineLevel="0" collapsed="false">
      <c r="A433" s="0" t="s">
        <v>1716</v>
      </c>
      <c r="B433" s="0" t="s">
        <v>1717</v>
      </c>
      <c r="C433" s="0" t="n">
        <v>4.24</v>
      </c>
    </row>
    <row r="434" customFormat="false" ht="15" hidden="false" customHeight="false" outlineLevel="0" collapsed="false">
      <c r="A434" s="0" t="s">
        <v>1718</v>
      </c>
      <c r="B434" s="0" t="s">
        <v>1719</v>
      </c>
      <c r="C434" s="0" t="n">
        <v>1.65</v>
      </c>
    </row>
    <row r="435" customFormat="false" ht="15" hidden="false" customHeight="false" outlineLevel="0" collapsed="false">
      <c r="A435" s="0" t="s">
        <v>1720</v>
      </c>
      <c r="B435" s="0" t="s">
        <v>1721</v>
      </c>
      <c r="C435" s="0" t="n">
        <v>9.95</v>
      </c>
    </row>
    <row r="436" customFormat="false" ht="15" hidden="false" customHeight="false" outlineLevel="0" collapsed="false">
      <c r="A436" s="0" t="s">
        <v>1722</v>
      </c>
      <c r="B436" s="0" t="s">
        <v>1723</v>
      </c>
      <c r="C436" s="0" t="n">
        <v>5.95</v>
      </c>
    </row>
    <row r="437" customFormat="false" ht="15" hidden="false" customHeight="false" outlineLevel="0" collapsed="false">
      <c r="A437" s="0" t="s">
        <v>1724</v>
      </c>
      <c r="B437" s="0" t="s">
        <v>1725</v>
      </c>
      <c r="C437" s="0" t="n">
        <v>8.95</v>
      </c>
    </row>
    <row r="438" customFormat="false" ht="15" hidden="false" customHeight="false" outlineLevel="0" collapsed="false">
      <c r="A438" s="0" t="s">
        <v>1726</v>
      </c>
      <c r="B438" s="0" t="s">
        <v>1727</v>
      </c>
      <c r="C438" s="0" t="n">
        <v>1.25</v>
      </c>
    </row>
    <row r="439" customFormat="false" ht="15" hidden="false" customHeight="false" outlineLevel="0" collapsed="false">
      <c r="A439" s="0" t="s">
        <v>1728</v>
      </c>
      <c r="B439" s="0" t="s">
        <v>1729</v>
      </c>
      <c r="C439" s="0" t="n">
        <v>2.95</v>
      </c>
    </row>
    <row r="440" customFormat="false" ht="15" hidden="false" customHeight="false" outlineLevel="0" collapsed="false">
      <c r="A440" s="0" t="s">
        <v>1730</v>
      </c>
      <c r="B440" s="0" t="s">
        <v>1731</v>
      </c>
      <c r="C440" s="0" t="n">
        <v>1.25</v>
      </c>
    </row>
    <row r="441" customFormat="false" ht="15" hidden="false" customHeight="false" outlineLevel="0" collapsed="false">
      <c r="A441" s="0" t="s">
        <v>1732</v>
      </c>
      <c r="B441" s="0" t="s">
        <v>1733</v>
      </c>
      <c r="C441" s="0" t="n">
        <v>4.95</v>
      </c>
    </row>
    <row r="442" customFormat="false" ht="15" hidden="false" customHeight="false" outlineLevel="0" collapsed="false">
      <c r="A442" s="0" t="s">
        <v>1734</v>
      </c>
      <c r="B442" s="0" t="s">
        <v>1735</v>
      </c>
      <c r="C442" s="0" t="n">
        <v>1.25</v>
      </c>
    </row>
    <row r="443" customFormat="false" ht="15" hidden="false" customHeight="false" outlineLevel="0" collapsed="false">
      <c r="A443" s="0" t="s">
        <v>1736</v>
      </c>
      <c r="B443" s="0" t="s">
        <v>803</v>
      </c>
      <c r="C443" s="0" t="n">
        <v>2.1</v>
      </c>
    </row>
    <row r="444" customFormat="false" ht="15" hidden="false" customHeight="false" outlineLevel="0" collapsed="false">
      <c r="A444" s="0" t="s">
        <v>1737</v>
      </c>
      <c r="B444" s="0" t="s">
        <v>1738</v>
      </c>
      <c r="C444" s="0" t="n">
        <v>4.25</v>
      </c>
    </row>
    <row r="445" customFormat="false" ht="15" hidden="false" customHeight="false" outlineLevel="0" collapsed="false">
      <c r="A445" s="0" t="s">
        <v>1739</v>
      </c>
      <c r="B445" s="0" t="s">
        <v>1740</v>
      </c>
      <c r="C445" s="0" t="n">
        <v>3.36</v>
      </c>
    </row>
    <row r="446" customFormat="false" ht="15" hidden="false" customHeight="false" outlineLevel="0" collapsed="false">
      <c r="A446" s="0" t="s">
        <v>1741</v>
      </c>
      <c r="B446" s="0" t="s">
        <v>1742</v>
      </c>
      <c r="C446" s="0" t="n">
        <v>5.95</v>
      </c>
    </row>
    <row r="447" customFormat="false" ht="15" hidden="false" customHeight="false" outlineLevel="0" collapsed="false">
      <c r="A447" s="0" t="s">
        <v>1743</v>
      </c>
      <c r="B447" s="0" t="s">
        <v>93</v>
      </c>
      <c r="C447" s="0" t="n">
        <v>3.75</v>
      </c>
    </row>
    <row r="448" customFormat="false" ht="15" hidden="false" customHeight="false" outlineLevel="0" collapsed="false">
      <c r="A448" s="0" t="s">
        <v>1744</v>
      </c>
      <c r="B448" s="0" t="s">
        <v>1745</v>
      </c>
      <c r="C448" s="0" t="n">
        <v>5.91</v>
      </c>
    </row>
    <row r="449" customFormat="false" ht="15" hidden="false" customHeight="false" outlineLevel="0" collapsed="false">
      <c r="A449" s="0" t="s">
        <v>1746</v>
      </c>
      <c r="B449" s="0" t="s">
        <v>1747</v>
      </c>
      <c r="C449" s="0" t="n">
        <v>6.95</v>
      </c>
    </row>
    <row r="450" customFormat="false" ht="15" hidden="false" customHeight="false" outlineLevel="0" collapsed="false">
      <c r="A450" s="0" t="s">
        <v>1748</v>
      </c>
      <c r="B450" s="0" t="s">
        <v>1749</v>
      </c>
      <c r="C450" s="0" t="n">
        <v>13.57</v>
      </c>
    </row>
    <row r="451" customFormat="false" ht="15" hidden="false" customHeight="false" outlineLevel="0" collapsed="false">
      <c r="A451" s="0" t="s">
        <v>1750</v>
      </c>
      <c r="B451" s="0" t="s">
        <v>1751</v>
      </c>
      <c r="C451" s="0" t="n">
        <v>5.95</v>
      </c>
    </row>
    <row r="452" customFormat="false" ht="15" hidden="false" customHeight="false" outlineLevel="0" collapsed="false">
      <c r="A452" s="0" t="s">
        <v>1752</v>
      </c>
      <c r="B452" s="0" t="s">
        <v>1753</v>
      </c>
      <c r="C452" s="0" t="n">
        <v>1.25</v>
      </c>
    </row>
    <row r="453" customFormat="false" ht="15" hidden="false" customHeight="false" outlineLevel="0" collapsed="false">
      <c r="A453" s="0" t="s">
        <v>1754</v>
      </c>
      <c r="B453" s="0" t="s">
        <v>1755</v>
      </c>
      <c r="C453" s="0" t="n">
        <v>1.69</v>
      </c>
    </row>
    <row r="454" customFormat="false" ht="15" hidden="false" customHeight="false" outlineLevel="0" collapsed="false">
      <c r="A454" s="0" t="s">
        <v>1756</v>
      </c>
      <c r="B454" s="0" t="s">
        <v>1757</v>
      </c>
      <c r="C454" s="0" t="n">
        <v>0.85</v>
      </c>
    </row>
    <row r="455" customFormat="false" ht="15" hidden="false" customHeight="false" outlineLevel="0" collapsed="false">
      <c r="A455" s="0" t="s">
        <v>1758</v>
      </c>
      <c r="B455" s="0" t="s">
        <v>1759</v>
      </c>
      <c r="C455" s="0" t="n">
        <v>1.05</v>
      </c>
    </row>
    <row r="456" customFormat="false" ht="15" hidden="false" customHeight="false" outlineLevel="0" collapsed="false">
      <c r="A456" s="0" t="s">
        <v>1760</v>
      </c>
      <c r="B456" s="0" t="s">
        <v>1761</v>
      </c>
      <c r="C456" s="0" t="n">
        <v>2.95</v>
      </c>
    </row>
    <row r="457" customFormat="false" ht="15" hidden="false" customHeight="false" outlineLevel="0" collapsed="false">
      <c r="A457" s="0" t="s">
        <v>1762</v>
      </c>
      <c r="B457" s="0" t="s">
        <v>1763</v>
      </c>
      <c r="C457" s="0" t="n">
        <v>0.85</v>
      </c>
    </row>
    <row r="458" customFormat="false" ht="15" hidden="false" customHeight="false" outlineLevel="0" collapsed="false">
      <c r="A458" s="0" t="s">
        <v>1764</v>
      </c>
      <c r="B458" s="0" t="s">
        <v>1765</v>
      </c>
      <c r="C458" s="0" t="n">
        <v>1.25</v>
      </c>
    </row>
    <row r="459" customFormat="false" ht="15" hidden="false" customHeight="false" outlineLevel="0" collapsed="false">
      <c r="A459" s="0" t="s">
        <v>1766</v>
      </c>
      <c r="B459" s="0" t="s">
        <v>1767</v>
      </c>
      <c r="C459" s="0" t="n">
        <v>5.95</v>
      </c>
    </row>
    <row r="460" customFormat="false" ht="15" hidden="false" customHeight="false" outlineLevel="0" collapsed="false">
      <c r="A460" s="0" t="s">
        <v>1768</v>
      </c>
      <c r="B460" s="0" t="s">
        <v>1769</v>
      </c>
      <c r="C460" s="0" t="n">
        <v>3.75</v>
      </c>
    </row>
    <row r="461" customFormat="false" ht="15" hidden="false" customHeight="false" outlineLevel="0" collapsed="false">
      <c r="A461" s="0" t="s">
        <v>1770</v>
      </c>
      <c r="B461" s="0" t="s">
        <v>1771</v>
      </c>
      <c r="C461" s="0" t="n">
        <v>2.95</v>
      </c>
    </row>
    <row r="462" customFormat="false" ht="15" hidden="false" customHeight="false" outlineLevel="0" collapsed="false">
      <c r="A462" s="0" t="s">
        <v>1772</v>
      </c>
      <c r="B462" s="0" t="s">
        <v>1773</v>
      </c>
      <c r="C462" s="0" t="n">
        <v>1.65</v>
      </c>
    </row>
    <row r="463" customFormat="false" ht="15" hidden="false" customHeight="false" outlineLevel="0" collapsed="false">
      <c r="A463" s="0" t="s">
        <v>1774</v>
      </c>
      <c r="B463" s="0" t="s">
        <v>1775</v>
      </c>
      <c r="C463" s="0" t="n">
        <v>1.95</v>
      </c>
    </row>
    <row r="464" customFormat="false" ht="15" hidden="false" customHeight="false" outlineLevel="0" collapsed="false">
      <c r="A464" s="0" t="s">
        <v>1776</v>
      </c>
      <c r="B464" s="0" t="s">
        <v>1777</v>
      </c>
      <c r="C464" s="0" t="n">
        <v>1.25</v>
      </c>
    </row>
    <row r="465" customFormat="false" ht="15" hidden="false" customHeight="false" outlineLevel="0" collapsed="false">
      <c r="A465" s="0" t="s">
        <v>1778</v>
      </c>
      <c r="B465" s="0" t="s">
        <v>1779</v>
      </c>
      <c r="C465" s="0" t="n">
        <v>2.55</v>
      </c>
    </row>
    <row r="466" customFormat="false" ht="15" hidden="false" customHeight="false" outlineLevel="0" collapsed="false">
      <c r="A466" s="0" t="s">
        <v>1780</v>
      </c>
      <c r="B466" s="0" t="s">
        <v>1781</v>
      </c>
      <c r="C466" s="0" t="n">
        <v>2.55</v>
      </c>
    </row>
    <row r="467" customFormat="false" ht="15" hidden="false" customHeight="false" outlineLevel="0" collapsed="false">
      <c r="A467" s="0" t="s">
        <v>1782</v>
      </c>
      <c r="B467" s="0" t="s">
        <v>695</v>
      </c>
      <c r="C467" s="0" t="n">
        <v>3.75</v>
      </c>
    </row>
    <row r="468" customFormat="false" ht="15" hidden="false" customHeight="false" outlineLevel="0" collapsed="false">
      <c r="A468" s="0" t="s">
        <v>1783</v>
      </c>
      <c r="B468" s="0" t="s">
        <v>77</v>
      </c>
      <c r="C468" s="0" t="n">
        <v>4.95</v>
      </c>
    </row>
    <row r="469" customFormat="false" ht="15" hidden="false" customHeight="false" outlineLevel="0" collapsed="false">
      <c r="A469" s="0" t="s">
        <v>1784</v>
      </c>
      <c r="B469" s="0" t="s">
        <v>1785</v>
      </c>
      <c r="C469" s="0" t="n">
        <v>7.95</v>
      </c>
    </row>
    <row r="470" customFormat="false" ht="15" hidden="false" customHeight="false" outlineLevel="0" collapsed="false">
      <c r="A470" s="0" t="s">
        <v>1786</v>
      </c>
      <c r="B470" s="0" t="s">
        <v>1787</v>
      </c>
      <c r="C470" s="0" t="n">
        <v>0.42</v>
      </c>
    </row>
    <row r="471" customFormat="false" ht="15" hidden="false" customHeight="false" outlineLevel="0" collapsed="false">
      <c r="A471" s="0" t="s">
        <v>1788</v>
      </c>
      <c r="B471" s="0" t="s">
        <v>1789</v>
      </c>
      <c r="C471" s="0" t="n">
        <v>0.85</v>
      </c>
    </row>
    <row r="472" customFormat="false" ht="15" hidden="false" customHeight="false" outlineLevel="0" collapsed="false">
      <c r="A472" s="0" t="s">
        <v>1790</v>
      </c>
      <c r="B472" s="0" t="s">
        <v>1791</v>
      </c>
      <c r="C472" s="0" t="n">
        <v>6.95</v>
      </c>
    </row>
    <row r="473" customFormat="false" ht="15" hidden="false" customHeight="false" outlineLevel="0" collapsed="false">
      <c r="A473" s="0" t="s">
        <v>1792</v>
      </c>
      <c r="B473" s="0" t="s">
        <v>1793</v>
      </c>
      <c r="C473" s="0" t="n">
        <v>3.75</v>
      </c>
    </row>
    <row r="474" customFormat="false" ht="15" hidden="false" customHeight="false" outlineLevel="0" collapsed="false">
      <c r="A474" s="0" t="s">
        <v>1794</v>
      </c>
      <c r="B474" s="0" t="s">
        <v>696</v>
      </c>
      <c r="C474" s="0" t="n">
        <v>2.95</v>
      </c>
    </row>
    <row r="475" customFormat="false" ht="15" hidden="false" customHeight="false" outlineLevel="0" collapsed="false">
      <c r="A475" s="0" t="s">
        <v>1795</v>
      </c>
      <c r="B475" s="0" t="s">
        <v>1796</v>
      </c>
      <c r="C475" s="0" t="n">
        <v>4.95</v>
      </c>
    </row>
    <row r="476" customFormat="false" ht="15" hidden="false" customHeight="false" outlineLevel="0" collapsed="false">
      <c r="A476" s="0" t="s">
        <v>1797</v>
      </c>
      <c r="B476" s="0" t="s">
        <v>838</v>
      </c>
      <c r="C476" s="0" t="n">
        <v>8.5</v>
      </c>
    </row>
    <row r="477" customFormat="false" ht="15" hidden="false" customHeight="false" outlineLevel="0" collapsed="false">
      <c r="A477" s="0" t="s">
        <v>1798</v>
      </c>
      <c r="B477" s="0" t="s">
        <v>1799</v>
      </c>
      <c r="C477" s="0" t="n">
        <v>1.25</v>
      </c>
    </row>
    <row r="478" customFormat="false" ht="15" hidden="false" customHeight="false" outlineLevel="0" collapsed="false">
      <c r="A478" s="0" t="s">
        <v>1800</v>
      </c>
      <c r="B478" s="0" t="s">
        <v>1801</v>
      </c>
      <c r="C478" s="0" t="n">
        <v>7.95</v>
      </c>
    </row>
    <row r="479" customFormat="false" ht="15" hidden="false" customHeight="false" outlineLevel="0" collapsed="false">
      <c r="A479" s="0" t="s">
        <v>1802</v>
      </c>
      <c r="B479" s="0" t="s">
        <v>1803</v>
      </c>
      <c r="C479" s="0" t="n">
        <v>1.25</v>
      </c>
    </row>
    <row r="480" customFormat="false" ht="15" hidden="false" customHeight="false" outlineLevel="0" collapsed="false">
      <c r="A480" s="0" t="s">
        <v>1804</v>
      </c>
      <c r="B480" s="0" t="s">
        <v>1805</v>
      </c>
      <c r="C480" s="0" t="n">
        <v>3.39</v>
      </c>
    </row>
    <row r="481" customFormat="false" ht="15" hidden="false" customHeight="false" outlineLevel="0" collapsed="false">
      <c r="A481" s="0" t="s">
        <v>1806</v>
      </c>
      <c r="B481" s="0" t="s">
        <v>1807</v>
      </c>
      <c r="C481" s="0" t="n">
        <v>1.95</v>
      </c>
    </row>
    <row r="482" customFormat="false" ht="15" hidden="false" customHeight="false" outlineLevel="0" collapsed="false">
      <c r="A482" s="0" t="s">
        <v>1808</v>
      </c>
      <c r="B482" s="0" t="s">
        <v>1809</v>
      </c>
      <c r="C482" s="0" t="n">
        <v>0.42</v>
      </c>
    </row>
    <row r="483" customFormat="false" ht="15" hidden="false" customHeight="false" outlineLevel="0" collapsed="false">
      <c r="A483" s="0" t="s">
        <v>1810</v>
      </c>
      <c r="B483" s="0" t="s">
        <v>1811</v>
      </c>
      <c r="C483" s="0" t="n">
        <v>1.95</v>
      </c>
    </row>
    <row r="484" customFormat="false" ht="15" hidden="false" customHeight="false" outlineLevel="0" collapsed="false">
      <c r="A484" s="0" t="s">
        <v>1812</v>
      </c>
      <c r="B484" s="0" t="s">
        <v>1813</v>
      </c>
      <c r="C484" s="0" t="n">
        <v>1.65</v>
      </c>
    </row>
    <row r="485" customFormat="false" ht="15" hidden="false" customHeight="false" outlineLevel="0" collapsed="false">
      <c r="A485" s="0" t="s">
        <v>1814</v>
      </c>
      <c r="B485" s="0" t="s">
        <v>1815</v>
      </c>
      <c r="C485" s="0" t="n">
        <v>1.66</v>
      </c>
    </row>
    <row r="486" customFormat="false" ht="15" hidden="false" customHeight="false" outlineLevel="0" collapsed="false">
      <c r="A486" s="0" t="s">
        <v>1816</v>
      </c>
      <c r="B486" s="0" t="s">
        <v>1817</v>
      </c>
      <c r="C486" s="0" t="n">
        <v>3.75</v>
      </c>
    </row>
    <row r="487" customFormat="false" ht="15" hidden="false" customHeight="false" outlineLevel="0" collapsed="false">
      <c r="A487" s="0" t="s">
        <v>1818</v>
      </c>
      <c r="B487" s="0" t="s">
        <v>1819</v>
      </c>
      <c r="C487" s="0" t="n">
        <v>0.38</v>
      </c>
    </row>
    <row r="488" customFormat="false" ht="15" hidden="false" customHeight="false" outlineLevel="0" collapsed="false">
      <c r="A488" s="0" t="s">
        <v>1818</v>
      </c>
      <c r="B488" s="0" t="s">
        <v>1820</v>
      </c>
      <c r="C488" s="0" t="n">
        <v>0.38</v>
      </c>
    </row>
    <row r="489" customFormat="false" ht="15" hidden="false" customHeight="false" outlineLevel="0" collapsed="false">
      <c r="A489" s="0" t="s">
        <v>1821</v>
      </c>
      <c r="B489" s="0" t="s">
        <v>1822</v>
      </c>
      <c r="C489" s="0" t="n">
        <v>1.25</v>
      </c>
    </row>
    <row r="490" customFormat="false" ht="15" hidden="false" customHeight="false" outlineLevel="0" collapsed="false">
      <c r="A490" s="0" t="s">
        <v>1823</v>
      </c>
      <c r="B490" s="0" t="s">
        <v>1824</v>
      </c>
      <c r="C490" s="0" t="n">
        <v>1.25</v>
      </c>
    </row>
    <row r="491" customFormat="false" ht="15" hidden="false" customHeight="false" outlineLevel="0" collapsed="false">
      <c r="A491" s="0" t="s">
        <v>1825</v>
      </c>
      <c r="B491" s="0" t="s">
        <v>1826</v>
      </c>
      <c r="C491" s="0" t="n">
        <v>1.25</v>
      </c>
    </row>
    <row r="492" customFormat="false" ht="15" hidden="false" customHeight="false" outlineLevel="0" collapsed="false">
      <c r="A492" s="0" t="s">
        <v>1827</v>
      </c>
      <c r="B492" s="0" t="s">
        <v>1828</v>
      </c>
      <c r="C492" s="0" t="n">
        <v>0.65</v>
      </c>
    </row>
    <row r="493" customFormat="false" ht="15" hidden="false" customHeight="false" outlineLevel="0" collapsed="false">
      <c r="A493" s="0" t="s">
        <v>1829</v>
      </c>
      <c r="B493" s="0" t="s">
        <v>1830</v>
      </c>
      <c r="C493" s="0" t="n">
        <v>3.75</v>
      </c>
    </row>
    <row r="494" customFormat="false" ht="15" hidden="false" customHeight="false" outlineLevel="0" collapsed="false">
      <c r="A494" s="0" t="s">
        <v>1831</v>
      </c>
      <c r="B494" s="0" t="s">
        <v>1832</v>
      </c>
      <c r="C494" s="0" t="n">
        <v>3.75</v>
      </c>
    </row>
    <row r="495" customFormat="false" ht="15" hidden="false" customHeight="false" outlineLevel="0" collapsed="false">
      <c r="A495" s="0" t="s">
        <v>1833</v>
      </c>
      <c r="B495" s="0" t="s">
        <v>1834</v>
      </c>
      <c r="C495" s="0" t="n">
        <v>5.95</v>
      </c>
    </row>
    <row r="496" customFormat="false" ht="15" hidden="false" customHeight="false" outlineLevel="0" collapsed="false">
      <c r="A496" s="0" t="s">
        <v>1835</v>
      </c>
      <c r="B496" s="0" t="s">
        <v>1836</v>
      </c>
      <c r="C496" s="0" t="n">
        <v>5.95</v>
      </c>
    </row>
    <row r="497" customFormat="false" ht="15" hidden="false" customHeight="false" outlineLevel="0" collapsed="false">
      <c r="A497" s="0" t="s">
        <v>1837</v>
      </c>
      <c r="B497" s="0" t="s">
        <v>1838</v>
      </c>
      <c r="C497" s="0" t="n">
        <v>7.95</v>
      </c>
    </row>
    <row r="498" customFormat="false" ht="15" hidden="false" customHeight="false" outlineLevel="0" collapsed="false">
      <c r="A498" s="0" t="s">
        <v>1839</v>
      </c>
      <c r="B498" s="0" t="s">
        <v>1840</v>
      </c>
      <c r="C498" s="0" t="n">
        <v>45.95</v>
      </c>
    </row>
    <row r="499" customFormat="false" ht="15" hidden="false" customHeight="false" outlineLevel="0" collapsed="false">
      <c r="A499" s="0" t="s">
        <v>1841</v>
      </c>
      <c r="B499" s="0" t="s">
        <v>1842</v>
      </c>
      <c r="C499" s="0" t="n">
        <v>8.95</v>
      </c>
    </row>
    <row r="500" customFormat="false" ht="15" hidden="false" customHeight="false" outlineLevel="0" collapsed="false">
      <c r="A500" s="0" t="s">
        <v>1843</v>
      </c>
      <c r="B500" s="0" t="s">
        <v>1844</v>
      </c>
      <c r="C500" s="0" t="n">
        <v>2.95</v>
      </c>
    </row>
    <row r="501" customFormat="false" ht="15" hidden="false" customHeight="false" outlineLevel="0" collapsed="false">
      <c r="A501" s="0" t="s">
        <v>1845</v>
      </c>
      <c r="B501" s="0" t="s">
        <v>1846</v>
      </c>
      <c r="C501" s="0" t="n">
        <v>0.42</v>
      </c>
    </row>
    <row r="502" customFormat="false" ht="15" hidden="false" customHeight="false" outlineLevel="0" collapsed="false">
      <c r="A502" s="0" t="s">
        <v>1847</v>
      </c>
      <c r="B502" s="0" t="s">
        <v>1848</v>
      </c>
      <c r="C502" s="0" t="n">
        <v>5.45</v>
      </c>
    </row>
    <row r="503" customFormat="false" ht="15" hidden="false" customHeight="false" outlineLevel="0" collapsed="false">
      <c r="A503" s="0" t="s">
        <v>1849</v>
      </c>
      <c r="B503" s="0" t="s">
        <v>144</v>
      </c>
      <c r="C503" s="0" t="n">
        <v>1.25</v>
      </c>
    </row>
    <row r="504" customFormat="false" ht="15" hidden="false" customHeight="false" outlineLevel="0" collapsed="false">
      <c r="A504" s="0" t="s">
        <v>1850</v>
      </c>
      <c r="B504" s="0" t="s">
        <v>1851</v>
      </c>
      <c r="C504" s="0" t="n">
        <v>3.75</v>
      </c>
    </row>
    <row r="505" customFormat="false" ht="15" hidden="false" customHeight="false" outlineLevel="0" collapsed="false">
      <c r="A505" s="0" t="s">
        <v>1852</v>
      </c>
      <c r="B505" s="0" t="s">
        <v>1853</v>
      </c>
      <c r="C505" s="0" t="n">
        <v>1.05</v>
      </c>
    </row>
    <row r="506" customFormat="false" ht="15" hidden="false" customHeight="false" outlineLevel="0" collapsed="false">
      <c r="A506" s="0" t="s">
        <v>1854</v>
      </c>
      <c r="B506" s="0" t="s">
        <v>1855</v>
      </c>
      <c r="C506" s="0" t="n">
        <v>1.25</v>
      </c>
    </row>
    <row r="507" customFormat="false" ht="15" hidden="false" customHeight="false" outlineLevel="0" collapsed="false">
      <c r="A507" s="0" t="s">
        <v>1856</v>
      </c>
      <c r="B507" s="0" t="s">
        <v>1857</v>
      </c>
      <c r="C507" s="0" t="n">
        <v>2.55</v>
      </c>
    </row>
    <row r="508" customFormat="false" ht="15" hidden="false" customHeight="false" outlineLevel="0" collapsed="false">
      <c r="A508" s="0" t="s">
        <v>1858</v>
      </c>
      <c r="B508" s="0" t="s">
        <v>1859</v>
      </c>
      <c r="C508" s="0" t="n">
        <v>12</v>
      </c>
    </row>
    <row r="509" customFormat="false" ht="15" hidden="false" customHeight="false" outlineLevel="0" collapsed="false">
      <c r="A509" s="0" t="s">
        <v>1860</v>
      </c>
      <c r="B509" s="0" t="s">
        <v>1861</v>
      </c>
      <c r="C509" s="0" t="n">
        <v>30</v>
      </c>
    </row>
    <row r="510" customFormat="false" ht="15" hidden="false" customHeight="false" outlineLevel="0" collapsed="false">
      <c r="A510" s="0" t="s">
        <v>1862</v>
      </c>
      <c r="B510" s="0" t="s">
        <v>1863</v>
      </c>
      <c r="C510" s="0" t="n">
        <v>79.95</v>
      </c>
    </row>
    <row r="511" customFormat="false" ht="15" hidden="false" customHeight="false" outlineLevel="0" collapsed="false">
      <c r="A511" s="0" t="s">
        <v>1864</v>
      </c>
      <c r="B511" s="0" t="s">
        <v>1865</v>
      </c>
      <c r="C511" s="0" t="n">
        <v>1.95</v>
      </c>
    </row>
    <row r="512" customFormat="false" ht="15" hidden="false" customHeight="false" outlineLevel="0" collapsed="false">
      <c r="A512" s="0" t="s">
        <v>1866</v>
      </c>
      <c r="B512" s="0" t="s">
        <v>1867</v>
      </c>
      <c r="C512" s="0" t="n">
        <v>1.65</v>
      </c>
    </row>
    <row r="513" customFormat="false" ht="15" hidden="false" customHeight="false" outlineLevel="0" collapsed="false">
      <c r="A513" s="0" t="s">
        <v>1868</v>
      </c>
      <c r="B513" s="0" t="s">
        <v>1869</v>
      </c>
      <c r="C513" s="0" t="n">
        <v>4.21</v>
      </c>
    </row>
    <row r="514" customFormat="false" ht="15" hidden="false" customHeight="false" outlineLevel="0" collapsed="false">
      <c r="A514" s="0" t="s">
        <v>1870</v>
      </c>
      <c r="B514" s="0" t="s">
        <v>1871</v>
      </c>
      <c r="C514" s="0" t="n">
        <v>1.25</v>
      </c>
    </row>
    <row r="515" customFormat="false" ht="15" hidden="false" customHeight="false" outlineLevel="0" collapsed="false">
      <c r="A515" s="0" t="s">
        <v>1872</v>
      </c>
      <c r="B515" s="0" t="s">
        <v>1873</v>
      </c>
      <c r="C515" s="0" t="n">
        <v>9.95</v>
      </c>
    </row>
    <row r="516" customFormat="false" ht="15" hidden="false" customHeight="false" outlineLevel="0" collapsed="false">
      <c r="A516" s="0" t="s">
        <v>1874</v>
      </c>
      <c r="B516" s="0" t="s">
        <v>1875</v>
      </c>
      <c r="C516" s="0" t="n">
        <v>4.25</v>
      </c>
    </row>
    <row r="517" customFormat="false" ht="15" hidden="false" customHeight="false" outlineLevel="0" collapsed="false">
      <c r="A517" s="0" t="s">
        <v>1876</v>
      </c>
      <c r="B517" s="0" t="s">
        <v>1877</v>
      </c>
      <c r="C517" s="0" t="n">
        <v>9.95</v>
      </c>
    </row>
    <row r="518" customFormat="false" ht="15" hidden="false" customHeight="false" outlineLevel="0" collapsed="false">
      <c r="A518" s="0" t="s">
        <v>1878</v>
      </c>
      <c r="B518" s="0" t="s">
        <v>1879</v>
      </c>
      <c r="C518" s="0" t="n">
        <v>1.95</v>
      </c>
    </row>
    <row r="519" customFormat="false" ht="15" hidden="false" customHeight="false" outlineLevel="0" collapsed="false">
      <c r="A519" s="0" t="s">
        <v>1880</v>
      </c>
      <c r="B519" s="0" t="s">
        <v>1881</v>
      </c>
      <c r="C519" s="0" t="n">
        <v>2.95</v>
      </c>
    </row>
    <row r="520" customFormat="false" ht="15" hidden="false" customHeight="false" outlineLevel="0" collapsed="false">
      <c r="A520" s="0" t="s">
        <v>1882</v>
      </c>
      <c r="B520" s="0" t="s">
        <v>1883</v>
      </c>
      <c r="C520" s="0" t="n">
        <v>4.65</v>
      </c>
    </row>
    <row r="521" customFormat="false" ht="15" hidden="false" customHeight="false" outlineLevel="0" collapsed="false">
      <c r="A521" s="0" t="s">
        <v>1884</v>
      </c>
      <c r="B521" s="0" t="s">
        <v>1885</v>
      </c>
      <c r="C521" s="0" t="n">
        <v>0.85</v>
      </c>
    </row>
    <row r="522" customFormat="false" ht="15" hidden="false" customHeight="false" outlineLevel="0" collapsed="false">
      <c r="A522" s="0" t="s">
        <v>1886</v>
      </c>
      <c r="B522" s="0" t="s">
        <v>1887</v>
      </c>
      <c r="C522" s="0" t="n">
        <v>2.95</v>
      </c>
    </row>
    <row r="523" customFormat="false" ht="15" hidden="false" customHeight="false" outlineLevel="0" collapsed="false">
      <c r="A523" s="0" t="s">
        <v>1888</v>
      </c>
      <c r="B523" s="0" t="s">
        <v>1889</v>
      </c>
      <c r="C523" s="0" t="n">
        <v>4.25</v>
      </c>
    </row>
    <row r="524" customFormat="false" ht="15" hidden="false" customHeight="false" outlineLevel="0" collapsed="false">
      <c r="A524" s="0" t="s">
        <v>1890</v>
      </c>
      <c r="B524" s="0" t="s">
        <v>1891</v>
      </c>
      <c r="C524" s="0" t="n">
        <v>49.95</v>
      </c>
    </row>
    <row r="525" customFormat="false" ht="15" hidden="false" customHeight="false" outlineLevel="0" collapsed="false">
      <c r="A525" s="0" t="s">
        <v>1892</v>
      </c>
      <c r="B525" s="0" t="s">
        <v>1893</v>
      </c>
      <c r="C525" s="0" t="n">
        <v>30</v>
      </c>
    </row>
    <row r="526" customFormat="false" ht="15" hidden="false" customHeight="false" outlineLevel="0" collapsed="false">
      <c r="A526" s="0" t="s">
        <v>1894</v>
      </c>
      <c r="B526" s="0" t="s">
        <v>1895</v>
      </c>
      <c r="C526" s="0" t="n">
        <v>2.55</v>
      </c>
    </row>
    <row r="527" customFormat="false" ht="15" hidden="false" customHeight="false" outlineLevel="0" collapsed="false">
      <c r="A527" s="0" t="s">
        <v>1896</v>
      </c>
      <c r="B527" s="0" t="s">
        <v>1897</v>
      </c>
      <c r="C527" s="0" t="n">
        <v>1.65</v>
      </c>
    </row>
    <row r="528" customFormat="false" ht="15" hidden="false" customHeight="false" outlineLevel="0" collapsed="false">
      <c r="A528" s="0" t="s">
        <v>1898</v>
      </c>
      <c r="B528" s="0" t="s">
        <v>1899</v>
      </c>
      <c r="C528" s="0" t="n">
        <v>0.85</v>
      </c>
    </row>
    <row r="529" customFormat="false" ht="15" hidden="false" customHeight="false" outlineLevel="0" collapsed="false">
      <c r="A529" s="0" t="s">
        <v>1900</v>
      </c>
      <c r="B529" s="0" t="s">
        <v>1901</v>
      </c>
      <c r="C529" s="0" t="n">
        <v>3.75</v>
      </c>
    </row>
    <row r="530" customFormat="false" ht="15" hidden="false" customHeight="false" outlineLevel="0" collapsed="false">
      <c r="A530" s="0" t="s">
        <v>1902</v>
      </c>
      <c r="B530" s="0" t="s">
        <v>1903</v>
      </c>
      <c r="C530" s="0" t="n">
        <v>1.25</v>
      </c>
    </row>
    <row r="531" customFormat="false" ht="15" hidden="false" customHeight="false" outlineLevel="0" collapsed="false">
      <c r="A531" s="0" t="s">
        <v>1904</v>
      </c>
      <c r="B531" s="0" t="s">
        <v>1905</v>
      </c>
      <c r="C531" s="0" t="n">
        <v>2.95</v>
      </c>
    </row>
    <row r="532" customFormat="false" ht="15" hidden="false" customHeight="false" outlineLevel="0" collapsed="false">
      <c r="A532" s="0" t="s">
        <v>1906</v>
      </c>
      <c r="B532" s="0" t="s">
        <v>1907</v>
      </c>
      <c r="C532" s="0" t="n">
        <v>2.1</v>
      </c>
    </row>
    <row r="533" customFormat="false" ht="15" hidden="false" customHeight="false" outlineLevel="0" collapsed="false">
      <c r="A533" s="0" t="s">
        <v>1908</v>
      </c>
      <c r="B533" s="0" t="s">
        <v>1909</v>
      </c>
      <c r="C533" s="0" t="n">
        <v>2.1</v>
      </c>
    </row>
    <row r="534" customFormat="false" ht="15" hidden="false" customHeight="false" outlineLevel="0" collapsed="false">
      <c r="A534" s="0" t="s">
        <v>1910</v>
      </c>
      <c r="B534" s="0" t="s">
        <v>1911</v>
      </c>
      <c r="C534" s="0" t="n">
        <v>1.65</v>
      </c>
    </row>
    <row r="535" customFormat="false" ht="15" hidden="false" customHeight="false" outlineLevel="0" collapsed="false">
      <c r="A535" s="0" t="s">
        <v>1912</v>
      </c>
      <c r="B535" s="0" t="s">
        <v>1913</v>
      </c>
      <c r="C535" s="0" t="n">
        <v>2.95</v>
      </c>
    </row>
    <row r="536" customFormat="false" ht="15" hidden="false" customHeight="false" outlineLevel="0" collapsed="false">
      <c r="A536" s="0" t="s">
        <v>1914</v>
      </c>
      <c r="B536" s="0" t="s">
        <v>1915</v>
      </c>
      <c r="C536" s="0" t="n">
        <v>1.95</v>
      </c>
    </row>
    <row r="537" customFormat="false" ht="15" hidden="false" customHeight="false" outlineLevel="0" collapsed="false">
      <c r="A537" s="0" t="s">
        <v>1916</v>
      </c>
      <c r="B537" s="0" t="s">
        <v>1917</v>
      </c>
      <c r="C537" s="0" t="n">
        <v>2.95</v>
      </c>
    </row>
    <row r="538" customFormat="false" ht="15" hidden="false" customHeight="false" outlineLevel="0" collapsed="false">
      <c r="A538" s="0" t="s">
        <v>1918</v>
      </c>
      <c r="B538" s="0" t="s">
        <v>1919</v>
      </c>
      <c r="C538" s="0" t="n">
        <v>3.75</v>
      </c>
    </row>
    <row r="539" customFormat="false" ht="15" hidden="false" customHeight="false" outlineLevel="0" collapsed="false">
      <c r="A539" s="0" t="s">
        <v>1920</v>
      </c>
      <c r="B539" s="0" t="s">
        <v>1921</v>
      </c>
      <c r="C539" s="0" t="n">
        <v>0.42</v>
      </c>
    </row>
    <row r="540" customFormat="false" ht="15" hidden="false" customHeight="false" outlineLevel="0" collapsed="false">
      <c r="A540" s="0" t="s">
        <v>1922</v>
      </c>
      <c r="B540" s="0" t="s">
        <v>1923</v>
      </c>
      <c r="C540" s="0" t="n">
        <v>0.55</v>
      </c>
    </row>
    <row r="541" customFormat="false" ht="15" hidden="false" customHeight="false" outlineLevel="0" collapsed="false">
      <c r="A541" s="0" t="s">
        <v>1924</v>
      </c>
      <c r="B541" s="0" t="s">
        <v>1925</v>
      </c>
      <c r="C541" s="0" t="n">
        <v>34</v>
      </c>
    </row>
    <row r="542" customFormat="false" ht="15" hidden="false" customHeight="false" outlineLevel="0" collapsed="false">
      <c r="A542" s="0" t="s">
        <v>1926</v>
      </c>
      <c r="B542" s="0" t="s">
        <v>1927</v>
      </c>
      <c r="C542" s="0" t="n">
        <v>1.25</v>
      </c>
    </row>
    <row r="543" customFormat="false" ht="15" hidden="false" customHeight="false" outlineLevel="0" collapsed="false">
      <c r="A543" s="0" t="s">
        <v>1928</v>
      </c>
      <c r="B543" s="0" t="s">
        <v>1929</v>
      </c>
      <c r="C543" s="0" t="n">
        <v>3.75</v>
      </c>
    </row>
    <row r="544" customFormat="false" ht="15" hidden="false" customHeight="false" outlineLevel="0" collapsed="false">
      <c r="A544" s="0" t="s">
        <v>1930</v>
      </c>
      <c r="B544" s="0" t="s">
        <v>1931</v>
      </c>
      <c r="C544" s="0" t="n">
        <v>1.25</v>
      </c>
    </row>
    <row r="545" customFormat="false" ht="15" hidden="false" customHeight="false" outlineLevel="0" collapsed="false">
      <c r="A545" s="0" t="s">
        <v>1932</v>
      </c>
      <c r="B545" s="0" t="s">
        <v>1933</v>
      </c>
      <c r="C545" s="0" t="n">
        <v>1.65</v>
      </c>
    </row>
    <row r="546" customFormat="false" ht="15" hidden="false" customHeight="false" outlineLevel="0" collapsed="false">
      <c r="A546" s="0" t="s">
        <v>1934</v>
      </c>
      <c r="B546" s="0" t="s">
        <v>1935</v>
      </c>
      <c r="C546" s="0" t="n">
        <v>3.36</v>
      </c>
    </row>
    <row r="547" customFormat="false" ht="15" hidden="false" customHeight="false" outlineLevel="0" collapsed="false">
      <c r="A547" s="0" t="s">
        <v>1936</v>
      </c>
      <c r="B547" s="0" t="s">
        <v>1937</v>
      </c>
      <c r="C547" s="0" t="n">
        <v>8.47</v>
      </c>
    </row>
    <row r="548" customFormat="false" ht="15" hidden="false" customHeight="false" outlineLevel="0" collapsed="false">
      <c r="A548" s="0" t="s">
        <v>1938</v>
      </c>
      <c r="B548" s="0" t="s">
        <v>1939</v>
      </c>
      <c r="C548" s="0" t="n">
        <v>11.02</v>
      </c>
    </row>
    <row r="549" customFormat="false" ht="15" hidden="false" customHeight="false" outlineLevel="0" collapsed="false">
      <c r="A549" s="0" t="s">
        <v>1940</v>
      </c>
      <c r="B549" s="0" t="s">
        <v>1941</v>
      </c>
      <c r="C549" s="0" t="n">
        <v>0.42</v>
      </c>
    </row>
    <row r="550" customFormat="false" ht="15" hidden="false" customHeight="false" outlineLevel="0" collapsed="false">
      <c r="A550" s="0" t="s">
        <v>1942</v>
      </c>
      <c r="B550" s="0" t="s">
        <v>1943</v>
      </c>
      <c r="C550" s="0" t="n">
        <v>2.55</v>
      </c>
    </row>
    <row r="551" customFormat="false" ht="15" hidden="false" customHeight="false" outlineLevel="0" collapsed="false">
      <c r="A551" s="0" t="s">
        <v>1944</v>
      </c>
      <c r="B551" s="0" t="s">
        <v>1945</v>
      </c>
      <c r="C551" s="0" t="n">
        <v>7.95</v>
      </c>
    </row>
    <row r="552" customFormat="false" ht="15" hidden="false" customHeight="false" outlineLevel="0" collapsed="false">
      <c r="A552" s="0" t="s">
        <v>1946</v>
      </c>
      <c r="B552" s="0" t="s">
        <v>1947</v>
      </c>
      <c r="C552" s="0" t="n">
        <v>7.5</v>
      </c>
    </row>
    <row r="553" customFormat="false" ht="15" hidden="false" customHeight="false" outlineLevel="0" collapsed="false">
      <c r="A553" s="0" t="s">
        <v>1948</v>
      </c>
      <c r="B553" s="0" t="s">
        <v>1949</v>
      </c>
      <c r="C553" s="0" t="n">
        <v>1.25</v>
      </c>
    </row>
    <row r="554" customFormat="false" ht="15" hidden="false" customHeight="false" outlineLevel="0" collapsed="false">
      <c r="A554" s="0" t="s">
        <v>1950</v>
      </c>
      <c r="B554" s="0" t="s">
        <v>154</v>
      </c>
      <c r="C554" s="0" t="n">
        <v>0.42</v>
      </c>
    </row>
    <row r="555" customFormat="false" ht="15" hidden="false" customHeight="false" outlineLevel="0" collapsed="false">
      <c r="A555" s="0" t="s">
        <v>1951</v>
      </c>
      <c r="B555" s="0" t="s">
        <v>1952</v>
      </c>
      <c r="C555" s="0" t="n">
        <v>1.95</v>
      </c>
    </row>
    <row r="556" customFormat="false" ht="15" hidden="false" customHeight="false" outlineLevel="0" collapsed="false">
      <c r="A556" s="0" t="s">
        <v>1953</v>
      </c>
      <c r="B556" s="0" t="s">
        <v>395</v>
      </c>
      <c r="C556" s="0" t="n">
        <v>1.25</v>
      </c>
    </row>
    <row r="557" customFormat="false" ht="15" hidden="false" customHeight="false" outlineLevel="0" collapsed="false">
      <c r="A557" s="0" t="s">
        <v>1954</v>
      </c>
      <c r="B557" s="0" t="s">
        <v>1955</v>
      </c>
      <c r="C557" s="0" t="n">
        <v>2.1</v>
      </c>
    </row>
    <row r="558" customFormat="false" ht="15" hidden="false" customHeight="false" outlineLevel="0" collapsed="false">
      <c r="A558" s="0" t="s">
        <v>1956</v>
      </c>
      <c r="B558" s="0" t="s">
        <v>399</v>
      </c>
      <c r="C558" s="0" t="n">
        <v>0.85</v>
      </c>
    </row>
    <row r="559" customFormat="false" ht="15" hidden="false" customHeight="false" outlineLevel="0" collapsed="false">
      <c r="A559" s="0" t="s">
        <v>1957</v>
      </c>
      <c r="B559" s="0" t="s">
        <v>1958</v>
      </c>
      <c r="C559" s="0" t="n">
        <v>1.25</v>
      </c>
    </row>
    <row r="560" customFormat="false" ht="15" hidden="false" customHeight="false" outlineLevel="0" collapsed="false">
      <c r="A560" s="0" t="s">
        <v>1959</v>
      </c>
      <c r="B560" s="0" t="s">
        <v>1960</v>
      </c>
      <c r="C560" s="0" t="n">
        <v>1.25</v>
      </c>
    </row>
    <row r="561" customFormat="false" ht="15" hidden="false" customHeight="false" outlineLevel="0" collapsed="false">
      <c r="A561" s="0" t="s">
        <v>1961</v>
      </c>
      <c r="B561" s="0" t="s">
        <v>1962</v>
      </c>
      <c r="C561" s="0" t="n">
        <v>2.1</v>
      </c>
    </row>
    <row r="562" customFormat="false" ht="15" hidden="false" customHeight="false" outlineLevel="0" collapsed="false">
      <c r="A562" s="0" t="s">
        <v>1963</v>
      </c>
      <c r="B562" s="0" t="s">
        <v>1964</v>
      </c>
      <c r="C562" s="0" t="n">
        <v>1.69</v>
      </c>
    </row>
    <row r="563" customFormat="false" ht="15" hidden="false" customHeight="false" outlineLevel="0" collapsed="false">
      <c r="A563" s="0" t="s">
        <v>1965</v>
      </c>
      <c r="B563" s="0" t="s">
        <v>1966</v>
      </c>
      <c r="C563" s="0" t="n">
        <v>2.1</v>
      </c>
    </row>
    <row r="564" customFormat="false" ht="15" hidden="false" customHeight="false" outlineLevel="0" collapsed="false">
      <c r="A564" s="0" t="s">
        <v>1967</v>
      </c>
      <c r="B564" s="0" t="s">
        <v>1968</v>
      </c>
      <c r="C564" s="0" t="n">
        <v>2.51</v>
      </c>
    </row>
    <row r="565" customFormat="false" ht="15" hidden="false" customHeight="false" outlineLevel="0" collapsed="false">
      <c r="A565" s="0" t="s">
        <v>1969</v>
      </c>
      <c r="B565" s="0" t="s">
        <v>1970</v>
      </c>
      <c r="C565" s="0" t="n">
        <v>1.25</v>
      </c>
    </row>
    <row r="566" customFormat="false" ht="15" hidden="false" customHeight="false" outlineLevel="0" collapsed="false">
      <c r="A566" s="0" t="s">
        <v>1971</v>
      </c>
      <c r="B566" s="0" t="s">
        <v>1972</v>
      </c>
      <c r="C566" s="0" t="n">
        <v>2.95</v>
      </c>
    </row>
    <row r="567" customFormat="false" ht="15" hidden="false" customHeight="false" outlineLevel="0" collapsed="false">
      <c r="A567" s="0" t="s">
        <v>1973</v>
      </c>
      <c r="B567" s="0" t="s">
        <v>1974</v>
      </c>
      <c r="C567" s="0" t="n">
        <v>0.08</v>
      </c>
    </row>
    <row r="568" customFormat="false" ht="15" hidden="false" customHeight="false" outlineLevel="0" collapsed="false">
      <c r="A568" s="0" t="s">
        <v>1975</v>
      </c>
      <c r="B568" s="0" t="s">
        <v>1976</v>
      </c>
      <c r="C568" s="0" t="n">
        <v>1.25</v>
      </c>
    </row>
    <row r="569" customFormat="false" ht="15" hidden="false" customHeight="false" outlineLevel="0" collapsed="false">
      <c r="A569" s="0" t="s">
        <v>1977</v>
      </c>
      <c r="B569" s="0" t="s">
        <v>1978</v>
      </c>
      <c r="C569" s="0" t="n">
        <v>2.95</v>
      </c>
    </row>
    <row r="570" customFormat="false" ht="15" hidden="false" customHeight="false" outlineLevel="0" collapsed="false">
      <c r="A570" s="0" t="s">
        <v>1979</v>
      </c>
      <c r="B570" s="0" t="s">
        <v>1980</v>
      </c>
      <c r="C570" s="0" t="n">
        <v>4.25</v>
      </c>
    </row>
    <row r="571" customFormat="false" ht="15" hidden="false" customHeight="false" outlineLevel="0" collapsed="false">
      <c r="A571" s="0" t="s">
        <v>1981</v>
      </c>
      <c r="B571" s="0" t="s">
        <v>1982</v>
      </c>
      <c r="C571" s="0" t="n">
        <v>3.75</v>
      </c>
    </row>
    <row r="572" customFormat="false" ht="15" hidden="false" customHeight="false" outlineLevel="0" collapsed="false">
      <c r="A572" s="0" t="s">
        <v>1983</v>
      </c>
      <c r="B572" s="0" t="s">
        <v>1984</v>
      </c>
      <c r="C572" s="0" t="n">
        <v>2.55</v>
      </c>
    </row>
    <row r="573" customFormat="false" ht="15" hidden="false" customHeight="false" outlineLevel="0" collapsed="false">
      <c r="A573" s="0" t="s">
        <v>1985</v>
      </c>
      <c r="B573" s="0" t="s">
        <v>1986</v>
      </c>
      <c r="C573" s="0" t="n">
        <v>1.25</v>
      </c>
    </row>
    <row r="574" customFormat="false" ht="15" hidden="false" customHeight="false" outlineLevel="0" collapsed="false">
      <c r="A574" s="0" t="s">
        <v>1987</v>
      </c>
      <c r="B574" s="0" t="s">
        <v>1988</v>
      </c>
      <c r="C574" s="0" t="n">
        <v>1.25</v>
      </c>
    </row>
    <row r="575" customFormat="false" ht="15" hidden="false" customHeight="false" outlineLevel="0" collapsed="false">
      <c r="A575" s="0" t="s">
        <v>1989</v>
      </c>
      <c r="B575" s="0" t="s">
        <v>1990</v>
      </c>
      <c r="C575" s="0" t="n">
        <v>2.55</v>
      </c>
    </row>
    <row r="576" customFormat="false" ht="15" hidden="false" customHeight="false" outlineLevel="0" collapsed="false">
      <c r="A576" s="0" t="s">
        <v>1991</v>
      </c>
      <c r="B576" s="0" t="s">
        <v>1992</v>
      </c>
      <c r="C576" s="0" t="n">
        <v>12.75</v>
      </c>
    </row>
    <row r="577" customFormat="false" ht="15" hidden="false" customHeight="false" outlineLevel="0" collapsed="false">
      <c r="A577" s="0" t="s">
        <v>1993</v>
      </c>
      <c r="B577" s="0" t="s">
        <v>1994</v>
      </c>
      <c r="C577" s="0" t="n">
        <v>6.75</v>
      </c>
    </row>
    <row r="578" customFormat="false" ht="15" hidden="false" customHeight="false" outlineLevel="0" collapsed="false">
      <c r="A578" s="0" t="s">
        <v>1995</v>
      </c>
      <c r="B578" s="0" t="s">
        <v>1996</v>
      </c>
      <c r="C578" s="0" t="n">
        <v>0.19</v>
      </c>
    </row>
    <row r="579" customFormat="false" ht="15" hidden="false" customHeight="false" outlineLevel="0" collapsed="false">
      <c r="A579" s="0" t="s">
        <v>1997</v>
      </c>
      <c r="B579" s="0" t="s">
        <v>1998</v>
      </c>
      <c r="C579" s="0" t="n">
        <v>1.65</v>
      </c>
    </row>
    <row r="580" customFormat="false" ht="15" hidden="false" customHeight="false" outlineLevel="0" collapsed="false">
      <c r="A580" s="0" t="s">
        <v>1999</v>
      </c>
      <c r="B580" s="0" t="s">
        <v>2000</v>
      </c>
      <c r="C580" s="0" t="n">
        <v>4.25</v>
      </c>
    </row>
    <row r="581" customFormat="false" ht="15" hidden="false" customHeight="false" outlineLevel="0" collapsed="false">
      <c r="A581" s="0" t="s">
        <v>2001</v>
      </c>
      <c r="B581" s="0" t="s">
        <v>2002</v>
      </c>
      <c r="C581" s="0" t="n">
        <v>0.42</v>
      </c>
    </row>
    <row r="582" customFormat="false" ht="15" hidden="false" customHeight="false" outlineLevel="0" collapsed="false">
      <c r="A582" s="0" t="s">
        <v>2003</v>
      </c>
      <c r="B582" s="0" t="s">
        <v>2004</v>
      </c>
      <c r="C582" s="0" t="n">
        <v>0.42</v>
      </c>
    </row>
    <row r="583" customFormat="false" ht="15" hidden="false" customHeight="false" outlineLevel="0" collapsed="false">
      <c r="A583" s="0" t="s">
        <v>2005</v>
      </c>
      <c r="B583" s="0" t="s">
        <v>2006</v>
      </c>
      <c r="C583" s="0" t="n">
        <v>2.95</v>
      </c>
    </row>
    <row r="584" customFormat="false" ht="15" hidden="false" customHeight="false" outlineLevel="0" collapsed="false">
      <c r="A584" s="0" t="s">
        <v>2007</v>
      </c>
      <c r="B584" s="0" t="s">
        <v>2008</v>
      </c>
      <c r="C584" s="0" t="n">
        <v>0.85</v>
      </c>
    </row>
    <row r="585" customFormat="false" ht="15" hidden="false" customHeight="false" outlineLevel="0" collapsed="false">
      <c r="A585" s="0" t="s">
        <v>2009</v>
      </c>
      <c r="B585" s="0" t="s">
        <v>2010</v>
      </c>
      <c r="C585" s="0" t="n">
        <v>3.95</v>
      </c>
    </row>
    <row r="586" customFormat="false" ht="15" hidden="false" customHeight="false" outlineLevel="0" collapsed="false">
      <c r="A586" s="0" t="s">
        <v>2011</v>
      </c>
      <c r="B586" s="0" t="s">
        <v>2012</v>
      </c>
      <c r="C586" s="0" t="n">
        <v>7.95</v>
      </c>
    </row>
    <row r="587" customFormat="false" ht="15" hidden="false" customHeight="false" outlineLevel="0" collapsed="false">
      <c r="A587" s="0" t="s">
        <v>2013</v>
      </c>
      <c r="B587" s="0" t="s">
        <v>2014</v>
      </c>
      <c r="C587" s="0" t="n">
        <v>6.35</v>
      </c>
    </row>
    <row r="588" customFormat="false" ht="15" hidden="false" customHeight="false" outlineLevel="0" collapsed="false">
      <c r="A588" s="0" t="s">
        <v>2015</v>
      </c>
      <c r="B588" s="0" t="s">
        <v>2016</v>
      </c>
      <c r="C588" s="0" t="n">
        <v>4.65</v>
      </c>
    </row>
    <row r="589" customFormat="false" ht="15" hidden="false" customHeight="false" outlineLevel="0" collapsed="false">
      <c r="A589" s="0" t="s">
        <v>2017</v>
      </c>
      <c r="B589" s="0" t="s">
        <v>2018</v>
      </c>
      <c r="C589" s="0" t="n">
        <v>5.95</v>
      </c>
    </row>
    <row r="590" customFormat="false" ht="15" hidden="false" customHeight="false" outlineLevel="0" collapsed="false">
      <c r="A590" s="0" t="s">
        <v>2019</v>
      </c>
      <c r="B590" s="0" t="s">
        <v>2020</v>
      </c>
      <c r="C590" s="0" t="n">
        <v>1.25</v>
      </c>
    </row>
    <row r="591" customFormat="false" ht="15" hidden="false" customHeight="false" outlineLevel="0" collapsed="false">
      <c r="A591" s="0" t="s">
        <v>2021</v>
      </c>
      <c r="B591" s="0" t="s">
        <v>2022</v>
      </c>
      <c r="C591" s="0" t="n">
        <v>7.95</v>
      </c>
    </row>
    <row r="592" customFormat="false" ht="15" hidden="false" customHeight="false" outlineLevel="0" collapsed="false">
      <c r="A592" s="0" t="s">
        <v>2023</v>
      </c>
      <c r="B592" s="0" t="s">
        <v>2024</v>
      </c>
      <c r="C592" s="0" t="n">
        <v>5.95</v>
      </c>
    </row>
    <row r="593" customFormat="false" ht="15" hidden="false" customHeight="false" outlineLevel="0" collapsed="false">
      <c r="A593" s="0" t="s">
        <v>2025</v>
      </c>
      <c r="B593" s="0" t="s">
        <v>2026</v>
      </c>
      <c r="C593" s="0" t="n">
        <v>5.95</v>
      </c>
    </row>
    <row r="594" customFormat="false" ht="15" hidden="false" customHeight="false" outlineLevel="0" collapsed="false">
      <c r="A594" s="0" t="s">
        <v>2027</v>
      </c>
      <c r="B594" s="0" t="s">
        <v>2028</v>
      </c>
      <c r="C594" s="0" t="n">
        <v>2.55</v>
      </c>
    </row>
    <row r="595" customFormat="false" ht="15" hidden="false" customHeight="false" outlineLevel="0" collapsed="false">
      <c r="A595" s="0" t="s">
        <v>2029</v>
      </c>
      <c r="B595" s="0" t="s">
        <v>2030</v>
      </c>
      <c r="C595" s="0" t="n">
        <v>7.95</v>
      </c>
    </row>
    <row r="596" customFormat="false" ht="15" hidden="false" customHeight="false" outlineLevel="0" collapsed="false">
      <c r="A596" s="0" t="s">
        <v>2031</v>
      </c>
      <c r="B596" s="0" t="s">
        <v>2032</v>
      </c>
      <c r="C596" s="0" t="n">
        <v>1.65</v>
      </c>
    </row>
    <row r="597" customFormat="false" ht="15" hidden="false" customHeight="false" outlineLevel="0" collapsed="false">
      <c r="A597" s="0" t="s">
        <v>2033</v>
      </c>
      <c r="B597" s="0" t="s">
        <v>2034</v>
      </c>
      <c r="C597" s="0" t="n">
        <v>1.95</v>
      </c>
    </row>
    <row r="598" customFormat="false" ht="15" hidden="false" customHeight="false" outlineLevel="0" collapsed="false">
      <c r="A598" s="0" t="s">
        <v>2035</v>
      </c>
      <c r="B598" s="0" t="s">
        <v>2036</v>
      </c>
      <c r="C598" s="0" t="n">
        <v>2.51</v>
      </c>
    </row>
    <row r="599" customFormat="false" ht="15" hidden="false" customHeight="false" outlineLevel="0" collapsed="false">
      <c r="A599" s="0" t="s">
        <v>2037</v>
      </c>
      <c r="B599" s="0" t="s">
        <v>2038</v>
      </c>
      <c r="C599" s="0" t="n">
        <v>2.1</v>
      </c>
    </row>
    <row r="600" customFormat="false" ht="15" hidden="false" customHeight="false" outlineLevel="0" collapsed="false">
      <c r="A600" s="0" t="s">
        <v>2039</v>
      </c>
      <c r="B600" s="0" t="s">
        <v>725</v>
      </c>
      <c r="C600" s="0" t="n">
        <v>5.95</v>
      </c>
    </row>
    <row r="601" customFormat="false" ht="15" hidden="false" customHeight="false" outlineLevel="0" collapsed="false">
      <c r="A601" s="0" t="s">
        <v>2040</v>
      </c>
      <c r="B601" s="0" t="s">
        <v>2041</v>
      </c>
      <c r="C601" s="0" t="n">
        <v>5.95</v>
      </c>
    </row>
    <row r="602" customFormat="false" ht="15" hidden="false" customHeight="false" outlineLevel="0" collapsed="false">
      <c r="A602" s="0" t="s">
        <v>2042</v>
      </c>
      <c r="B602" s="0" t="s">
        <v>2043</v>
      </c>
      <c r="C602" s="0" t="n">
        <v>0.42</v>
      </c>
    </row>
    <row r="603" customFormat="false" ht="15" hidden="false" customHeight="false" outlineLevel="0" collapsed="false">
      <c r="A603" s="0" t="s">
        <v>2044</v>
      </c>
      <c r="B603" s="0" t="s">
        <v>2045</v>
      </c>
      <c r="C603" s="0" t="n">
        <v>0.42</v>
      </c>
    </row>
    <row r="604" customFormat="false" ht="15" hidden="false" customHeight="false" outlineLevel="0" collapsed="false">
      <c r="A604" s="0" t="s">
        <v>2046</v>
      </c>
      <c r="B604" s="0" t="s">
        <v>2047</v>
      </c>
      <c r="C604" s="0" t="n">
        <v>0.42</v>
      </c>
    </row>
    <row r="605" customFormat="false" ht="15" hidden="false" customHeight="false" outlineLevel="0" collapsed="false">
      <c r="A605" s="0" t="s">
        <v>2048</v>
      </c>
      <c r="B605" s="0" t="s">
        <v>2049</v>
      </c>
      <c r="C605" s="0" t="n">
        <v>0.42</v>
      </c>
    </row>
    <row r="606" customFormat="false" ht="15" hidden="false" customHeight="false" outlineLevel="0" collapsed="false">
      <c r="A606" s="0" t="s">
        <v>2050</v>
      </c>
      <c r="B606" s="0" t="s">
        <v>2051</v>
      </c>
      <c r="C606" s="0" t="n">
        <v>0.42</v>
      </c>
    </row>
    <row r="607" customFormat="false" ht="15" hidden="false" customHeight="false" outlineLevel="0" collapsed="false">
      <c r="A607" s="0" t="s">
        <v>2052</v>
      </c>
      <c r="B607" s="0" t="s">
        <v>2053</v>
      </c>
      <c r="C607" s="0" t="n">
        <v>0.42</v>
      </c>
    </row>
    <row r="608" customFormat="false" ht="15" hidden="false" customHeight="false" outlineLevel="0" collapsed="false">
      <c r="A608" s="0" t="s">
        <v>2054</v>
      </c>
      <c r="B608" s="0" t="s">
        <v>2055</v>
      </c>
      <c r="C608" s="0" t="n">
        <v>0.42</v>
      </c>
    </row>
    <row r="609" customFormat="false" ht="15" hidden="false" customHeight="false" outlineLevel="0" collapsed="false">
      <c r="A609" s="0" t="s">
        <v>2056</v>
      </c>
      <c r="B609" s="0" t="s">
        <v>2057</v>
      </c>
      <c r="C609" s="0" t="n">
        <v>2.1</v>
      </c>
    </row>
    <row r="610" customFormat="false" ht="15" hidden="false" customHeight="false" outlineLevel="0" collapsed="false">
      <c r="A610" s="0" t="s">
        <v>2058</v>
      </c>
      <c r="B610" s="0" t="s">
        <v>2059</v>
      </c>
      <c r="C610" s="0" t="n">
        <v>1.25</v>
      </c>
    </row>
    <row r="611" customFormat="false" ht="15" hidden="false" customHeight="false" outlineLevel="0" collapsed="false">
      <c r="A611" s="0" t="s">
        <v>2060</v>
      </c>
      <c r="B611" s="0" t="s">
        <v>2061</v>
      </c>
      <c r="C611" s="0" t="n">
        <v>0.42</v>
      </c>
    </row>
    <row r="612" customFormat="false" ht="15" hidden="false" customHeight="false" outlineLevel="0" collapsed="false">
      <c r="A612" s="0" t="s">
        <v>2062</v>
      </c>
      <c r="B612" s="0" t="s">
        <v>2063</v>
      </c>
      <c r="C612" s="0" t="n">
        <v>2.95</v>
      </c>
    </row>
    <row r="613" customFormat="false" ht="15" hidden="false" customHeight="false" outlineLevel="0" collapsed="false">
      <c r="A613" s="0" t="s">
        <v>2064</v>
      </c>
      <c r="B613" s="0" t="s">
        <v>2065</v>
      </c>
      <c r="C613" s="0" t="n">
        <v>3.45</v>
      </c>
    </row>
    <row r="614" customFormat="false" ht="15" hidden="false" customHeight="false" outlineLevel="0" collapsed="false">
      <c r="A614" s="0" t="s">
        <v>2066</v>
      </c>
      <c r="B614" s="0" t="s">
        <v>2067</v>
      </c>
      <c r="C614" s="0" t="n">
        <v>1.95</v>
      </c>
    </row>
    <row r="615" customFormat="false" ht="15" hidden="false" customHeight="false" outlineLevel="0" collapsed="false">
      <c r="A615" s="0" t="s">
        <v>2068</v>
      </c>
      <c r="B615" s="0" t="s">
        <v>894</v>
      </c>
      <c r="C615" s="0" t="n">
        <v>9.95</v>
      </c>
    </row>
    <row r="616" customFormat="false" ht="15" hidden="false" customHeight="false" outlineLevel="0" collapsed="false">
      <c r="A616" s="0" t="s">
        <v>2069</v>
      </c>
      <c r="B616" s="0" t="s">
        <v>504</v>
      </c>
      <c r="C616" s="0" t="n">
        <v>4.95</v>
      </c>
    </row>
    <row r="617" customFormat="false" ht="15" hidden="false" customHeight="false" outlineLevel="0" collapsed="false">
      <c r="A617" s="0" t="s">
        <v>2070</v>
      </c>
      <c r="B617" s="0" t="s">
        <v>2071</v>
      </c>
      <c r="C617" s="0" t="n">
        <v>1.95</v>
      </c>
    </row>
    <row r="618" customFormat="false" ht="15" hidden="false" customHeight="false" outlineLevel="0" collapsed="false">
      <c r="A618" s="0" t="s">
        <v>2072</v>
      </c>
      <c r="B618" s="0" t="s">
        <v>2073</v>
      </c>
      <c r="C618" s="0" t="n">
        <v>2.55</v>
      </c>
    </row>
    <row r="619" customFormat="false" ht="15" hidden="false" customHeight="false" outlineLevel="0" collapsed="false">
      <c r="A619" s="0" t="s">
        <v>2074</v>
      </c>
      <c r="B619" s="0" t="s">
        <v>2075</v>
      </c>
      <c r="C619" s="0" t="n">
        <v>2.51</v>
      </c>
    </row>
    <row r="620" customFormat="false" ht="15" hidden="false" customHeight="false" outlineLevel="0" collapsed="false">
      <c r="A620" s="0" t="s">
        <v>2076</v>
      </c>
      <c r="B620" s="0" t="s">
        <v>2077</v>
      </c>
      <c r="C620" s="0" t="n">
        <v>0.43</v>
      </c>
    </row>
    <row r="621" customFormat="false" ht="15" hidden="false" customHeight="false" outlineLevel="0" collapsed="false">
      <c r="A621" s="0" t="s">
        <v>2078</v>
      </c>
      <c r="B621" s="0" t="s">
        <v>2079</v>
      </c>
      <c r="C621" s="0" t="n">
        <v>3.36</v>
      </c>
    </row>
    <row r="622" customFormat="false" ht="15" hidden="false" customHeight="false" outlineLevel="0" collapsed="false">
      <c r="A622" s="0" t="s">
        <v>2080</v>
      </c>
      <c r="B622" s="0" t="s">
        <v>2081</v>
      </c>
      <c r="C622" s="0" t="n">
        <v>2.55</v>
      </c>
    </row>
    <row r="623" customFormat="false" ht="15" hidden="false" customHeight="false" outlineLevel="0" collapsed="false">
      <c r="A623" s="0" t="s">
        <v>2082</v>
      </c>
      <c r="B623" s="0" t="s">
        <v>2083</v>
      </c>
      <c r="C623" s="0" t="n">
        <v>14.95</v>
      </c>
    </row>
    <row r="624" customFormat="false" ht="15" hidden="false" customHeight="false" outlineLevel="0" collapsed="false">
      <c r="A624" s="0" t="s">
        <v>2084</v>
      </c>
      <c r="B624" s="0" t="s">
        <v>488</v>
      </c>
      <c r="C624" s="0" t="n">
        <v>16.95</v>
      </c>
    </row>
    <row r="625" customFormat="false" ht="15" hidden="false" customHeight="false" outlineLevel="0" collapsed="false">
      <c r="A625" s="0" t="s">
        <v>2085</v>
      </c>
      <c r="B625" s="0" t="s">
        <v>2086</v>
      </c>
      <c r="C625" s="0" t="n">
        <v>16.95</v>
      </c>
    </row>
    <row r="626" customFormat="false" ht="15" hidden="false" customHeight="false" outlineLevel="0" collapsed="false">
      <c r="A626" s="0" t="s">
        <v>2087</v>
      </c>
      <c r="B626" s="0" t="s">
        <v>2088</v>
      </c>
      <c r="C626" s="0" t="n">
        <v>16.95</v>
      </c>
    </row>
    <row r="627" customFormat="false" ht="15" hidden="false" customHeight="false" outlineLevel="0" collapsed="false">
      <c r="A627" s="0" t="s">
        <v>2089</v>
      </c>
      <c r="B627" s="0" t="s">
        <v>489</v>
      </c>
      <c r="C627" s="0" t="n">
        <v>16.95</v>
      </c>
    </row>
    <row r="628" customFormat="false" ht="15" hidden="false" customHeight="false" outlineLevel="0" collapsed="false">
      <c r="A628" s="0" t="s">
        <v>2090</v>
      </c>
      <c r="B628" s="0" t="s">
        <v>2091</v>
      </c>
      <c r="C628" s="0" t="n">
        <v>1.25</v>
      </c>
    </row>
    <row r="629" customFormat="false" ht="15" hidden="false" customHeight="false" outlineLevel="0" collapsed="false">
      <c r="A629" s="0" t="s">
        <v>2092</v>
      </c>
      <c r="B629" s="0" t="s">
        <v>2093</v>
      </c>
      <c r="C629" s="0" t="n">
        <v>0.29</v>
      </c>
    </row>
    <row r="630" customFormat="false" ht="15" hidden="false" customHeight="false" outlineLevel="0" collapsed="false">
      <c r="A630" s="0" t="s">
        <v>2094</v>
      </c>
      <c r="B630" s="0" t="s">
        <v>797</v>
      </c>
      <c r="C630" s="0" t="n">
        <v>0.21</v>
      </c>
    </row>
    <row r="631" customFormat="false" ht="15" hidden="false" customHeight="false" outlineLevel="0" collapsed="false">
      <c r="A631" s="0" t="s">
        <v>2095</v>
      </c>
      <c r="B631" s="0" t="s">
        <v>2096</v>
      </c>
      <c r="C631" s="0" t="n">
        <v>9.95</v>
      </c>
    </row>
    <row r="632" customFormat="false" ht="15" hidden="false" customHeight="false" outlineLevel="0" collapsed="false">
      <c r="A632" s="0" t="s">
        <v>2097</v>
      </c>
      <c r="B632" s="0" t="s">
        <v>2098</v>
      </c>
      <c r="C632" s="0" t="n">
        <v>10.75</v>
      </c>
    </row>
    <row r="633" customFormat="false" ht="15" hidden="false" customHeight="false" outlineLevel="0" collapsed="false">
      <c r="A633" s="0" t="s">
        <v>2099</v>
      </c>
      <c r="B633" s="0" t="s">
        <v>2100</v>
      </c>
      <c r="C633" s="0" t="n">
        <v>0.42</v>
      </c>
    </row>
    <row r="634" customFormat="false" ht="15" hidden="false" customHeight="false" outlineLevel="0" collapsed="false">
      <c r="A634" s="0" t="s">
        <v>2101</v>
      </c>
      <c r="B634" s="0" t="s">
        <v>2102</v>
      </c>
      <c r="C634" s="0" t="n">
        <v>4.25</v>
      </c>
    </row>
    <row r="635" customFormat="false" ht="15" hidden="false" customHeight="false" outlineLevel="0" collapsed="false">
      <c r="A635" s="0" t="s">
        <v>2103</v>
      </c>
      <c r="B635" s="0" t="s">
        <v>2104</v>
      </c>
      <c r="C635" s="0" t="n">
        <v>6.04</v>
      </c>
    </row>
    <row r="636" customFormat="false" ht="15" hidden="false" customHeight="false" outlineLevel="0" collapsed="false">
      <c r="A636" s="0" t="s">
        <v>2105</v>
      </c>
      <c r="B636" s="0" t="s">
        <v>2106</v>
      </c>
      <c r="C636" s="0" t="n">
        <v>5.95</v>
      </c>
    </row>
    <row r="637" customFormat="false" ht="15" hidden="false" customHeight="false" outlineLevel="0" collapsed="false">
      <c r="A637" s="0" t="s">
        <v>2107</v>
      </c>
      <c r="B637" s="0" t="s">
        <v>2108</v>
      </c>
      <c r="C637" s="0" t="n">
        <v>6.75</v>
      </c>
    </row>
    <row r="638" customFormat="false" ht="15" hidden="false" customHeight="false" outlineLevel="0" collapsed="false">
      <c r="A638" s="0" t="s">
        <v>2109</v>
      </c>
      <c r="B638" s="0" t="s">
        <v>2110</v>
      </c>
      <c r="C638" s="0" t="n">
        <v>3.75</v>
      </c>
    </row>
    <row r="639" customFormat="false" ht="15" hidden="false" customHeight="false" outlineLevel="0" collapsed="false">
      <c r="A639" s="0" t="s">
        <v>2111</v>
      </c>
      <c r="B639" s="0" t="s">
        <v>2112</v>
      </c>
      <c r="C639" s="0" t="n">
        <v>5.94</v>
      </c>
    </row>
    <row r="640" customFormat="false" ht="15" hidden="false" customHeight="false" outlineLevel="0" collapsed="false">
      <c r="A640" s="0" t="s">
        <v>2113</v>
      </c>
      <c r="B640" s="0" t="s">
        <v>2114</v>
      </c>
      <c r="C640" s="0" t="n">
        <v>1.65</v>
      </c>
    </row>
    <row r="641" customFormat="false" ht="15" hidden="false" customHeight="false" outlineLevel="0" collapsed="false">
      <c r="A641" s="0" t="s">
        <v>2115</v>
      </c>
      <c r="B641" s="0" t="s">
        <v>2116</v>
      </c>
      <c r="C641" s="0" t="n">
        <v>2.95</v>
      </c>
    </row>
    <row r="642" customFormat="false" ht="15" hidden="false" customHeight="false" outlineLevel="0" collapsed="false">
      <c r="A642" s="0" t="s">
        <v>2117</v>
      </c>
      <c r="B642" s="0" t="s">
        <v>2118</v>
      </c>
      <c r="C642" s="0" t="n">
        <v>11.02</v>
      </c>
    </row>
    <row r="643" customFormat="false" ht="15" hidden="false" customHeight="false" outlineLevel="0" collapsed="false">
      <c r="A643" s="0" t="s">
        <v>2119</v>
      </c>
      <c r="B643" s="0" t="s">
        <v>2120</v>
      </c>
      <c r="C643" s="0" t="n">
        <v>2.95</v>
      </c>
    </row>
    <row r="644" customFormat="false" ht="15" hidden="false" customHeight="false" outlineLevel="0" collapsed="false">
      <c r="A644" s="0" t="s">
        <v>2121</v>
      </c>
      <c r="B644" s="0" t="s">
        <v>2122</v>
      </c>
      <c r="C644" s="0" t="n">
        <v>0.85</v>
      </c>
    </row>
    <row r="645" customFormat="false" ht="15" hidden="false" customHeight="false" outlineLevel="0" collapsed="false">
      <c r="A645" s="0" t="s">
        <v>2123</v>
      </c>
      <c r="B645" s="0" t="s">
        <v>2124</v>
      </c>
      <c r="C645" s="0" t="n">
        <v>0.42</v>
      </c>
    </row>
    <row r="646" customFormat="false" ht="15" hidden="false" customHeight="false" outlineLevel="0" collapsed="false">
      <c r="A646" s="0" t="s">
        <v>2125</v>
      </c>
      <c r="B646" s="0" t="s">
        <v>2126</v>
      </c>
      <c r="C646" s="0" t="n">
        <v>0.85</v>
      </c>
    </row>
    <row r="647" customFormat="false" ht="15" hidden="false" customHeight="false" outlineLevel="0" collapsed="false">
      <c r="A647" s="0" t="s">
        <v>2127</v>
      </c>
      <c r="B647" s="0" t="s">
        <v>2128</v>
      </c>
      <c r="C647" s="0" t="n">
        <v>1.25</v>
      </c>
    </row>
    <row r="648" customFormat="false" ht="15" hidden="false" customHeight="false" outlineLevel="0" collapsed="false">
      <c r="A648" s="0" t="s">
        <v>2129</v>
      </c>
      <c r="B648" s="0" t="s">
        <v>2130</v>
      </c>
      <c r="C648" s="0" t="n">
        <v>0.42</v>
      </c>
    </row>
    <row r="649" customFormat="false" ht="15" hidden="false" customHeight="false" outlineLevel="0" collapsed="false">
      <c r="A649" s="0" t="s">
        <v>2131</v>
      </c>
      <c r="B649" s="0" t="s">
        <v>2132</v>
      </c>
      <c r="C649" s="0" t="n">
        <v>0.85</v>
      </c>
    </row>
    <row r="650" customFormat="false" ht="15" hidden="false" customHeight="false" outlineLevel="0" collapsed="false">
      <c r="A650" s="0" t="s">
        <v>2133</v>
      </c>
      <c r="B650" s="0" t="s">
        <v>2134</v>
      </c>
      <c r="C650" s="0" t="n">
        <v>0.85</v>
      </c>
    </row>
    <row r="651" customFormat="false" ht="15" hidden="false" customHeight="false" outlineLevel="0" collapsed="false">
      <c r="A651" s="0" t="s">
        <v>2135</v>
      </c>
      <c r="B651" s="0" t="s">
        <v>2136</v>
      </c>
      <c r="C651" s="0" t="n">
        <v>0.42</v>
      </c>
    </row>
    <row r="652" customFormat="false" ht="15" hidden="false" customHeight="false" outlineLevel="0" collapsed="false">
      <c r="A652" s="0" t="s">
        <v>2137</v>
      </c>
      <c r="B652" s="0" t="s">
        <v>2138</v>
      </c>
      <c r="C652" s="0" t="n">
        <v>1.65</v>
      </c>
    </row>
    <row r="653" customFormat="false" ht="15" hidden="false" customHeight="false" outlineLevel="0" collapsed="false">
      <c r="A653" s="0" t="s">
        <v>2139</v>
      </c>
      <c r="B653" s="0" t="s">
        <v>2140</v>
      </c>
      <c r="C653" s="0" t="n">
        <v>0.85</v>
      </c>
    </row>
    <row r="654" customFormat="false" ht="15" hidden="false" customHeight="false" outlineLevel="0" collapsed="false">
      <c r="A654" s="0" t="s">
        <v>2141</v>
      </c>
      <c r="B654" s="0" t="s">
        <v>2142</v>
      </c>
      <c r="C654" s="0" t="n">
        <v>3.75</v>
      </c>
    </row>
    <row r="655" customFormat="false" ht="15" hidden="false" customHeight="false" outlineLevel="0" collapsed="false">
      <c r="A655" s="0" t="s">
        <v>2143</v>
      </c>
      <c r="B655" s="0" t="s">
        <v>2144</v>
      </c>
      <c r="C655" s="0" t="n">
        <v>2.54</v>
      </c>
    </row>
    <row r="656" customFormat="false" ht="15" hidden="false" customHeight="false" outlineLevel="0" collapsed="false">
      <c r="A656" s="0" t="s">
        <v>2145</v>
      </c>
      <c r="B656" s="0" t="s">
        <v>2146</v>
      </c>
      <c r="C656" s="0" t="n">
        <v>0.85</v>
      </c>
    </row>
    <row r="657" customFormat="false" ht="15" hidden="false" customHeight="false" outlineLevel="0" collapsed="false">
      <c r="A657" s="0" t="s">
        <v>2147</v>
      </c>
      <c r="B657" s="0" t="s">
        <v>2148</v>
      </c>
      <c r="C657" s="0" t="n">
        <v>1.95</v>
      </c>
    </row>
    <row r="658" customFormat="false" ht="15" hidden="false" customHeight="false" outlineLevel="0" collapsed="false">
      <c r="A658" s="0" t="s">
        <v>2149</v>
      </c>
      <c r="B658" s="0" t="s">
        <v>2150</v>
      </c>
      <c r="C658" s="0" t="n">
        <v>3.75</v>
      </c>
    </row>
    <row r="659" customFormat="false" ht="15" hidden="false" customHeight="false" outlineLevel="0" collapsed="false">
      <c r="A659" s="0" t="s">
        <v>2151</v>
      </c>
      <c r="B659" s="0" t="s">
        <v>2152</v>
      </c>
      <c r="C659" s="0" t="n">
        <v>3.75</v>
      </c>
    </row>
    <row r="660" customFormat="false" ht="15" hidden="false" customHeight="false" outlineLevel="0" collapsed="false">
      <c r="A660" s="0" t="s">
        <v>2153</v>
      </c>
      <c r="B660" s="0" t="s">
        <v>2154</v>
      </c>
      <c r="C660" s="0" t="n">
        <v>15</v>
      </c>
    </row>
    <row r="661" customFormat="false" ht="15" hidden="false" customHeight="false" outlineLevel="0" collapsed="false">
      <c r="A661" s="0" t="s">
        <v>2155</v>
      </c>
      <c r="B661" s="0" t="s">
        <v>2156</v>
      </c>
      <c r="C661" s="0" t="n">
        <v>29.95</v>
      </c>
    </row>
    <row r="662" customFormat="false" ht="15" hidden="false" customHeight="false" outlineLevel="0" collapsed="false">
      <c r="A662" s="0" t="s">
        <v>2157</v>
      </c>
      <c r="B662" s="0" t="s">
        <v>2158</v>
      </c>
      <c r="C662" s="0" t="n">
        <v>29.95</v>
      </c>
    </row>
    <row r="663" customFormat="false" ht="15" hidden="false" customHeight="false" outlineLevel="0" collapsed="false">
      <c r="A663" s="0" t="s">
        <v>2159</v>
      </c>
      <c r="B663" s="0" t="s">
        <v>2160</v>
      </c>
      <c r="C663" s="0" t="n">
        <v>0.42</v>
      </c>
    </row>
    <row r="664" customFormat="false" ht="15" hidden="false" customHeight="false" outlineLevel="0" collapsed="false">
      <c r="A664" s="0" t="s">
        <v>2161</v>
      </c>
      <c r="B664" s="0" t="s">
        <v>354</v>
      </c>
      <c r="C664" s="0" t="n">
        <v>4.95</v>
      </c>
    </row>
    <row r="665" customFormat="false" ht="15" hidden="false" customHeight="false" outlineLevel="0" collapsed="false">
      <c r="A665" s="0" t="s">
        <v>2162</v>
      </c>
      <c r="B665" s="0" t="s">
        <v>2163</v>
      </c>
      <c r="C665" s="0" t="n">
        <v>4.95</v>
      </c>
    </row>
    <row r="666" customFormat="false" ht="15" hidden="false" customHeight="false" outlineLevel="0" collapsed="false">
      <c r="A666" s="0" t="s">
        <v>2164</v>
      </c>
      <c r="B666" s="0" t="s">
        <v>2165</v>
      </c>
      <c r="C666" s="0" t="n">
        <v>0.85</v>
      </c>
    </row>
    <row r="667" customFormat="false" ht="15" hidden="false" customHeight="false" outlineLevel="0" collapsed="false">
      <c r="A667" s="0" t="s">
        <v>2166</v>
      </c>
      <c r="B667" s="0" t="s">
        <v>2167</v>
      </c>
      <c r="C667" s="0" t="n">
        <v>12.75</v>
      </c>
    </row>
    <row r="668" customFormat="false" ht="15" hidden="false" customHeight="false" outlineLevel="0" collapsed="false">
      <c r="A668" s="0" t="s">
        <v>2168</v>
      </c>
      <c r="B668" s="0" t="s">
        <v>2169</v>
      </c>
      <c r="C668" s="0" t="n">
        <v>4.25</v>
      </c>
    </row>
    <row r="669" customFormat="false" ht="15" hidden="false" customHeight="false" outlineLevel="0" collapsed="false">
      <c r="A669" s="0" t="s">
        <v>2170</v>
      </c>
      <c r="B669" s="0" t="s">
        <v>745</v>
      </c>
      <c r="C669" s="0" t="n">
        <v>9.95</v>
      </c>
    </row>
    <row r="670" customFormat="false" ht="15" hidden="false" customHeight="false" outlineLevel="0" collapsed="false">
      <c r="A670" s="0" t="s">
        <v>2171</v>
      </c>
      <c r="B670" s="0" t="s">
        <v>748</v>
      </c>
      <c r="C670" s="0" t="n">
        <v>9.95</v>
      </c>
    </row>
    <row r="671" customFormat="false" ht="15" hidden="false" customHeight="false" outlineLevel="0" collapsed="false">
      <c r="A671" s="0" t="s">
        <v>2172</v>
      </c>
      <c r="B671" s="0" t="s">
        <v>2173</v>
      </c>
      <c r="C671" s="0" t="n">
        <v>8.5</v>
      </c>
    </row>
    <row r="672" customFormat="false" ht="15" hidden="false" customHeight="false" outlineLevel="0" collapsed="false">
      <c r="A672" s="0" t="s">
        <v>2174</v>
      </c>
      <c r="B672" s="0" t="s">
        <v>2175</v>
      </c>
      <c r="C672" s="0" t="n">
        <v>6.75</v>
      </c>
    </row>
    <row r="673" customFormat="false" ht="15" hidden="false" customHeight="false" outlineLevel="0" collapsed="false">
      <c r="A673" s="0" t="s">
        <v>2176</v>
      </c>
      <c r="B673" s="0" t="s">
        <v>332</v>
      </c>
      <c r="C673" s="0" t="n">
        <v>4.95</v>
      </c>
    </row>
    <row r="674" customFormat="false" ht="15" hidden="false" customHeight="false" outlineLevel="0" collapsed="false">
      <c r="A674" s="0" t="s">
        <v>2177</v>
      </c>
      <c r="B674" s="0" t="s">
        <v>809</v>
      </c>
      <c r="C674" s="0" t="n">
        <v>8.5</v>
      </c>
    </row>
    <row r="675" customFormat="false" ht="15" hidden="false" customHeight="false" outlineLevel="0" collapsed="false">
      <c r="A675" s="0" t="s">
        <v>2178</v>
      </c>
      <c r="B675" s="0" t="s">
        <v>2179</v>
      </c>
      <c r="C675" s="0" t="n">
        <v>1.66</v>
      </c>
    </row>
    <row r="676" customFormat="false" ht="15" hidden="false" customHeight="false" outlineLevel="0" collapsed="false">
      <c r="A676" s="0" t="s">
        <v>2180</v>
      </c>
      <c r="B676" s="0" t="s">
        <v>2181</v>
      </c>
      <c r="C676" s="0" t="n">
        <v>0.85</v>
      </c>
    </row>
    <row r="677" customFormat="false" ht="15" hidden="false" customHeight="false" outlineLevel="0" collapsed="false">
      <c r="A677" s="0" t="s">
        <v>2182</v>
      </c>
      <c r="B677" s="0" t="s">
        <v>2183</v>
      </c>
      <c r="C677" s="0" t="n">
        <v>2.95</v>
      </c>
    </row>
    <row r="678" customFormat="false" ht="15" hidden="false" customHeight="false" outlineLevel="0" collapsed="false">
      <c r="A678" s="0" t="s">
        <v>2184</v>
      </c>
      <c r="B678" s="0" t="s">
        <v>694</v>
      </c>
      <c r="C678" s="0" t="n">
        <v>2.95</v>
      </c>
    </row>
    <row r="679" customFormat="false" ht="15" hidden="false" customHeight="false" outlineLevel="0" collapsed="false">
      <c r="A679" s="0" t="s">
        <v>2185</v>
      </c>
      <c r="B679" s="0" t="s">
        <v>2186</v>
      </c>
      <c r="C679" s="0" t="n">
        <v>2.95</v>
      </c>
    </row>
    <row r="680" customFormat="false" ht="15" hidden="false" customHeight="false" outlineLevel="0" collapsed="false">
      <c r="A680" s="0" t="s">
        <v>2187</v>
      </c>
      <c r="B680" s="0" t="s">
        <v>2188</v>
      </c>
      <c r="C680" s="0" t="n">
        <v>1.65</v>
      </c>
    </row>
    <row r="681" customFormat="false" ht="15" hidden="false" customHeight="false" outlineLevel="0" collapsed="false">
      <c r="A681" s="0" t="s">
        <v>2189</v>
      </c>
      <c r="B681" s="0" t="s">
        <v>2190</v>
      </c>
      <c r="C681" s="0" t="n">
        <v>2.55</v>
      </c>
    </row>
    <row r="682" customFormat="false" ht="15" hidden="false" customHeight="false" outlineLevel="0" collapsed="false">
      <c r="A682" s="0" t="s">
        <v>2191</v>
      </c>
      <c r="B682" s="0" t="s">
        <v>2192</v>
      </c>
      <c r="C682" s="0" t="n">
        <v>9.95</v>
      </c>
    </row>
    <row r="683" customFormat="false" ht="15" hidden="false" customHeight="false" outlineLevel="0" collapsed="false">
      <c r="A683" s="0" t="s">
        <v>2193</v>
      </c>
      <c r="B683" s="0" t="s">
        <v>2194</v>
      </c>
      <c r="C683" s="0" t="n">
        <v>12.72</v>
      </c>
    </row>
    <row r="684" customFormat="false" ht="15" hidden="false" customHeight="false" outlineLevel="0" collapsed="false">
      <c r="A684" s="0" t="s">
        <v>2195</v>
      </c>
      <c r="B684" s="0" t="s">
        <v>2196</v>
      </c>
      <c r="C684" s="0" t="n">
        <v>5.49</v>
      </c>
    </row>
    <row r="685" customFormat="false" ht="15" hidden="false" customHeight="false" outlineLevel="0" collapsed="false">
      <c r="A685" s="0" t="s">
        <v>2197</v>
      </c>
      <c r="B685" s="0" t="s">
        <v>2198</v>
      </c>
      <c r="C685" s="0" t="n">
        <v>1.69</v>
      </c>
    </row>
    <row r="686" customFormat="false" ht="15" hidden="false" customHeight="false" outlineLevel="0" collapsed="false">
      <c r="A686" s="0" t="s">
        <v>2199</v>
      </c>
      <c r="B686" s="0" t="s">
        <v>2200</v>
      </c>
      <c r="C686" s="0" t="n">
        <v>12.72</v>
      </c>
    </row>
    <row r="687" customFormat="false" ht="15" hidden="false" customHeight="false" outlineLevel="0" collapsed="false">
      <c r="A687" s="0" t="s">
        <v>2201</v>
      </c>
      <c r="B687" s="0" t="s">
        <v>2202</v>
      </c>
      <c r="C687" s="0" t="n">
        <v>2.51</v>
      </c>
    </row>
    <row r="688" customFormat="false" ht="15" hidden="false" customHeight="false" outlineLevel="0" collapsed="false">
      <c r="A688" s="0" t="s">
        <v>2203</v>
      </c>
      <c r="B688" s="0" t="s">
        <v>2204</v>
      </c>
      <c r="C688" s="0" t="n">
        <v>2.55</v>
      </c>
    </row>
    <row r="689" customFormat="false" ht="15" hidden="false" customHeight="false" outlineLevel="0" collapsed="false">
      <c r="A689" s="0" t="s">
        <v>2205</v>
      </c>
      <c r="B689" s="0" t="s">
        <v>2206</v>
      </c>
      <c r="C689" s="0" t="n">
        <v>2.55</v>
      </c>
    </row>
    <row r="690" customFormat="false" ht="15" hidden="false" customHeight="false" outlineLevel="0" collapsed="false">
      <c r="A690" s="0" t="s">
        <v>2207</v>
      </c>
      <c r="B690" s="0" t="s">
        <v>2208</v>
      </c>
      <c r="C690" s="0" t="n">
        <v>0.42</v>
      </c>
    </row>
    <row r="691" customFormat="false" ht="15" hidden="false" customHeight="false" outlineLevel="0" collapsed="false">
      <c r="A691" s="0" t="s">
        <v>2209</v>
      </c>
      <c r="B691" s="0" t="s">
        <v>2210</v>
      </c>
      <c r="C691" s="0" t="n">
        <v>2.95</v>
      </c>
    </row>
    <row r="692" customFormat="false" ht="15" hidden="false" customHeight="false" outlineLevel="0" collapsed="false">
      <c r="A692" s="0" t="s">
        <v>2211</v>
      </c>
      <c r="B692" s="0" t="s">
        <v>2212</v>
      </c>
      <c r="C692" s="0" t="n">
        <v>1.95</v>
      </c>
    </row>
    <row r="693" customFormat="false" ht="15" hidden="false" customHeight="false" outlineLevel="0" collapsed="false">
      <c r="A693" s="0" t="s">
        <v>2213</v>
      </c>
      <c r="B693" s="0" t="s">
        <v>2214</v>
      </c>
      <c r="C693" s="0" t="n">
        <v>1.25</v>
      </c>
    </row>
    <row r="694" customFormat="false" ht="15" hidden="false" customHeight="false" outlineLevel="0" collapsed="false">
      <c r="A694" s="0" t="s">
        <v>2215</v>
      </c>
      <c r="B694" s="0" t="s">
        <v>2216</v>
      </c>
      <c r="C694" s="0" t="n">
        <v>8.47</v>
      </c>
    </row>
    <row r="695" customFormat="false" ht="15" hidden="false" customHeight="false" outlineLevel="0" collapsed="false">
      <c r="A695" s="0" t="s">
        <v>2217</v>
      </c>
      <c r="B695" s="0" t="s">
        <v>2218</v>
      </c>
      <c r="C695" s="0" t="n">
        <v>11.02</v>
      </c>
    </row>
    <row r="696" customFormat="false" ht="15" hidden="false" customHeight="false" outlineLevel="0" collapsed="false">
      <c r="A696" s="0" t="s">
        <v>2219</v>
      </c>
      <c r="B696" s="0" t="s">
        <v>2220</v>
      </c>
      <c r="C696" s="0" t="n">
        <v>0.85</v>
      </c>
    </row>
    <row r="697" customFormat="false" ht="15" hidden="false" customHeight="false" outlineLevel="0" collapsed="false">
      <c r="A697" s="0" t="s">
        <v>2221</v>
      </c>
      <c r="B697" s="0" t="s">
        <v>2222</v>
      </c>
      <c r="C697" s="0" t="n">
        <v>4.65</v>
      </c>
    </row>
    <row r="698" customFormat="false" ht="15" hidden="false" customHeight="false" outlineLevel="0" collapsed="false">
      <c r="A698" s="0" t="s">
        <v>2223</v>
      </c>
      <c r="B698" s="0" t="s">
        <v>2224</v>
      </c>
      <c r="C698" s="0" t="n">
        <v>4.95</v>
      </c>
    </row>
    <row r="699" customFormat="false" ht="15" hidden="false" customHeight="false" outlineLevel="0" collapsed="false">
      <c r="A699" s="0" t="s">
        <v>2225</v>
      </c>
      <c r="B699" s="0" t="s">
        <v>2226</v>
      </c>
      <c r="C699" s="0" t="n">
        <v>2.95</v>
      </c>
    </row>
    <row r="700" customFormat="false" ht="15" hidden="false" customHeight="false" outlineLevel="0" collapsed="false">
      <c r="A700" s="0" t="s">
        <v>2227</v>
      </c>
      <c r="B700" s="0" t="s">
        <v>2228</v>
      </c>
      <c r="C700" s="0" t="n">
        <v>2.95</v>
      </c>
    </row>
    <row r="701" customFormat="false" ht="15" hidden="false" customHeight="false" outlineLevel="0" collapsed="false">
      <c r="A701" s="0" t="s">
        <v>2229</v>
      </c>
      <c r="B701" s="0" t="s">
        <v>2230</v>
      </c>
      <c r="C701" s="0" t="n">
        <v>1.25</v>
      </c>
    </row>
    <row r="702" customFormat="false" ht="15" hidden="false" customHeight="false" outlineLevel="0" collapsed="false">
      <c r="A702" s="0" t="s">
        <v>2231</v>
      </c>
      <c r="B702" s="0" t="s">
        <v>2232</v>
      </c>
      <c r="C702" s="0" t="n">
        <v>1.25</v>
      </c>
    </row>
    <row r="703" customFormat="false" ht="15" hidden="false" customHeight="false" outlineLevel="0" collapsed="false">
      <c r="A703" s="0" t="s">
        <v>2233</v>
      </c>
      <c r="B703" s="0" t="s">
        <v>2234</v>
      </c>
      <c r="C703" s="0" t="n">
        <v>2.1</v>
      </c>
    </row>
    <row r="704" customFormat="false" ht="15" hidden="false" customHeight="false" outlineLevel="0" collapsed="false">
      <c r="A704" s="0" t="s">
        <v>2235</v>
      </c>
      <c r="B704" s="0" t="s">
        <v>2236</v>
      </c>
      <c r="C704" s="0" t="n">
        <v>1.66</v>
      </c>
    </row>
    <row r="705" customFormat="false" ht="15" hidden="false" customHeight="false" outlineLevel="0" collapsed="false">
      <c r="A705" s="0" t="s">
        <v>2237</v>
      </c>
      <c r="B705" s="0" t="s">
        <v>2238</v>
      </c>
      <c r="C705" s="0" t="n">
        <v>3.35</v>
      </c>
    </row>
    <row r="706" customFormat="false" ht="15" hidden="false" customHeight="false" outlineLevel="0" collapsed="false">
      <c r="A706" s="0" t="s">
        <v>2239</v>
      </c>
      <c r="B706" s="0" t="s">
        <v>2240</v>
      </c>
      <c r="C706" s="0" t="n">
        <v>5.95</v>
      </c>
    </row>
    <row r="707" customFormat="false" ht="15" hidden="false" customHeight="false" outlineLevel="0" collapsed="false">
      <c r="A707" s="0" t="s">
        <v>2241</v>
      </c>
      <c r="B707" s="0" t="s">
        <v>2242</v>
      </c>
      <c r="C707" s="0" t="n">
        <v>7.95</v>
      </c>
    </row>
    <row r="708" customFormat="false" ht="15" hidden="false" customHeight="false" outlineLevel="0" collapsed="false">
      <c r="A708" s="0" t="s">
        <v>2243</v>
      </c>
      <c r="B708" s="0" t="s">
        <v>2244</v>
      </c>
      <c r="C708" s="0" t="n">
        <v>45.95</v>
      </c>
    </row>
    <row r="709" customFormat="false" ht="15" hidden="false" customHeight="false" outlineLevel="0" collapsed="false">
      <c r="A709" s="0" t="s">
        <v>2245</v>
      </c>
      <c r="B709" s="0" t="s">
        <v>2246</v>
      </c>
      <c r="C709" s="0" t="n">
        <v>0.85</v>
      </c>
    </row>
    <row r="710" customFormat="false" ht="15" hidden="false" customHeight="false" outlineLevel="0" collapsed="false">
      <c r="A710" s="0" t="s">
        <v>2247</v>
      </c>
      <c r="B710" s="0" t="s">
        <v>2248</v>
      </c>
      <c r="C710" s="0" t="n">
        <v>29.95</v>
      </c>
    </row>
    <row r="711" customFormat="false" ht="15" hidden="false" customHeight="false" outlineLevel="0" collapsed="false">
      <c r="A711" s="0" t="s">
        <v>2249</v>
      </c>
      <c r="B711" s="0" t="s">
        <v>2250</v>
      </c>
      <c r="C711" s="0" t="n">
        <v>1.25</v>
      </c>
    </row>
    <row r="712" customFormat="false" ht="15" hidden="false" customHeight="false" outlineLevel="0" collapsed="false">
      <c r="A712" s="0" t="s">
        <v>2251</v>
      </c>
      <c r="B712" s="0" t="s">
        <v>2252</v>
      </c>
      <c r="C712" s="0" t="n">
        <v>0.42</v>
      </c>
    </row>
    <row r="713" customFormat="false" ht="15" hidden="false" customHeight="false" outlineLevel="0" collapsed="false">
      <c r="A713" s="0" t="s">
        <v>2253</v>
      </c>
      <c r="B713" s="0" t="s">
        <v>2254</v>
      </c>
      <c r="C713" s="0" t="n">
        <v>0.42</v>
      </c>
    </row>
    <row r="714" customFormat="false" ht="15" hidden="false" customHeight="false" outlineLevel="0" collapsed="false">
      <c r="A714" s="0" t="s">
        <v>2255</v>
      </c>
      <c r="B714" s="0" t="s">
        <v>784</v>
      </c>
      <c r="C714" s="0" t="n">
        <v>0.42</v>
      </c>
    </row>
    <row r="715" customFormat="false" ht="15" hidden="false" customHeight="false" outlineLevel="0" collapsed="false">
      <c r="A715" s="0" t="s">
        <v>2256</v>
      </c>
      <c r="B715" s="0" t="s">
        <v>173</v>
      </c>
      <c r="C715" s="0" t="n">
        <v>0.42</v>
      </c>
    </row>
    <row r="716" customFormat="false" ht="15" hidden="false" customHeight="false" outlineLevel="0" collapsed="false">
      <c r="A716" s="0" t="s">
        <v>2257</v>
      </c>
      <c r="B716" s="0" t="s">
        <v>2258</v>
      </c>
      <c r="C716" s="0" t="n">
        <v>0.42</v>
      </c>
    </row>
    <row r="717" customFormat="false" ht="15" hidden="false" customHeight="false" outlineLevel="0" collapsed="false">
      <c r="A717" s="0" t="s">
        <v>2259</v>
      </c>
      <c r="B717" s="0" t="s">
        <v>170</v>
      </c>
      <c r="C717" s="0" t="n">
        <v>0.42</v>
      </c>
    </row>
    <row r="718" customFormat="false" ht="15" hidden="false" customHeight="false" outlineLevel="0" collapsed="false">
      <c r="A718" s="0" t="s">
        <v>2260</v>
      </c>
      <c r="B718" s="0" t="s">
        <v>2261</v>
      </c>
      <c r="C718" s="0" t="n">
        <v>2.55</v>
      </c>
    </row>
    <row r="719" customFormat="false" ht="15" hidden="false" customHeight="false" outlineLevel="0" collapsed="false">
      <c r="A719" s="0" t="s">
        <v>2262</v>
      </c>
      <c r="B719" s="0" t="s">
        <v>561</v>
      </c>
      <c r="C719" s="0" t="n">
        <v>0.42</v>
      </c>
    </row>
    <row r="720" customFormat="false" ht="15" hidden="false" customHeight="false" outlineLevel="0" collapsed="false">
      <c r="A720" s="0" t="s">
        <v>2263</v>
      </c>
      <c r="B720" s="0" t="s">
        <v>438</v>
      </c>
      <c r="C720" s="0" t="n">
        <v>0.42</v>
      </c>
    </row>
    <row r="721" customFormat="false" ht="15" hidden="false" customHeight="false" outlineLevel="0" collapsed="false">
      <c r="A721" s="0" t="s">
        <v>2264</v>
      </c>
      <c r="B721" s="0" t="s">
        <v>688</v>
      </c>
      <c r="C721" s="0" t="n">
        <v>0.42</v>
      </c>
    </row>
    <row r="722" customFormat="false" ht="15" hidden="false" customHeight="false" outlineLevel="0" collapsed="false">
      <c r="A722" s="0" t="s">
        <v>2265</v>
      </c>
      <c r="B722" s="0" t="s">
        <v>2266</v>
      </c>
      <c r="C722" s="0" t="n">
        <v>0.42</v>
      </c>
    </row>
    <row r="723" customFormat="false" ht="15" hidden="false" customHeight="false" outlineLevel="0" collapsed="false">
      <c r="A723" s="0" t="s">
        <v>2267</v>
      </c>
      <c r="B723" s="0" t="s">
        <v>2268</v>
      </c>
      <c r="C723" s="0" t="n">
        <v>0.42</v>
      </c>
    </row>
    <row r="724" customFormat="false" ht="15" hidden="false" customHeight="false" outlineLevel="0" collapsed="false">
      <c r="A724" s="0" t="s">
        <v>2269</v>
      </c>
      <c r="B724" s="0" t="s">
        <v>2270</v>
      </c>
      <c r="C724" s="0" t="n">
        <v>0.42</v>
      </c>
    </row>
    <row r="725" customFormat="false" ht="15" hidden="false" customHeight="false" outlineLevel="0" collapsed="false">
      <c r="A725" s="0" t="s">
        <v>2271</v>
      </c>
      <c r="B725" s="0" t="s">
        <v>2272</v>
      </c>
      <c r="C725" s="0" t="n">
        <v>0.42</v>
      </c>
    </row>
    <row r="726" customFormat="false" ht="15" hidden="false" customHeight="false" outlineLevel="0" collapsed="false">
      <c r="A726" s="0" t="s">
        <v>2273</v>
      </c>
      <c r="B726" s="0" t="s">
        <v>78</v>
      </c>
      <c r="C726" s="0" t="n">
        <v>0.42</v>
      </c>
    </row>
    <row r="727" customFormat="false" ht="15" hidden="false" customHeight="false" outlineLevel="0" collapsed="false">
      <c r="A727" s="0" t="s">
        <v>2274</v>
      </c>
      <c r="B727" s="0" t="s">
        <v>2275</v>
      </c>
      <c r="C727" s="0" t="n">
        <v>2.55</v>
      </c>
    </row>
    <row r="728" customFormat="false" ht="15" hidden="false" customHeight="false" outlineLevel="0" collapsed="false">
      <c r="A728" s="0" t="s">
        <v>2276</v>
      </c>
      <c r="B728" s="0" t="s">
        <v>2277</v>
      </c>
      <c r="C728" s="0" t="n">
        <v>2.55</v>
      </c>
    </row>
    <row r="729" customFormat="false" ht="15" hidden="false" customHeight="false" outlineLevel="0" collapsed="false">
      <c r="A729" s="0" t="s">
        <v>2278</v>
      </c>
      <c r="B729" s="0" t="s">
        <v>2279</v>
      </c>
      <c r="C729" s="0" t="n">
        <v>3.75</v>
      </c>
    </row>
    <row r="730" customFormat="false" ht="15" hidden="false" customHeight="false" outlineLevel="0" collapsed="false">
      <c r="A730" s="0" t="s">
        <v>2280</v>
      </c>
      <c r="B730" s="0" t="s">
        <v>2281</v>
      </c>
      <c r="C730" s="0" t="n">
        <v>1.25</v>
      </c>
    </row>
    <row r="731" customFormat="false" ht="15" hidden="false" customHeight="false" outlineLevel="0" collapsed="false">
      <c r="A731" s="0" t="s">
        <v>2282</v>
      </c>
      <c r="B731" s="0" t="s">
        <v>2283</v>
      </c>
      <c r="C731" s="0" t="n">
        <v>12.75</v>
      </c>
    </row>
    <row r="732" customFormat="false" ht="15" hidden="false" customHeight="false" outlineLevel="0" collapsed="false">
      <c r="A732" s="0" t="s">
        <v>2284</v>
      </c>
      <c r="B732" s="0" t="s">
        <v>2285</v>
      </c>
      <c r="C732" s="0" t="n">
        <v>1.65</v>
      </c>
    </row>
    <row r="733" customFormat="false" ht="15" hidden="false" customHeight="false" outlineLevel="0" collapsed="false">
      <c r="A733" s="0" t="s">
        <v>2286</v>
      </c>
      <c r="B733" s="0" t="s">
        <v>2287</v>
      </c>
      <c r="C733" s="0" t="n">
        <v>1.66</v>
      </c>
    </row>
    <row r="734" customFormat="false" ht="15" hidden="false" customHeight="false" outlineLevel="0" collapsed="false">
      <c r="A734" s="0" t="s">
        <v>2288</v>
      </c>
      <c r="B734" s="0" t="s">
        <v>2289</v>
      </c>
      <c r="C734" s="0" t="n">
        <v>0.85</v>
      </c>
    </row>
    <row r="735" customFormat="false" ht="15" hidden="false" customHeight="false" outlineLevel="0" collapsed="false">
      <c r="A735" s="0" t="s">
        <v>2290</v>
      </c>
      <c r="B735" s="0" t="s">
        <v>2291</v>
      </c>
      <c r="C735" s="0" t="n">
        <v>1.95</v>
      </c>
    </row>
    <row r="736" customFormat="false" ht="15" hidden="false" customHeight="false" outlineLevel="0" collapsed="false">
      <c r="A736" s="0" t="s">
        <v>2292</v>
      </c>
      <c r="B736" s="0" t="s">
        <v>56</v>
      </c>
      <c r="C736" s="0" t="n">
        <v>50</v>
      </c>
    </row>
    <row r="737" customFormat="false" ht="15" hidden="false" customHeight="false" outlineLevel="0" collapsed="false">
      <c r="A737" s="0" t="s">
        <v>2293</v>
      </c>
      <c r="B737" s="0" t="s">
        <v>2294</v>
      </c>
      <c r="C737" s="0" t="n">
        <v>2.95</v>
      </c>
    </row>
    <row r="738" customFormat="false" ht="15" hidden="false" customHeight="false" outlineLevel="0" collapsed="false">
      <c r="A738" s="0" t="s">
        <v>2295</v>
      </c>
      <c r="B738" s="0" t="s">
        <v>2296</v>
      </c>
      <c r="C738" s="0" t="n">
        <v>0.16</v>
      </c>
    </row>
    <row r="739" customFormat="false" ht="15" hidden="false" customHeight="false" outlineLevel="0" collapsed="false">
      <c r="A739" s="0" t="s">
        <v>2297</v>
      </c>
      <c r="B739" s="0" t="s">
        <v>2298</v>
      </c>
      <c r="C739" s="0" t="n">
        <v>2.55</v>
      </c>
    </row>
    <row r="740" customFormat="false" ht="15" hidden="false" customHeight="false" outlineLevel="0" collapsed="false">
      <c r="A740" s="0" t="s">
        <v>2299</v>
      </c>
      <c r="B740" s="0" t="s">
        <v>2300</v>
      </c>
      <c r="C740" s="0" t="n">
        <v>2.55</v>
      </c>
    </row>
    <row r="741" customFormat="false" ht="15" hidden="false" customHeight="false" outlineLevel="0" collapsed="false">
      <c r="A741" s="0" t="s">
        <v>2301</v>
      </c>
      <c r="B741" s="0" t="s">
        <v>2302</v>
      </c>
      <c r="C741" s="0" t="n">
        <v>2.55</v>
      </c>
    </row>
    <row r="742" customFormat="false" ht="15" hidden="false" customHeight="false" outlineLevel="0" collapsed="false">
      <c r="A742" s="0" t="s">
        <v>2303</v>
      </c>
      <c r="B742" s="0" t="s">
        <v>2304</v>
      </c>
      <c r="C742" s="0" t="n">
        <v>3.25</v>
      </c>
    </row>
    <row r="743" customFormat="false" ht="15" hidden="false" customHeight="false" outlineLevel="0" collapsed="false">
      <c r="A743" s="0" t="s">
        <v>2305</v>
      </c>
      <c r="B743" s="0" t="s">
        <v>2306</v>
      </c>
      <c r="C743" s="0" t="n">
        <v>5.17</v>
      </c>
    </row>
    <row r="744" customFormat="false" ht="15" hidden="false" customHeight="false" outlineLevel="0" collapsed="false">
      <c r="A744" s="0" t="s">
        <v>2307</v>
      </c>
      <c r="B744" s="0" t="s">
        <v>2308</v>
      </c>
      <c r="C744" s="0" t="n">
        <v>0.19</v>
      </c>
    </row>
    <row r="745" customFormat="false" ht="15" hidden="false" customHeight="false" outlineLevel="0" collapsed="false">
      <c r="A745" s="0" t="s">
        <v>2309</v>
      </c>
      <c r="B745" s="0" t="s">
        <v>2310</v>
      </c>
      <c r="C745" s="0" t="n">
        <v>0.42</v>
      </c>
    </row>
    <row r="746" customFormat="false" ht="15" hidden="false" customHeight="false" outlineLevel="0" collapsed="false">
      <c r="A746" s="0" t="s">
        <v>2311</v>
      </c>
      <c r="B746" s="0" t="s">
        <v>2312</v>
      </c>
      <c r="C746" s="0" t="n">
        <v>0.42</v>
      </c>
    </row>
    <row r="747" customFormat="false" ht="15" hidden="false" customHeight="false" outlineLevel="0" collapsed="false">
      <c r="A747" s="0" t="s">
        <v>2313</v>
      </c>
      <c r="B747" s="0" t="s">
        <v>2314</v>
      </c>
      <c r="C747" s="0" t="n">
        <v>5.95</v>
      </c>
    </row>
    <row r="748" customFormat="false" ht="15" hidden="false" customHeight="false" outlineLevel="0" collapsed="false">
      <c r="A748" s="0" t="s">
        <v>2315</v>
      </c>
      <c r="B748" s="0" t="s">
        <v>2316</v>
      </c>
      <c r="C748" s="0" t="n">
        <v>5.95</v>
      </c>
    </row>
    <row r="749" customFormat="false" ht="15" hidden="false" customHeight="false" outlineLevel="0" collapsed="false">
      <c r="A749" s="0" t="s">
        <v>2317</v>
      </c>
      <c r="B749" s="0" t="s">
        <v>2318</v>
      </c>
      <c r="C749" s="0" t="n">
        <v>2.95</v>
      </c>
    </row>
    <row r="750" customFormat="false" ht="15" hidden="false" customHeight="false" outlineLevel="0" collapsed="false">
      <c r="A750" s="0" t="s">
        <v>2319</v>
      </c>
      <c r="B750" s="0" t="s">
        <v>2320</v>
      </c>
      <c r="C750" s="0" t="n">
        <v>5.95</v>
      </c>
    </row>
    <row r="751" customFormat="false" ht="15" hidden="false" customHeight="false" outlineLevel="0" collapsed="false">
      <c r="A751" s="0" t="s">
        <v>2321</v>
      </c>
      <c r="B751" s="0" t="s">
        <v>2322</v>
      </c>
      <c r="C751" s="0" t="n">
        <v>2.95</v>
      </c>
    </row>
    <row r="752" customFormat="false" ht="15" hidden="false" customHeight="false" outlineLevel="0" collapsed="false">
      <c r="A752" s="0" t="s">
        <v>2323</v>
      </c>
      <c r="B752" s="0" t="s">
        <v>2324</v>
      </c>
      <c r="C752" s="0" t="n">
        <v>5.95</v>
      </c>
    </row>
    <row r="753" customFormat="false" ht="15" hidden="false" customHeight="false" outlineLevel="0" collapsed="false">
      <c r="A753" s="0" t="s">
        <v>2325</v>
      </c>
      <c r="B753" s="0" t="s">
        <v>2326</v>
      </c>
      <c r="C753" s="0" t="n">
        <v>2.95</v>
      </c>
    </row>
    <row r="754" customFormat="false" ht="15" hidden="false" customHeight="false" outlineLevel="0" collapsed="false">
      <c r="A754" s="0" t="s">
        <v>2327</v>
      </c>
      <c r="B754" s="0" t="s">
        <v>2328</v>
      </c>
      <c r="C754" s="0" t="n">
        <v>5.95</v>
      </c>
    </row>
    <row r="755" customFormat="false" ht="15" hidden="false" customHeight="false" outlineLevel="0" collapsed="false">
      <c r="A755" s="0" t="s">
        <v>2329</v>
      </c>
      <c r="B755" s="0" t="s">
        <v>2330</v>
      </c>
      <c r="C755" s="0" t="n">
        <v>2.95</v>
      </c>
    </row>
    <row r="756" customFormat="false" ht="15" hidden="false" customHeight="false" outlineLevel="0" collapsed="false">
      <c r="A756" s="0" t="s">
        <v>2331</v>
      </c>
      <c r="B756" s="0" t="s">
        <v>2332</v>
      </c>
      <c r="C756" s="0" t="n">
        <v>2.95</v>
      </c>
    </row>
    <row r="757" customFormat="false" ht="15" hidden="false" customHeight="false" outlineLevel="0" collapsed="false">
      <c r="A757" s="0" t="s">
        <v>2333</v>
      </c>
      <c r="B757" s="0" t="s">
        <v>742</v>
      </c>
      <c r="C757" s="0" t="n">
        <v>2.95</v>
      </c>
    </row>
    <row r="758" customFormat="false" ht="15" hidden="false" customHeight="false" outlineLevel="0" collapsed="false">
      <c r="A758" s="0" t="s">
        <v>2334</v>
      </c>
      <c r="B758" s="0" t="s">
        <v>2335</v>
      </c>
      <c r="C758" s="0" t="n">
        <v>2.95</v>
      </c>
    </row>
    <row r="759" customFormat="false" ht="15" hidden="false" customHeight="false" outlineLevel="0" collapsed="false">
      <c r="A759" s="0" t="s">
        <v>2336</v>
      </c>
      <c r="B759" s="0" t="s">
        <v>33</v>
      </c>
      <c r="C759" s="0" t="n">
        <v>1.49</v>
      </c>
    </row>
    <row r="760" customFormat="false" ht="15" hidden="false" customHeight="false" outlineLevel="0" collapsed="false">
      <c r="A760" s="0" t="s">
        <v>2337</v>
      </c>
      <c r="B760" s="0" t="s">
        <v>34</v>
      </c>
      <c r="C760" s="0" t="n">
        <v>1.49</v>
      </c>
    </row>
    <row r="761" customFormat="false" ht="15" hidden="false" customHeight="false" outlineLevel="0" collapsed="false">
      <c r="A761" s="0" t="s">
        <v>2338</v>
      </c>
      <c r="B761" s="0" t="s">
        <v>2339</v>
      </c>
      <c r="C761" s="0" t="n">
        <v>9.95</v>
      </c>
    </row>
    <row r="762" customFormat="false" ht="15" hidden="false" customHeight="false" outlineLevel="0" collapsed="false">
      <c r="A762" s="0" t="s">
        <v>2340</v>
      </c>
      <c r="B762" s="0" t="s">
        <v>2341</v>
      </c>
      <c r="C762" s="0" t="n">
        <v>4.95</v>
      </c>
    </row>
    <row r="763" customFormat="false" ht="15" hidden="false" customHeight="false" outlineLevel="0" collapsed="false">
      <c r="A763" s="0" t="s">
        <v>2342</v>
      </c>
      <c r="B763" s="0" t="s">
        <v>757</v>
      </c>
      <c r="C763" s="0" t="n">
        <v>1.45</v>
      </c>
    </row>
    <row r="764" customFormat="false" ht="15" hidden="false" customHeight="false" outlineLevel="0" collapsed="false">
      <c r="A764" s="0" t="s">
        <v>2343</v>
      </c>
      <c r="B764" s="0" t="s">
        <v>756</v>
      </c>
      <c r="C764" s="0" t="n">
        <v>1.45</v>
      </c>
    </row>
    <row r="765" customFormat="false" ht="15" hidden="false" customHeight="false" outlineLevel="0" collapsed="false">
      <c r="A765" s="0" t="s">
        <v>2344</v>
      </c>
      <c r="B765" s="0" t="s">
        <v>818</v>
      </c>
      <c r="C765" s="0" t="n">
        <v>1.45</v>
      </c>
    </row>
    <row r="766" customFormat="false" ht="15" hidden="false" customHeight="false" outlineLevel="0" collapsed="false">
      <c r="A766" s="0" t="s">
        <v>2345</v>
      </c>
      <c r="B766" s="0" t="s">
        <v>2346</v>
      </c>
      <c r="C766" s="0" t="n">
        <v>1.49</v>
      </c>
    </row>
    <row r="767" customFormat="false" ht="15" hidden="false" customHeight="false" outlineLevel="0" collapsed="false">
      <c r="A767" s="0" t="s">
        <v>2347</v>
      </c>
      <c r="B767" s="0" t="s">
        <v>2348</v>
      </c>
      <c r="C767" s="0" t="n">
        <v>1.45</v>
      </c>
    </row>
    <row r="768" customFormat="false" ht="15" hidden="false" customHeight="false" outlineLevel="0" collapsed="false">
      <c r="A768" s="0" t="s">
        <v>2349</v>
      </c>
      <c r="B768" s="0" t="s">
        <v>2350</v>
      </c>
      <c r="C768" s="0" t="n">
        <v>1.49</v>
      </c>
    </row>
    <row r="769" customFormat="false" ht="15" hidden="false" customHeight="false" outlineLevel="0" collapsed="false">
      <c r="A769" s="0" t="s">
        <v>2351</v>
      </c>
      <c r="B769" s="0" t="s">
        <v>740</v>
      </c>
      <c r="C769" s="0" t="n">
        <v>1.49</v>
      </c>
    </row>
    <row r="770" customFormat="false" ht="15" hidden="false" customHeight="false" outlineLevel="0" collapsed="false">
      <c r="A770" s="0" t="s">
        <v>2352</v>
      </c>
      <c r="B770" s="0" t="s">
        <v>260</v>
      </c>
      <c r="C770" s="0" t="n">
        <v>1.45</v>
      </c>
    </row>
    <row r="771" customFormat="false" ht="15" hidden="false" customHeight="false" outlineLevel="0" collapsed="false">
      <c r="A771" s="0" t="s">
        <v>2353</v>
      </c>
      <c r="B771" s="0" t="s">
        <v>2354</v>
      </c>
      <c r="C771" s="0" t="n">
        <v>2.55</v>
      </c>
    </row>
    <row r="772" customFormat="false" ht="15" hidden="false" customHeight="false" outlineLevel="0" collapsed="false">
      <c r="A772" s="0" t="s">
        <v>2355</v>
      </c>
      <c r="B772" s="0" t="s">
        <v>2356</v>
      </c>
      <c r="C772" s="0" t="n">
        <v>2.55</v>
      </c>
    </row>
    <row r="773" customFormat="false" ht="15" hidden="false" customHeight="false" outlineLevel="0" collapsed="false">
      <c r="A773" s="0" t="s">
        <v>2357</v>
      </c>
      <c r="B773" s="0" t="s">
        <v>741</v>
      </c>
      <c r="C773" s="0" t="n">
        <v>1.49</v>
      </c>
    </row>
    <row r="774" customFormat="false" ht="15" hidden="false" customHeight="false" outlineLevel="0" collapsed="false">
      <c r="A774" s="0" t="s">
        <v>2358</v>
      </c>
      <c r="B774" s="0" t="s">
        <v>2359</v>
      </c>
      <c r="C774" s="0" t="n">
        <v>0.38</v>
      </c>
    </row>
    <row r="775" customFormat="false" ht="15" hidden="false" customHeight="false" outlineLevel="0" collapsed="false">
      <c r="A775" s="0" t="s">
        <v>2360</v>
      </c>
      <c r="B775" s="0" t="s">
        <v>2361</v>
      </c>
      <c r="C775" s="0" t="n">
        <v>0.38</v>
      </c>
    </row>
    <row r="776" customFormat="false" ht="15" hidden="false" customHeight="false" outlineLevel="0" collapsed="false">
      <c r="A776" s="0" t="s">
        <v>2362</v>
      </c>
      <c r="B776" s="0" t="s">
        <v>2363</v>
      </c>
      <c r="C776" s="0" t="n">
        <v>24.95</v>
      </c>
    </row>
    <row r="777" customFormat="false" ht="15" hidden="false" customHeight="false" outlineLevel="0" collapsed="false">
      <c r="A777" s="0" t="s">
        <v>2364</v>
      </c>
      <c r="B777" s="0" t="s">
        <v>2365</v>
      </c>
      <c r="C777" s="0" t="n">
        <v>0.19</v>
      </c>
    </row>
    <row r="778" customFormat="false" ht="15" hidden="false" customHeight="false" outlineLevel="0" collapsed="false">
      <c r="A778" s="0" t="s">
        <v>2366</v>
      </c>
      <c r="B778" s="0" t="s">
        <v>351</v>
      </c>
      <c r="C778" s="0" t="n">
        <v>3.75</v>
      </c>
    </row>
    <row r="779" customFormat="false" ht="15" hidden="false" customHeight="false" outlineLevel="0" collapsed="false">
      <c r="A779" s="0" t="s">
        <v>2367</v>
      </c>
      <c r="B779" s="0" t="s">
        <v>350</v>
      </c>
      <c r="C779" s="0" t="n">
        <v>3.75</v>
      </c>
    </row>
    <row r="780" customFormat="false" ht="15" hidden="false" customHeight="false" outlineLevel="0" collapsed="false">
      <c r="A780" s="0" t="s">
        <v>2368</v>
      </c>
      <c r="B780" s="0" t="s">
        <v>2369</v>
      </c>
      <c r="C780" s="0" t="n">
        <v>9.95</v>
      </c>
    </row>
    <row r="781" customFormat="false" ht="15" hidden="false" customHeight="false" outlineLevel="0" collapsed="false">
      <c r="A781" s="0" t="s">
        <v>2370</v>
      </c>
      <c r="B781" s="0" t="s">
        <v>2371</v>
      </c>
      <c r="C781" s="0" t="n">
        <v>2.95</v>
      </c>
    </row>
    <row r="782" customFormat="false" ht="15" hidden="false" customHeight="false" outlineLevel="0" collapsed="false">
      <c r="A782" s="0" t="s">
        <v>2372</v>
      </c>
      <c r="B782" s="0" t="s">
        <v>2373</v>
      </c>
      <c r="C782" s="0" t="n">
        <v>1.65</v>
      </c>
    </row>
    <row r="783" customFormat="false" ht="15" hidden="false" customHeight="false" outlineLevel="0" collapsed="false">
      <c r="A783" s="0" t="s">
        <v>2374</v>
      </c>
      <c r="B783" s="0" t="s">
        <v>2375</v>
      </c>
      <c r="C783" s="0" t="n">
        <v>9.95</v>
      </c>
    </row>
    <row r="784" customFormat="false" ht="15" hidden="false" customHeight="false" outlineLevel="0" collapsed="false">
      <c r="A784" s="0" t="s">
        <v>2376</v>
      </c>
      <c r="B784" s="0" t="s">
        <v>2377</v>
      </c>
      <c r="C784" s="0" t="n">
        <v>9.95</v>
      </c>
    </row>
    <row r="785" customFormat="false" ht="15" hidden="false" customHeight="false" outlineLevel="0" collapsed="false">
      <c r="A785" s="0" t="s">
        <v>2378</v>
      </c>
      <c r="B785" s="0" t="s">
        <v>2379</v>
      </c>
      <c r="C785" s="0" t="n">
        <v>4.65</v>
      </c>
    </row>
    <row r="786" customFormat="false" ht="15" hidden="false" customHeight="false" outlineLevel="0" collapsed="false">
      <c r="A786" s="0" t="s">
        <v>2380</v>
      </c>
      <c r="B786" s="0" t="s">
        <v>2381</v>
      </c>
      <c r="C786" s="0" t="n">
        <v>2.55</v>
      </c>
    </row>
    <row r="787" customFormat="false" ht="15" hidden="false" customHeight="false" outlineLevel="0" collapsed="false">
      <c r="A787" s="0" t="s">
        <v>2382</v>
      </c>
      <c r="B787" s="0" t="s">
        <v>2383</v>
      </c>
      <c r="C787" s="0" t="n">
        <v>2.95</v>
      </c>
    </row>
    <row r="788" customFormat="false" ht="15" hidden="false" customHeight="false" outlineLevel="0" collapsed="false">
      <c r="A788" s="0" t="s">
        <v>2384</v>
      </c>
      <c r="B788" s="0" t="s">
        <v>343</v>
      </c>
      <c r="C788" s="0" t="n">
        <v>4.65</v>
      </c>
    </row>
    <row r="789" customFormat="false" ht="15" hidden="false" customHeight="false" outlineLevel="0" collapsed="false">
      <c r="A789" s="0" t="s">
        <v>2385</v>
      </c>
      <c r="B789" s="0" t="s">
        <v>2386</v>
      </c>
      <c r="C789" s="0" t="n">
        <v>2.55</v>
      </c>
    </row>
    <row r="790" customFormat="false" ht="15" hidden="false" customHeight="false" outlineLevel="0" collapsed="false">
      <c r="A790" s="0" t="s">
        <v>2387</v>
      </c>
      <c r="B790" s="0" t="s">
        <v>366</v>
      </c>
      <c r="C790" s="0" t="n">
        <v>0.85</v>
      </c>
    </row>
    <row r="791" customFormat="false" ht="15" hidden="false" customHeight="false" outlineLevel="0" collapsed="false">
      <c r="A791" s="0" t="s">
        <v>2388</v>
      </c>
      <c r="B791" s="0" t="s">
        <v>255</v>
      </c>
      <c r="C791" s="0" t="n">
        <v>0.85</v>
      </c>
    </row>
    <row r="792" customFormat="false" ht="15" hidden="false" customHeight="false" outlineLevel="0" collapsed="false">
      <c r="A792" s="0" t="s">
        <v>2389</v>
      </c>
      <c r="B792" s="0" t="s">
        <v>84</v>
      </c>
      <c r="C792" s="0" t="n">
        <v>0.85</v>
      </c>
    </row>
    <row r="793" customFormat="false" ht="15" hidden="false" customHeight="false" outlineLevel="0" collapsed="false">
      <c r="A793" s="0" t="s">
        <v>2390</v>
      </c>
      <c r="B793" s="0" t="s">
        <v>2391</v>
      </c>
      <c r="C793" s="0" t="n">
        <v>4.95</v>
      </c>
    </row>
    <row r="794" customFormat="false" ht="15" hidden="false" customHeight="false" outlineLevel="0" collapsed="false">
      <c r="A794" s="0" t="s">
        <v>2392</v>
      </c>
      <c r="B794" s="0" t="s">
        <v>2393</v>
      </c>
      <c r="C794" s="0" t="n">
        <v>7.95</v>
      </c>
    </row>
    <row r="795" customFormat="false" ht="15" hidden="false" customHeight="false" outlineLevel="0" collapsed="false">
      <c r="A795" s="0" t="s">
        <v>2394</v>
      </c>
      <c r="B795" s="0" t="s">
        <v>2395</v>
      </c>
      <c r="C795" s="0" t="n">
        <v>3.75</v>
      </c>
    </row>
    <row r="796" customFormat="false" ht="15" hidden="false" customHeight="false" outlineLevel="0" collapsed="false">
      <c r="A796" s="0" t="s">
        <v>2394</v>
      </c>
      <c r="B796" s="0" t="s">
        <v>2396</v>
      </c>
      <c r="C796" s="0" t="n">
        <v>3.75</v>
      </c>
    </row>
    <row r="797" customFormat="false" ht="15" hidden="false" customHeight="false" outlineLevel="0" collapsed="false">
      <c r="A797" s="0" t="s">
        <v>2397</v>
      </c>
      <c r="B797" s="0" t="s">
        <v>2398</v>
      </c>
      <c r="C797" s="0" t="n">
        <v>1.25</v>
      </c>
    </row>
    <row r="798" customFormat="false" ht="15" hidden="false" customHeight="false" outlineLevel="0" collapsed="false">
      <c r="A798" s="0" t="s">
        <v>2399</v>
      </c>
      <c r="B798" s="0" t="s">
        <v>2400</v>
      </c>
      <c r="C798" s="0" t="n">
        <v>2.1</v>
      </c>
    </row>
    <row r="799" customFormat="false" ht="15" hidden="false" customHeight="false" outlineLevel="0" collapsed="false">
      <c r="A799" s="0" t="s">
        <v>2401</v>
      </c>
      <c r="B799" s="0" t="s">
        <v>2402</v>
      </c>
      <c r="C799" s="0" t="n">
        <v>4.21</v>
      </c>
    </row>
    <row r="800" customFormat="false" ht="15" hidden="false" customHeight="false" outlineLevel="0" collapsed="false">
      <c r="A800" s="0" t="s">
        <v>2403</v>
      </c>
      <c r="B800" s="0" t="s">
        <v>2404</v>
      </c>
      <c r="C800" s="0" t="n">
        <v>2.95</v>
      </c>
    </row>
    <row r="801" customFormat="false" ht="15" hidden="false" customHeight="false" outlineLevel="0" collapsed="false">
      <c r="A801" s="0" t="s">
        <v>2405</v>
      </c>
      <c r="B801" s="0" t="s">
        <v>2406</v>
      </c>
      <c r="C801" s="0" t="n">
        <v>1.95</v>
      </c>
    </row>
    <row r="802" customFormat="false" ht="15" hidden="false" customHeight="false" outlineLevel="0" collapsed="false">
      <c r="A802" s="0" t="s">
        <v>2407</v>
      </c>
      <c r="B802" s="0" t="s">
        <v>2408</v>
      </c>
      <c r="C802" s="0" t="n">
        <v>3.75</v>
      </c>
    </row>
    <row r="803" customFormat="false" ht="15" hidden="false" customHeight="false" outlineLevel="0" collapsed="false">
      <c r="A803" s="0" t="s">
        <v>2409</v>
      </c>
      <c r="B803" s="0" t="s">
        <v>2410</v>
      </c>
      <c r="C803" s="0" t="n">
        <v>1.95</v>
      </c>
    </row>
    <row r="804" customFormat="false" ht="15" hidden="false" customHeight="false" outlineLevel="0" collapsed="false">
      <c r="A804" s="0" t="s">
        <v>2411</v>
      </c>
      <c r="B804" s="0" t="s">
        <v>2412</v>
      </c>
      <c r="C804" s="0" t="n">
        <v>24.95</v>
      </c>
    </row>
    <row r="805" customFormat="false" ht="15" hidden="false" customHeight="false" outlineLevel="0" collapsed="false">
      <c r="A805" s="0" t="s">
        <v>2413</v>
      </c>
      <c r="B805" s="0" t="s">
        <v>2414</v>
      </c>
      <c r="C805" s="0" t="n">
        <v>110</v>
      </c>
    </row>
    <row r="806" customFormat="false" ht="15" hidden="false" customHeight="false" outlineLevel="0" collapsed="false">
      <c r="A806" s="0" t="s">
        <v>2415</v>
      </c>
      <c r="B806" s="0" t="s">
        <v>596</v>
      </c>
      <c r="C806" s="0" t="n">
        <v>16.95</v>
      </c>
    </row>
    <row r="807" customFormat="false" ht="15" hidden="false" customHeight="false" outlineLevel="0" collapsed="false">
      <c r="A807" s="0" t="s">
        <v>2416</v>
      </c>
      <c r="B807" s="0" t="s">
        <v>317</v>
      </c>
      <c r="C807" s="0" t="n">
        <v>3.45</v>
      </c>
    </row>
    <row r="808" customFormat="false" ht="15" hidden="false" customHeight="false" outlineLevel="0" collapsed="false">
      <c r="A808" s="0" t="s">
        <v>2417</v>
      </c>
      <c r="B808" s="0" t="s">
        <v>509</v>
      </c>
      <c r="C808" s="0" t="n">
        <v>2.1</v>
      </c>
    </row>
    <row r="809" customFormat="false" ht="15" hidden="false" customHeight="false" outlineLevel="0" collapsed="false">
      <c r="A809" s="0" t="s">
        <v>2418</v>
      </c>
      <c r="B809" s="0" t="s">
        <v>440</v>
      </c>
      <c r="C809" s="0" t="n">
        <v>1.65</v>
      </c>
    </row>
    <row r="810" customFormat="false" ht="15" hidden="false" customHeight="false" outlineLevel="0" collapsed="false">
      <c r="A810" s="0" t="s">
        <v>2419</v>
      </c>
      <c r="B810" s="0" t="s">
        <v>125</v>
      </c>
      <c r="C810" s="0" t="n">
        <v>1.65</v>
      </c>
    </row>
    <row r="811" customFormat="false" ht="15" hidden="false" customHeight="false" outlineLevel="0" collapsed="false">
      <c r="A811" s="0" t="s">
        <v>2420</v>
      </c>
      <c r="B811" s="0" t="s">
        <v>258</v>
      </c>
      <c r="C811" s="0" t="n">
        <v>1.95</v>
      </c>
    </row>
    <row r="812" customFormat="false" ht="15" hidden="false" customHeight="false" outlineLevel="0" collapsed="false">
      <c r="A812" s="0" t="s">
        <v>2421</v>
      </c>
      <c r="B812" s="0" t="s">
        <v>481</v>
      </c>
      <c r="C812" s="0" t="n">
        <v>1.95</v>
      </c>
    </row>
    <row r="813" customFormat="false" ht="15" hidden="false" customHeight="false" outlineLevel="0" collapsed="false">
      <c r="A813" s="0" t="s">
        <v>2422</v>
      </c>
      <c r="B813" s="0" t="s">
        <v>124</v>
      </c>
      <c r="C813" s="0" t="n">
        <v>1.65</v>
      </c>
    </row>
    <row r="814" customFormat="false" ht="15" hidden="false" customHeight="false" outlineLevel="0" collapsed="false">
      <c r="A814" s="0" t="s">
        <v>2423</v>
      </c>
      <c r="B814" s="0" t="s">
        <v>2424</v>
      </c>
      <c r="C814" s="0" t="n">
        <v>1.25</v>
      </c>
    </row>
    <row r="815" customFormat="false" ht="15" hidden="false" customHeight="false" outlineLevel="0" collapsed="false">
      <c r="A815" s="0" t="s">
        <v>2425</v>
      </c>
      <c r="B815" s="0" t="s">
        <v>2426</v>
      </c>
      <c r="C815" s="0" t="n">
        <v>1.25</v>
      </c>
    </row>
    <row r="816" customFormat="false" ht="15" hidden="false" customHeight="false" outlineLevel="0" collapsed="false">
      <c r="A816" s="0" t="s">
        <v>2427</v>
      </c>
      <c r="B816" s="0" t="s">
        <v>248</v>
      </c>
      <c r="C816" s="0" t="n">
        <v>8.5</v>
      </c>
    </row>
    <row r="817" customFormat="false" ht="15" hidden="false" customHeight="false" outlineLevel="0" collapsed="false">
      <c r="A817" s="0" t="s">
        <v>2428</v>
      </c>
      <c r="B817" s="0" t="s">
        <v>245</v>
      </c>
      <c r="C817" s="0" t="n">
        <v>9.95</v>
      </c>
    </row>
    <row r="818" customFormat="false" ht="15" hidden="false" customHeight="false" outlineLevel="0" collapsed="false">
      <c r="A818" s="0" t="s">
        <v>2429</v>
      </c>
      <c r="B818" s="0" t="s">
        <v>603</v>
      </c>
      <c r="C818" s="0" t="n">
        <v>9.95</v>
      </c>
    </row>
    <row r="819" customFormat="false" ht="15" hidden="false" customHeight="false" outlineLevel="0" collapsed="false">
      <c r="A819" s="0" t="s">
        <v>2430</v>
      </c>
      <c r="B819" s="0" t="s">
        <v>2431</v>
      </c>
      <c r="C819" s="0" t="n">
        <v>2.1</v>
      </c>
    </row>
    <row r="820" customFormat="false" ht="15" hidden="false" customHeight="false" outlineLevel="0" collapsed="false">
      <c r="A820" s="0" t="s">
        <v>2432</v>
      </c>
      <c r="B820" s="0" t="s">
        <v>2433</v>
      </c>
      <c r="C820" s="0" t="n">
        <v>2.1</v>
      </c>
    </row>
    <row r="821" customFormat="false" ht="15" hidden="false" customHeight="false" outlineLevel="0" collapsed="false">
      <c r="A821" s="0" t="s">
        <v>2434</v>
      </c>
      <c r="B821" s="0" t="s">
        <v>2435</v>
      </c>
      <c r="C821" s="0" t="n">
        <v>0.85</v>
      </c>
    </row>
    <row r="822" customFormat="false" ht="15" hidden="false" customHeight="false" outlineLevel="0" collapsed="false">
      <c r="A822" s="0" t="s">
        <v>2436</v>
      </c>
      <c r="B822" s="0" t="s">
        <v>2437</v>
      </c>
      <c r="C822" s="0" t="n">
        <v>0.85</v>
      </c>
    </row>
    <row r="823" customFormat="false" ht="15" hidden="false" customHeight="false" outlineLevel="0" collapsed="false">
      <c r="A823" s="0" t="s">
        <v>2438</v>
      </c>
      <c r="B823" s="0" t="s">
        <v>2439</v>
      </c>
      <c r="C823" s="0" t="n">
        <v>2.1</v>
      </c>
    </row>
    <row r="824" customFormat="false" ht="15" hidden="false" customHeight="false" outlineLevel="0" collapsed="false">
      <c r="A824" s="0" t="s">
        <v>2440</v>
      </c>
      <c r="B824" s="0" t="s">
        <v>2441</v>
      </c>
      <c r="C824" s="0" t="n">
        <v>2.1</v>
      </c>
    </row>
    <row r="825" customFormat="false" ht="15" hidden="false" customHeight="false" outlineLevel="0" collapsed="false">
      <c r="A825" s="0" t="s">
        <v>2442</v>
      </c>
      <c r="B825" s="0" t="s">
        <v>2443</v>
      </c>
      <c r="C825" s="0" t="n">
        <v>2.1</v>
      </c>
    </row>
    <row r="826" customFormat="false" ht="15" hidden="false" customHeight="false" outlineLevel="0" collapsed="false">
      <c r="A826" s="0" t="s">
        <v>2444</v>
      </c>
      <c r="B826" s="0" t="s">
        <v>2445</v>
      </c>
      <c r="C826" s="0" t="n">
        <v>2.1</v>
      </c>
    </row>
    <row r="827" customFormat="false" ht="15" hidden="false" customHeight="false" outlineLevel="0" collapsed="false">
      <c r="A827" s="0" t="s">
        <v>2446</v>
      </c>
      <c r="B827" s="0" t="s">
        <v>2447</v>
      </c>
      <c r="C827" s="0" t="n">
        <v>0.85</v>
      </c>
    </row>
    <row r="828" customFormat="false" ht="15" hidden="false" customHeight="false" outlineLevel="0" collapsed="false">
      <c r="A828" s="0" t="s">
        <v>2448</v>
      </c>
      <c r="B828" s="0" t="s">
        <v>2449</v>
      </c>
      <c r="C828" s="0" t="n">
        <v>0.85</v>
      </c>
    </row>
    <row r="829" customFormat="false" ht="15" hidden="false" customHeight="false" outlineLevel="0" collapsed="false">
      <c r="A829" s="0" t="s">
        <v>2450</v>
      </c>
      <c r="B829" s="0" t="s">
        <v>2451</v>
      </c>
      <c r="C829" s="0" t="n">
        <v>4.95</v>
      </c>
    </row>
    <row r="830" customFormat="false" ht="15" hidden="false" customHeight="false" outlineLevel="0" collapsed="false">
      <c r="A830" s="0" t="s">
        <v>2452</v>
      </c>
      <c r="B830" s="0" t="s">
        <v>2453</v>
      </c>
      <c r="C830" s="0" t="n">
        <v>0.42</v>
      </c>
    </row>
    <row r="831" customFormat="false" ht="15" hidden="false" customHeight="false" outlineLevel="0" collapsed="false">
      <c r="A831" s="0" t="s">
        <v>2454</v>
      </c>
      <c r="B831" s="0" t="s">
        <v>2455</v>
      </c>
      <c r="C831" s="0" t="n">
        <v>1.65</v>
      </c>
    </row>
    <row r="832" customFormat="false" ht="15" hidden="false" customHeight="false" outlineLevel="0" collapsed="false">
      <c r="A832" s="0" t="s">
        <v>2456</v>
      </c>
      <c r="B832" s="0" t="s">
        <v>2457</v>
      </c>
      <c r="C832" s="0" t="n">
        <v>4.25</v>
      </c>
    </row>
    <row r="833" customFormat="false" ht="15" hidden="false" customHeight="false" outlineLevel="0" collapsed="false">
      <c r="A833" s="0" t="s">
        <v>2458</v>
      </c>
      <c r="B833" s="0" t="s">
        <v>2459</v>
      </c>
      <c r="C833" s="0" t="n">
        <v>4.25</v>
      </c>
    </row>
    <row r="834" customFormat="false" ht="15" hidden="false" customHeight="false" outlineLevel="0" collapsed="false">
      <c r="A834" s="0" t="s">
        <v>2460</v>
      </c>
      <c r="B834" s="0" t="s">
        <v>2461</v>
      </c>
      <c r="C834" s="0" t="n">
        <v>1.25</v>
      </c>
    </row>
    <row r="835" customFormat="false" ht="15" hidden="false" customHeight="false" outlineLevel="0" collapsed="false">
      <c r="A835" s="0" t="s">
        <v>2462</v>
      </c>
      <c r="B835" s="0" t="s">
        <v>2463</v>
      </c>
      <c r="C835" s="0" t="n">
        <v>1.65</v>
      </c>
    </row>
    <row r="836" customFormat="false" ht="15" hidden="false" customHeight="false" outlineLevel="0" collapsed="false">
      <c r="A836" s="0" t="s">
        <v>2464</v>
      </c>
      <c r="B836" s="0" t="s">
        <v>595</v>
      </c>
      <c r="C836" s="0" t="n">
        <v>4.95</v>
      </c>
    </row>
    <row r="837" customFormat="false" ht="15" hidden="false" customHeight="false" outlineLevel="0" collapsed="false">
      <c r="A837" s="0" t="s">
        <v>2465</v>
      </c>
      <c r="B837" s="0" t="s">
        <v>2466</v>
      </c>
      <c r="C837" s="0" t="n">
        <v>1.95</v>
      </c>
    </row>
    <row r="838" customFormat="false" ht="15" hidden="false" customHeight="false" outlineLevel="0" collapsed="false">
      <c r="A838" s="0" t="s">
        <v>2467</v>
      </c>
      <c r="B838" s="0" t="s">
        <v>200</v>
      </c>
      <c r="C838" s="0" t="n">
        <v>2.1</v>
      </c>
    </row>
    <row r="839" customFormat="false" ht="15" hidden="false" customHeight="false" outlineLevel="0" collapsed="false">
      <c r="A839" s="0" t="s">
        <v>2468</v>
      </c>
      <c r="B839" s="0" t="s">
        <v>129</v>
      </c>
      <c r="C839" s="0" t="n">
        <v>0.42</v>
      </c>
    </row>
    <row r="840" customFormat="false" ht="15" hidden="false" customHeight="false" outlineLevel="0" collapsed="false">
      <c r="A840" s="0" t="s">
        <v>2469</v>
      </c>
      <c r="B840" s="0" t="s">
        <v>2470</v>
      </c>
      <c r="C840" s="0" t="n">
        <v>0.42</v>
      </c>
    </row>
    <row r="841" customFormat="false" ht="15" hidden="false" customHeight="false" outlineLevel="0" collapsed="false">
      <c r="A841" s="0" t="s">
        <v>2471</v>
      </c>
      <c r="B841" s="0" t="s">
        <v>2472</v>
      </c>
      <c r="C841" s="0" t="n">
        <v>0.42</v>
      </c>
    </row>
    <row r="842" customFormat="false" ht="15" hidden="false" customHeight="false" outlineLevel="0" collapsed="false">
      <c r="A842" s="0" t="s">
        <v>2473</v>
      </c>
      <c r="B842" s="0" t="s">
        <v>2474</v>
      </c>
      <c r="C842" s="0" t="n">
        <v>2.1</v>
      </c>
    </row>
    <row r="843" customFormat="false" ht="15" hidden="false" customHeight="false" outlineLevel="0" collapsed="false">
      <c r="A843" s="0" t="s">
        <v>2475</v>
      </c>
      <c r="B843" s="0" t="s">
        <v>2476</v>
      </c>
      <c r="C843" s="0" t="n">
        <v>2.1</v>
      </c>
    </row>
    <row r="844" customFormat="false" ht="15" hidden="false" customHeight="false" outlineLevel="0" collapsed="false">
      <c r="A844" s="0" t="s">
        <v>2477</v>
      </c>
      <c r="B844" s="0" t="s">
        <v>2478</v>
      </c>
      <c r="C844" s="0" t="n">
        <v>2.1</v>
      </c>
    </row>
    <row r="845" customFormat="false" ht="15" hidden="false" customHeight="false" outlineLevel="0" collapsed="false">
      <c r="A845" s="0" t="s">
        <v>2479</v>
      </c>
      <c r="B845" s="0" t="s">
        <v>884</v>
      </c>
      <c r="C845" s="0" t="n">
        <v>2.1</v>
      </c>
    </row>
    <row r="846" customFormat="false" ht="15" hidden="false" customHeight="false" outlineLevel="0" collapsed="false">
      <c r="A846" s="0" t="s">
        <v>2480</v>
      </c>
      <c r="B846" s="0" t="s">
        <v>2481</v>
      </c>
      <c r="C846" s="0" t="n">
        <v>1.45</v>
      </c>
    </row>
    <row r="847" customFormat="false" ht="15" hidden="false" customHeight="false" outlineLevel="0" collapsed="false">
      <c r="A847" s="0" t="s">
        <v>2482</v>
      </c>
      <c r="B847" s="0" t="s">
        <v>2483</v>
      </c>
      <c r="C847" s="0" t="n">
        <v>0.85</v>
      </c>
    </row>
    <row r="848" customFormat="false" ht="15" hidden="false" customHeight="false" outlineLevel="0" collapsed="false">
      <c r="A848" s="0" t="s">
        <v>2484</v>
      </c>
      <c r="B848" s="0" t="s">
        <v>2485</v>
      </c>
      <c r="C848" s="0" t="n">
        <v>3.75</v>
      </c>
    </row>
    <row r="849" customFormat="false" ht="15" hidden="false" customHeight="false" outlineLevel="0" collapsed="false">
      <c r="A849" s="0" t="s">
        <v>2486</v>
      </c>
      <c r="B849" s="0" t="s">
        <v>2487</v>
      </c>
      <c r="C849" s="0" t="n">
        <v>0.85</v>
      </c>
    </row>
    <row r="850" customFormat="false" ht="15" hidden="false" customHeight="false" outlineLevel="0" collapsed="false">
      <c r="A850" s="0" t="s">
        <v>2488</v>
      </c>
      <c r="B850" s="0" t="s">
        <v>2489</v>
      </c>
      <c r="C850" s="0" t="n">
        <v>0.85</v>
      </c>
    </row>
    <row r="851" customFormat="false" ht="15" hidden="false" customHeight="false" outlineLevel="0" collapsed="false">
      <c r="A851" s="0" t="s">
        <v>2490</v>
      </c>
      <c r="B851" s="0" t="s">
        <v>2491</v>
      </c>
      <c r="C851" s="0" t="n">
        <v>0.85</v>
      </c>
    </row>
    <row r="852" customFormat="false" ht="15" hidden="false" customHeight="false" outlineLevel="0" collapsed="false">
      <c r="A852" s="0" t="s">
        <v>2492</v>
      </c>
      <c r="B852" s="0" t="s">
        <v>2493</v>
      </c>
      <c r="C852" s="0" t="n">
        <v>1.25</v>
      </c>
    </row>
    <row r="853" customFormat="false" ht="15" hidden="false" customHeight="false" outlineLevel="0" collapsed="false">
      <c r="A853" s="0" t="s">
        <v>2494</v>
      </c>
      <c r="B853" s="0" t="s">
        <v>2495</v>
      </c>
      <c r="C853" s="0" t="n">
        <v>1.25</v>
      </c>
    </row>
    <row r="854" customFormat="false" ht="15" hidden="false" customHeight="false" outlineLevel="0" collapsed="false">
      <c r="A854" s="0" t="s">
        <v>2496</v>
      </c>
      <c r="B854" s="0" t="s">
        <v>2497</v>
      </c>
      <c r="C854" s="0" t="n">
        <v>1.25</v>
      </c>
    </row>
    <row r="855" customFormat="false" ht="15" hidden="false" customHeight="false" outlineLevel="0" collapsed="false">
      <c r="A855" s="0" t="s">
        <v>2498</v>
      </c>
      <c r="B855" s="0" t="s">
        <v>495</v>
      </c>
      <c r="C855" s="0" t="n">
        <v>8.5</v>
      </c>
    </row>
    <row r="856" customFormat="false" ht="15" hidden="false" customHeight="false" outlineLevel="0" collapsed="false">
      <c r="A856" s="0" t="s">
        <v>2499</v>
      </c>
      <c r="B856" s="0" t="s">
        <v>812</v>
      </c>
      <c r="C856" s="0" t="n">
        <v>8.5</v>
      </c>
    </row>
    <row r="857" customFormat="false" ht="15" hidden="false" customHeight="false" outlineLevel="0" collapsed="false">
      <c r="A857" s="0" t="s">
        <v>2500</v>
      </c>
      <c r="B857" s="0" t="s">
        <v>2501</v>
      </c>
      <c r="C857" s="0" t="n">
        <v>4.95</v>
      </c>
    </row>
    <row r="858" customFormat="false" ht="15" hidden="false" customHeight="false" outlineLevel="0" collapsed="false">
      <c r="A858" s="0" t="s">
        <v>2502</v>
      </c>
      <c r="B858" s="0" t="s">
        <v>539</v>
      </c>
      <c r="C858" s="0" t="n">
        <v>1.25</v>
      </c>
    </row>
    <row r="859" customFormat="false" ht="15" hidden="false" customHeight="false" outlineLevel="0" collapsed="false">
      <c r="A859" s="0" t="s">
        <v>2503</v>
      </c>
      <c r="B859" s="0" t="s">
        <v>2504</v>
      </c>
      <c r="C859" s="0" t="n">
        <v>0.85</v>
      </c>
    </row>
    <row r="860" customFormat="false" ht="15" hidden="false" customHeight="false" outlineLevel="0" collapsed="false">
      <c r="A860" s="0" t="s">
        <v>2505</v>
      </c>
      <c r="B860" s="0" t="s">
        <v>2506</v>
      </c>
      <c r="C860" s="0" t="n">
        <v>0.85</v>
      </c>
    </row>
    <row r="861" customFormat="false" ht="15" hidden="false" customHeight="false" outlineLevel="0" collapsed="false">
      <c r="A861" s="0" t="s">
        <v>2507</v>
      </c>
      <c r="B861" s="0" t="s">
        <v>2508</v>
      </c>
      <c r="C861" s="0" t="n">
        <v>0.85</v>
      </c>
    </row>
    <row r="862" customFormat="false" ht="15" hidden="false" customHeight="false" outlineLevel="0" collapsed="false">
      <c r="A862" s="0" t="s">
        <v>2509</v>
      </c>
      <c r="B862" s="0" t="s">
        <v>2510</v>
      </c>
      <c r="C862" s="0" t="n">
        <v>0.85</v>
      </c>
    </row>
    <row r="863" customFormat="false" ht="15" hidden="false" customHeight="false" outlineLevel="0" collapsed="false">
      <c r="A863" s="0" t="s">
        <v>2511</v>
      </c>
      <c r="B863" s="0" t="s">
        <v>145</v>
      </c>
      <c r="C863" s="0" t="n">
        <v>1.45</v>
      </c>
    </row>
    <row r="864" customFormat="false" ht="15" hidden="false" customHeight="false" outlineLevel="0" collapsed="false">
      <c r="A864" s="0" t="s">
        <v>2512</v>
      </c>
      <c r="B864" s="0" t="s">
        <v>138</v>
      </c>
      <c r="C864" s="0" t="n">
        <v>0.85</v>
      </c>
    </row>
    <row r="865" customFormat="false" ht="15" hidden="false" customHeight="false" outlineLevel="0" collapsed="false">
      <c r="A865" s="0" t="s">
        <v>2513</v>
      </c>
      <c r="B865" s="0" t="s">
        <v>475</v>
      </c>
      <c r="C865" s="0" t="n">
        <v>0.85</v>
      </c>
    </row>
    <row r="866" customFormat="false" ht="15" hidden="false" customHeight="false" outlineLevel="0" collapsed="false">
      <c r="A866" s="0" t="s">
        <v>2514</v>
      </c>
      <c r="B866" s="0" t="s">
        <v>474</v>
      </c>
      <c r="C866" s="0" t="n">
        <v>0.85</v>
      </c>
    </row>
    <row r="867" customFormat="false" ht="15" hidden="false" customHeight="false" outlineLevel="0" collapsed="false">
      <c r="A867" s="0" t="s">
        <v>2515</v>
      </c>
      <c r="B867" s="0" t="s">
        <v>2516</v>
      </c>
      <c r="C867" s="0" t="n">
        <v>0.85</v>
      </c>
    </row>
    <row r="868" customFormat="false" ht="15" hidden="false" customHeight="false" outlineLevel="0" collapsed="false">
      <c r="A868" s="0" t="s">
        <v>2517</v>
      </c>
      <c r="B868" s="0" t="s">
        <v>513</v>
      </c>
      <c r="C868" s="0" t="n">
        <v>0.85</v>
      </c>
    </row>
    <row r="869" customFormat="false" ht="15" hidden="false" customHeight="false" outlineLevel="0" collapsed="false">
      <c r="A869" s="0" t="s">
        <v>2518</v>
      </c>
      <c r="B869" s="0" t="s">
        <v>2519</v>
      </c>
      <c r="C869" s="0" t="n">
        <v>1.25</v>
      </c>
    </row>
    <row r="870" customFormat="false" ht="15" hidden="false" customHeight="false" outlineLevel="0" collapsed="false">
      <c r="A870" s="0" t="s">
        <v>2520</v>
      </c>
      <c r="B870" s="0" t="s">
        <v>2521</v>
      </c>
      <c r="C870" s="0" t="n">
        <v>0.42</v>
      </c>
    </row>
    <row r="871" customFormat="false" ht="15" hidden="false" customHeight="false" outlineLevel="0" collapsed="false">
      <c r="A871" s="0" t="s">
        <v>2522</v>
      </c>
      <c r="B871" s="0" t="s">
        <v>2523</v>
      </c>
      <c r="C871" s="0" t="n">
        <v>0.42</v>
      </c>
    </row>
    <row r="872" customFormat="false" ht="15" hidden="false" customHeight="false" outlineLevel="0" collapsed="false">
      <c r="A872" s="0" t="s">
        <v>2524</v>
      </c>
      <c r="B872" s="0" t="s">
        <v>2525</v>
      </c>
      <c r="C872" s="0" t="n">
        <v>0.65</v>
      </c>
    </row>
    <row r="873" customFormat="false" ht="15" hidden="false" customHeight="false" outlineLevel="0" collapsed="false">
      <c r="A873" s="0" t="s">
        <v>2526</v>
      </c>
      <c r="B873" s="0" t="s">
        <v>2527</v>
      </c>
      <c r="C873" s="0" t="n">
        <v>0.42</v>
      </c>
    </row>
    <row r="874" customFormat="false" ht="15" hidden="false" customHeight="false" outlineLevel="0" collapsed="false">
      <c r="A874" s="0" t="s">
        <v>2528</v>
      </c>
      <c r="B874" s="0" t="s">
        <v>2529</v>
      </c>
      <c r="C874" s="0" t="n">
        <v>1.45</v>
      </c>
    </row>
    <row r="875" customFormat="false" ht="15" hidden="false" customHeight="false" outlineLevel="0" collapsed="false">
      <c r="A875" s="0" t="s">
        <v>2530</v>
      </c>
      <c r="B875" s="0" t="s">
        <v>2531</v>
      </c>
      <c r="C875" s="0" t="n">
        <v>2.55</v>
      </c>
    </row>
    <row r="876" customFormat="false" ht="15" hidden="false" customHeight="false" outlineLevel="0" collapsed="false">
      <c r="A876" s="0" t="s">
        <v>2532</v>
      </c>
      <c r="B876" s="0" t="s">
        <v>2533</v>
      </c>
      <c r="C876" s="0" t="n">
        <v>1.65</v>
      </c>
    </row>
    <row r="877" customFormat="false" ht="15" hidden="false" customHeight="false" outlineLevel="0" collapsed="false">
      <c r="A877" s="0" t="s">
        <v>2534</v>
      </c>
      <c r="B877" s="0" t="s">
        <v>2535</v>
      </c>
      <c r="C877" s="0" t="n">
        <v>0.85</v>
      </c>
    </row>
    <row r="878" customFormat="false" ht="15" hidden="false" customHeight="false" outlineLevel="0" collapsed="false">
      <c r="A878" s="0" t="s">
        <v>2536</v>
      </c>
      <c r="B878" s="0" t="s">
        <v>2537</v>
      </c>
      <c r="C878" s="0" t="n">
        <v>3.75</v>
      </c>
    </row>
    <row r="879" customFormat="false" ht="15" hidden="false" customHeight="false" outlineLevel="0" collapsed="false">
      <c r="A879" s="0" t="s">
        <v>2538</v>
      </c>
      <c r="B879" s="0" t="s">
        <v>2539</v>
      </c>
      <c r="C879" s="0" t="n">
        <v>11.05</v>
      </c>
    </row>
    <row r="880" customFormat="false" ht="15" hidden="false" customHeight="false" outlineLevel="0" collapsed="false">
      <c r="A880" s="0" t="s">
        <v>2540</v>
      </c>
      <c r="B880" s="0" t="s">
        <v>2541</v>
      </c>
      <c r="C880" s="0" t="n">
        <v>9.95</v>
      </c>
    </row>
    <row r="881" customFormat="false" ht="15" hidden="false" customHeight="false" outlineLevel="0" collapsed="false">
      <c r="A881" s="0" t="s">
        <v>2542</v>
      </c>
      <c r="B881" s="0" t="s">
        <v>2543</v>
      </c>
      <c r="C881" s="0" t="n">
        <v>6.75</v>
      </c>
    </row>
    <row r="882" customFormat="false" ht="15" hidden="false" customHeight="false" outlineLevel="0" collapsed="false">
      <c r="A882" s="0" t="s">
        <v>2544</v>
      </c>
      <c r="B882" s="0" t="s">
        <v>2545</v>
      </c>
      <c r="C882" s="0" t="n">
        <v>0.85</v>
      </c>
    </row>
    <row r="883" customFormat="false" ht="15" hidden="false" customHeight="false" outlineLevel="0" collapsed="false">
      <c r="A883" s="0" t="s">
        <v>2546</v>
      </c>
      <c r="B883" s="0" t="s">
        <v>2547</v>
      </c>
      <c r="C883" s="0" t="n">
        <v>0.29</v>
      </c>
    </row>
    <row r="884" customFormat="false" ht="15" hidden="false" customHeight="false" outlineLevel="0" collapsed="false">
      <c r="A884" s="0" t="s">
        <v>2548</v>
      </c>
      <c r="B884" s="0" t="s">
        <v>2549</v>
      </c>
      <c r="C884" s="0" t="n">
        <v>5.06</v>
      </c>
    </row>
    <row r="885" customFormat="false" ht="15" hidden="false" customHeight="false" outlineLevel="0" collapsed="false">
      <c r="A885" s="0" t="s">
        <v>2550</v>
      </c>
      <c r="B885" s="0" t="s">
        <v>891</v>
      </c>
      <c r="C885" s="0" t="n">
        <v>1.25</v>
      </c>
    </row>
    <row r="886" customFormat="false" ht="15" hidden="false" customHeight="false" outlineLevel="0" collapsed="false">
      <c r="A886" s="0" t="s">
        <v>2551</v>
      </c>
      <c r="B886" s="0" t="s">
        <v>464</v>
      </c>
      <c r="C886" s="0" t="n">
        <v>1.95</v>
      </c>
    </row>
    <row r="887" customFormat="false" ht="15" hidden="false" customHeight="false" outlineLevel="0" collapsed="false">
      <c r="A887" s="0" t="s">
        <v>2552</v>
      </c>
      <c r="B887" s="0" t="s">
        <v>2553</v>
      </c>
      <c r="C887" s="0" t="n">
        <v>2.1</v>
      </c>
    </row>
    <row r="888" customFormat="false" ht="15" hidden="false" customHeight="false" outlineLevel="0" collapsed="false">
      <c r="A888" s="0" t="s">
        <v>2554</v>
      </c>
      <c r="B888" s="0" t="s">
        <v>2555</v>
      </c>
      <c r="C888" s="0" t="n">
        <v>1.25</v>
      </c>
    </row>
    <row r="889" customFormat="false" ht="15" hidden="false" customHeight="false" outlineLevel="0" collapsed="false">
      <c r="A889" s="0" t="s">
        <v>2556</v>
      </c>
      <c r="B889" s="0" t="s">
        <v>2557</v>
      </c>
      <c r="C889" s="0" t="n">
        <v>1.95</v>
      </c>
    </row>
    <row r="890" customFormat="false" ht="15" hidden="false" customHeight="false" outlineLevel="0" collapsed="false">
      <c r="A890" s="0" t="s">
        <v>2558</v>
      </c>
      <c r="B890" s="0" t="s">
        <v>2559</v>
      </c>
      <c r="C890" s="0" t="n">
        <v>3.75</v>
      </c>
    </row>
    <row r="891" customFormat="false" ht="15" hidden="false" customHeight="false" outlineLevel="0" collapsed="false">
      <c r="A891" s="0" t="s">
        <v>2560</v>
      </c>
      <c r="B891" s="0" t="s">
        <v>2561</v>
      </c>
      <c r="C891" s="0" t="n">
        <v>2.1</v>
      </c>
    </row>
    <row r="892" customFormat="false" ht="15" hidden="false" customHeight="false" outlineLevel="0" collapsed="false">
      <c r="A892" s="0" t="s">
        <v>2562</v>
      </c>
      <c r="B892" s="0" t="s">
        <v>2563</v>
      </c>
      <c r="C892" s="0" t="n">
        <v>2.96</v>
      </c>
    </row>
    <row r="893" customFormat="false" ht="15" hidden="false" customHeight="false" outlineLevel="0" collapsed="false">
      <c r="A893" s="0" t="s">
        <v>2564</v>
      </c>
      <c r="B893" s="0" t="s">
        <v>2565</v>
      </c>
      <c r="C893" s="0" t="n">
        <v>7.5</v>
      </c>
    </row>
    <row r="894" customFormat="false" ht="15" hidden="false" customHeight="false" outlineLevel="0" collapsed="false">
      <c r="A894" s="0" t="s">
        <v>2566</v>
      </c>
      <c r="B894" s="0" t="s">
        <v>2567</v>
      </c>
      <c r="C894" s="0" t="n">
        <v>6.75</v>
      </c>
    </row>
    <row r="895" customFormat="false" ht="15" hidden="false" customHeight="false" outlineLevel="0" collapsed="false">
      <c r="A895" s="0" t="s">
        <v>2568</v>
      </c>
      <c r="B895" s="0" t="s">
        <v>2569</v>
      </c>
      <c r="C895" s="0" t="n">
        <v>6.75</v>
      </c>
    </row>
    <row r="896" customFormat="false" ht="15" hidden="false" customHeight="false" outlineLevel="0" collapsed="false">
      <c r="A896" s="0" t="s">
        <v>2570</v>
      </c>
      <c r="B896" s="0" t="s">
        <v>2571</v>
      </c>
      <c r="C896" s="0" t="n">
        <v>6.75</v>
      </c>
    </row>
    <row r="897" customFormat="false" ht="15" hidden="false" customHeight="false" outlineLevel="0" collapsed="false">
      <c r="A897" s="0" t="s">
        <v>2572</v>
      </c>
      <c r="B897" s="0" t="s">
        <v>2573</v>
      </c>
      <c r="C897" s="0" t="n">
        <v>12.75</v>
      </c>
    </row>
    <row r="898" customFormat="false" ht="15" hidden="false" customHeight="false" outlineLevel="0" collapsed="false">
      <c r="A898" s="0" t="s">
        <v>2574</v>
      </c>
      <c r="B898" s="0" t="s">
        <v>2575</v>
      </c>
      <c r="C898" s="0" t="n">
        <v>2.95</v>
      </c>
    </row>
    <row r="899" customFormat="false" ht="15" hidden="false" customHeight="false" outlineLevel="0" collapsed="false">
      <c r="A899" s="0" t="s">
        <v>2576</v>
      </c>
      <c r="B899" s="0" t="s">
        <v>2577</v>
      </c>
      <c r="C899" s="0" t="n">
        <v>1.25</v>
      </c>
    </row>
    <row r="900" customFormat="false" ht="15" hidden="false" customHeight="false" outlineLevel="0" collapsed="false">
      <c r="A900" s="0" t="s">
        <v>2578</v>
      </c>
      <c r="B900" s="0" t="s">
        <v>2579</v>
      </c>
      <c r="C900" s="0" t="n">
        <v>2.95</v>
      </c>
    </row>
    <row r="901" customFormat="false" ht="15" hidden="false" customHeight="false" outlineLevel="0" collapsed="false">
      <c r="A901" s="0" t="s">
        <v>2580</v>
      </c>
      <c r="B901" s="0" t="s">
        <v>2581</v>
      </c>
      <c r="C901" s="0" t="n">
        <v>2.55</v>
      </c>
    </row>
    <row r="902" customFormat="false" ht="15" hidden="false" customHeight="false" outlineLevel="0" collapsed="false">
      <c r="A902" s="0" t="s">
        <v>2582</v>
      </c>
      <c r="B902" s="0" t="s">
        <v>2583</v>
      </c>
      <c r="C902" s="0" t="n">
        <v>5.95</v>
      </c>
    </row>
    <row r="903" customFormat="false" ht="15" hidden="false" customHeight="false" outlineLevel="0" collapsed="false">
      <c r="A903" s="0" t="s">
        <v>2584</v>
      </c>
      <c r="B903" s="0" t="s">
        <v>2585</v>
      </c>
      <c r="C903" s="0" t="n">
        <v>7.95</v>
      </c>
    </row>
    <row r="904" customFormat="false" ht="15" hidden="false" customHeight="false" outlineLevel="0" collapsed="false">
      <c r="A904" s="0" t="s">
        <v>2586</v>
      </c>
      <c r="B904" s="0" t="s">
        <v>2587</v>
      </c>
      <c r="C904" s="0" t="n">
        <v>2.95</v>
      </c>
    </row>
    <row r="905" customFormat="false" ht="15" hidden="false" customHeight="false" outlineLevel="0" collapsed="false">
      <c r="A905" s="0" t="s">
        <v>2588</v>
      </c>
      <c r="B905" s="0" t="s">
        <v>2589</v>
      </c>
      <c r="C905" s="0" t="n">
        <v>0.85</v>
      </c>
    </row>
    <row r="906" customFormat="false" ht="15" hidden="false" customHeight="false" outlineLevel="0" collapsed="false">
      <c r="A906" s="0" t="s">
        <v>2590</v>
      </c>
      <c r="B906" s="0" t="s">
        <v>2591</v>
      </c>
      <c r="C906" s="0" t="n">
        <v>0.85</v>
      </c>
    </row>
    <row r="907" customFormat="false" ht="15" hidden="false" customHeight="false" outlineLevel="0" collapsed="false">
      <c r="A907" s="0" t="s">
        <v>2592</v>
      </c>
      <c r="B907" s="0" t="s">
        <v>662</v>
      </c>
      <c r="C907" s="0" t="n">
        <v>1.25</v>
      </c>
    </row>
    <row r="908" customFormat="false" ht="15" hidden="false" customHeight="false" outlineLevel="0" collapsed="false">
      <c r="A908" s="0" t="s">
        <v>2593</v>
      </c>
      <c r="B908" s="0" t="s">
        <v>2594</v>
      </c>
      <c r="C908" s="0" t="n">
        <v>3.75</v>
      </c>
    </row>
    <row r="909" customFormat="false" ht="15" hidden="false" customHeight="false" outlineLevel="0" collapsed="false">
      <c r="A909" s="0" t="s">
        <v>2595</v>
      </c>
      <c r="B909" s="0" t="s">
        <v>2596</v>
      </c>
      <c r="C909" s="0" t="n">
        <v>2.1</v>
      </c>
    </row>
    <row r="910" customFormat="false" ht="15" hidden="false" customHeight="false" outlineLevel="0" collapsed="false">
      <c r="A910" s="0" t="s">
        <v>2597</v>
      </c>
      <c r="B910" s="0" t="s">
        <v>2598</v>
      </c>
      <c r="C910" s="0" t="n">
        <v>0.85</v>
      </c>
    </row>
    <row r="911" customFormat="false" ht="15" hidden="false" customHeight="false" outlineLevel="0" collapsed="false">
      <c r="A911" s="0" t="s">
        <v>2599</v>
      </c>
      <c r="B911" s="0" t="s">
        <v>181</v>
      </c>
      <c r="C911" s="0" t="n">
        <v>1.25</v>
      </c>
    </row>
    <row r="912" customFormat="false" ht="15" hidden="false" customHeight="false" outlineLevel="0" collapsed="false">
      <c r="A912" s="0" t="s">
        <v>2600</v>
      </c>
      <c r="B912" s="0" t="s">
        <v>2601</v>
      </c>
      <c r="C912" s="0" t="n">
        <v>2.1</v>
      </c>
    </row>
    <row r="913" customFormat="false" ht="15" hidden="false" customHeight="false" outlineLevel="0" collapsed="false">
      <c r="A913" s="0" t="s">
        <v>2602</v>
      </c>
      <c r="B913" s="0" t="s">
        <v>250</v>
      </c>
      <c r="C913" s="0" t="n">
        <v>2.55</v>
      </c>
    </row>
    <row r="914" customFormat="false" ht="15" hidden="false" customHeight="false" outlineLevel="0" collapsed="false">
      <c r="A914" s="0" t="s">
        <v>2603</v>
      </c>
      <c r="B914" s="0" t="s">
        <v>2604</v>
      </c>
      <c r="C914" s="0" t="n">
        <v>2.55</v>
      </c>
    </row>
    <row r="915" customFormat="false" ht="15" hidden="false" customHeight="false" outlineLevel="0" collapsed="false">
      <c r="A915" s="0" t="s">
        <v>2605</v>
      </c>
      <c r="B915" s="0" t="s">
        <v>127</v>
      </c>
      <c r="C915" s="0" t="n">
        <v>2.55</v>
      </c>
    </row>
    <row r="916" customFormat="false" ht="15" hidden="false" customHeight="false" outlineLevel="0" collapsed="false">
      <c r="A916" s="0" t="s">
        <v>2606</v>
      </c>
      <c r="B916" s="0" t="s">
        <v>2607</v>
      </c>
      <c r="C916" s="0" t="n">
        <v>2.55</v>
      </c>
    </row>
    <row r="917" customFormat="false" ht="15" hidden="false" customHeight="false" outlineLevel="0" collapsed="false">
      <c r="A917" s="0" t="s">
        <v>2608</v>
      </c>
      <c r="B917" s="0" t="s">
        <v>249</v>
      </c>
      <c r="C917" s="0" t="n">
        <v>2.55</v>
      </c>
    </row>
    <row r="918" customFormat="false" ht="15" hidden="false" customHeight="false" outlineLevel="0" collapsed="false">
      <c r="A918" s="0" t="s">
        <v>2609</v>
      </c>
      <c r="B918" s="0" t="s">
        <v>2610</v>
      </c>
      <c r="C918" s="0" t="n">
        <v>2.55</v>
      </c>
    </row>
    <row r="919" customFormat="false" ht="15" hidden="false" customHeight="false" outlineLevel="0" collapsed="false">
      <c r="A919" s="0" t="s">
        <v>2611</v>
      </c>
      <c r="B919" s="0" t="s">
        <v>2612</v>
      </c>
      <c r="C919" s="0" t="n">
        <v>0.95</v>
      </c>
    </row>
    <row r="920" customFormat="false" ht="15" hidden="false" customHeight="false" outlineLevel="0" collapsed="false">
      <c r="A920" s="0" t="s">
        <v>2613</v>
      </c>
      <c r="B920" s="0" t="s">
        <v>2614</v>
      </c>
      <c r="C920" s="0" t="n">
        <v>1.25</v>
      </c>
    </row>
    <row r="921" customFormat="false" ht="15" hidden="false" customHeight="false" outlineLevel="0" collapsed="false">
      <c r="A921" s="0" t="s">
        <v>2615</v>
      </c>
      <c r="B921" s="0" t="s">
        <v>2616</v>
      </c>
      <c r="C921" s="0" t="n">
        <v>0.65</v>
      </c>
    </row>
    <row r="922" customFormat="false" ht="15" hidden="false" customHeight="false" outlineLevel="0" collapsed="false">
      <c r="A922" s="0" t="s">
        <v>2617</v>
      </c>
      <c r="B922" s="0" t="s">
        <v>2618</v>
      </c>
      <c r="C922" s="0" t="n">
        <v>3.25</v>
      </c>
    </row>
    <row r="923" customFormat="false" ht="15" hidden="false" customHeight="false" outlineLevel="0" collapsed="false">
      <c r="A923" s="0" t="s">
        <v>2619</v>
      </c>
      <c r="B923" s="0" t="s">
        <v>2620</v>
      </c>
      <c r="C923" s="0" t="n">
        <v>5.95</v>
      </c>
    </row>
    <row r="924" customFormat="false" ht="15" hidden="false" customHeight="false" outlineLevel="0" collapsed="false">
      <c r="A924" s="0" t="s">
        <v>2621</v>
      </c>
      <c r="B924" s="0" t="s">
        <v>2622</v>
      </c>
      <c r="C924" s="0" t="n">
        <v>6.95</v>
      </c>
    </row>
    <row r="925" customFormat="false" ht="15" hidden="false" customHeight="false" outlineLevel="0" collapsed="false">
      <c r="A925" s="0" t="s">
        <v>2623</v>
      </c>
      <c r="B925" s="0" t="s">
        <v>2624</v>
      </c>
      <c r="C925" s="0" t="n">
        <v>3.45</v>
      </c>
    </row>
    <row r="926" customFormat="false" ht="15" hidden="false" customHeight="false" outlineLevel="0" collapsed="false">
      <c r="A926" s="0" t="s">
        <v>2625</v>
      </c>
      <c r="B926" s="0" t="s">
        <v>2626</v>
      </c>
      <c r="C926" s="0" t="n">
        <v>0.85</v>
      </c>
    </row>
    <row r="927" customFormat="false" ht="15" hidden="false" customHeight="false" outlineLevel="0" collapsed="false">
      <c r="A927" s="0" t="s">
        <v>2625</v>
      </c>
      <c r="B927" s="0" t="s">
        <v>2627</v>
      </c>
      <c r="C927" s="0" t="n">
        <v>1.25</v>
      </c>
    </row>
    <row r="928" customFormat="false" ht="15" hidden="false" customHeight="false" outlineLevel="0" collapsed="false">
      <c r="A928" s="0" t="s">
        <v>2625</v>
      </c>
      <c r="B928" s="0" t="s">
        <v>2628</v>
      </c>
      <c r="C928" s="0" t="n">
        <v>1.25</v>
      </c>
    </row>
    <row r="929" customFormat="false" ht="15" hidden="false" customHeight="false" outlineLevel="0" collapsed="false">
      <c r="A929" s="0" t="s">
        <v>2629</v>
      </c>
      <c r="B929" s="0" t="s">
        <v>2630</v>
      </c>
      <c r="C929" s="0" t="n">
        <v>1.95</v>
      </c>
    </row>
    <row r="930" customFormat="false" ht="15" hidden="false" customHeight="false" outlineLevel="0" collapsed="false">
      <c r="A930" s="0" t="s">
        <v>2629</v>
      </c>
      <c r="B930" s="0" t="s">
        <v>2631</v>
      </c>
      <c r="C930" s="0" t="n">
        <v>1.25</v>
      </c>
    </row>
    <row r="931" customFormat="false" ht="15" hidden="false" customHeight="false" outlineLevel="0" collapsed="false">
      <c r="A931" s="0" t="s">
        <v>2632</v>
      </c>
      <c r="B931" s="0" t="s">
        <v>2633</v>
      </c>
      <c r="C931" s="0" t="n">
        <v>1.25</v>
      </c>
    </row>
    <row r="932" customFormat="false" ht="15" hidden="false" customHeight="false" outlineLevel="0" collapsed="false">
      <c r="A932" s="0" t="s">
        <v>2632</v>
      </c>
      <c r="B932" s="0" t="s">
        <v>2634</v>
      </c>
      <c r="C932" s="0" t="n">
        <v>0.85</v>
      </c>
    </row>
    <row r="933" customFormat="false" ht="15" hidden="false" customHeight="false" outlineLevel="0" collapsed="false">
      <c r="A933" s="0" t="s">
        <v>2632</v>
      </c>
      <c r="B933" s="0" t="s">
        <v>2635</v>
      </c>
      <c r="C933" s="0" t="n">
        <v>0.65</v>
      </c>
    </row>
    <row r="934" customFormat="false" ht="15" hidden="false" customHeight="false" outlineLevel="0" collapsed="false">
      <c r="A934" s="0" t="s">
        <v>2632</v>
      </c>
      <c r="B934" s="0" t="s">
        <v>2636</v>
      </c>
      <c r="C934" s="0" t="n">
        <v>0.65</v>
      </c>
    </row>
    <row r="935" customFormat="false" ht="15" hidden="false" customHeight="false" outlineLevel="0" collapsed="false">
      <c r="A935" s="0" t="s">
        <v>2637</v>
      </c>
      <c r="B935" s="0" t="s">
        <v>2638</v>
      </c>
      <c r="C935" s="0" t="n">
        <v>1.95</v>
      </c>
    </row>
    <row r="936" customFormat="false" ht="15" hidden="false" customHeight="false" outlineLevel="0" collapsed="false">
      <c r="A936" s="0" t="s">
        <v>2637</v>
      </c>
      <c r="B936" s="0" t="s">
        <v>2639</v>
      </c>
      <c r="C936" s="0" t="n">
        <v>0.85</v>
      </c>
    </row>
    <row r="937" customFormat="false" ht="15" hidden="false" customHeight="false" outlineLevel="0" collapsed="false">
      <c r="A937" s="0" t="s">
        <v>2640</v>
      </c>
      <c r="B937" s="0" t="s">
        <v>2641</v>
      </c>
      <c r="C937" s="0" t="n">
        <v>3.75</v>
      </c>
    </row>
    <row r="938" customFormat="false" ht="15" hidden="false" customHeight="false" outlineLevel="0" collapsed="false">
      <c r="A938" s="0" t="s">
        <v>2642</v>
      </c>
      <c r="B938" s="0" t="s">
        <v>2643</v>
      </c>
      <c r="C938" s="0" t="n">
        <v>8.47</v>
      </c>
    </row>
    <row r="939" customFormat="false" ht="15" hidden="false" customHeight="false" outlineLevel="0" collapsed="false">
      <c r="A939" s="0" t="s">
        <v>2644</v>
      </c>
      <c r="B939" s="0" t="s">
        <v>2645</v>
      </c>
      <c r="C939" s="0" t="n">
        <v>5.45</v>
      </c>
    </row>
    <row r="940" customFormat="false" ht="15" hidden="false" customHeight="false" outlineLevel="0" collapsed="false">
      <c r="A940" s="0" t="s">
        <v>2646</v>
      </c>
      <c r="B940" s="0" t="s">
        <v>202</v>
      </c>
      <c r="C940" s="0" t="n">
        <v>1.95</v>
      </c>
    </row>
    <row r="941" customFormat="false" ht="15" hidden="false" customHeight="false" outlineLevel="0" collapsed="false">
      <c r="A941" s="0" t="s">
        <v>2647</v>
      </c>
      <c r="B941" s="0" t="s">
        <v>2648</v>
      </c>
      <c r="C941" s="0" t="n">
        <v>9.95</v>
      </c>
    </row>
    <row r="942" customFormat="false" ht="15" hidden="false" customHeight="false" outlineLevel="0" collapsed="false">
      <c r="A942" s="0" t="s">
        <v>2649</v>
      </c>
      <c r="B942" s="0" t="s">
        <v>2650</v>
      </c>
      <c r="C942" s="0" t="n">
        <v>4.95</v>
      </c>
    </row>
    <row r="943" customFormat="false" ht="15" hidden="false" customHeight="false" outlineLevel="0" collapsed="false">
      <c r="A943" s="0" t="s">
        <v>2651</v>
      </c>
      <c r="B943" s="0" t="s">
        <v>2652</v>
      </c>
      <c r="C943" s="0" t="n">
        <v>5.95</v>
      </c>
    </row>
    <row r="944" customFormat="false" ht="15" hidden="false" customHeight="false" outlineLevel="0" collapsed="false">
      <c r="A944" s="0" t="s">
        <v>2653</v>
      </c>
      <c r="B944" s="0" t="s">
        <v>2654</v>
      </c>
      <c r="C944" s="0" t="n">
        <v>3.75</v>
      </c>
    </row>
    <row r="945" customFormat="false" ht="15" hidden="false" customHeight="false" outlineLevel="0" collapsed="false">
      <c r="A945" s="0" t="s">
        <v>2655</v>
      </c>
      <c r="B945" s="0" t="s">
        <v>2656</v>
      </c>
      <c r="C945" s="0" t="n">
        <v>2.1</v>
      </c>
    </row>
    <row r="946" customFormat="false" ht="15" hidden="false" customHeight="false" outlineLevel="0" collapsed="false">
      <c r="A946" s="0" t="s">
        <v>2657</v>
      </c>
      <c r="B946" s="0" t="s">
        <v>2658</v>
      </c>
      <c r="C946" s="0" t="n">
        <v>1.25</v>
      </c>
    </row>
    <row r="947" customFormat="false" ht="15" hidden="false" customHeight="false" outlineLevel="0" collapsed="false">
      <c r="A947" s="0" t="s">
        <v>2659</v>
      </c>
      <c r="B947" s="0" t="s">
        <v>2660</v>
      </c>
      <c r="C947" s="0" t="n">
        <v>2.55</v>
      </c>
    </row>
    <row r="948" customFormat="false" ht="15" hidden="false" customHeight="false" outlineLevel="0" collapsed="false">
      <c r="A948" s="0" t="s">
        <v>2661</v>
      </c>
      <c r="B948" s="0" t="s">
        <v>2662</v>
      </c>
      <c r="C948" s="0" t="n">
        <v>2.95</v>
      </c>
    </row>
    <row r="949" customFormat="false" ht="15" hidden="false" customHeight="false" outlineLevel="0" collapsed="false">
      <c r="A949" s="0" t="s">
        <v>2663</v>
      </c>
      <c r="B949" s="0" t="s">
        <v>2664</v>
      </c>
      <c r="C949" s="0" t="n">
        <v>2.95</v>
      </c>
    </row>
    <row r="950" customFormat="false" ht="15" hidden="false" customHeight="false" outlineLevel="0" collapsed="false">
      <c r="A950" s="0" t="s">
        <v>2665</v>
      </c>
      <c r="B950" s="0" t="s">
        <v>2666</v>
      </c>
      <c r="C950" s="0" t="n">
        <v>2.95</v>
      </c>
    </row>
    <row r="951" customFormat="false" ht="15" hidden="false" customHeight="false" outlineLevel="0" collapsed="false">
      <c r="A951" s="0" t="s">
        <v>2667</v>
      </c>
      <c r="B951" s="0" t="s">
        <v>2668</v>
      </c>
      <c r="C951" s="0" t="n">
        <v>2.95</v>
      </c>
    </row>
    <row r="952" customFormat="false" ht="15" hidden="false" customHeight="false" outlineLevel="0" collapsed="false">
      <c r="A952" s="0" t="s">
        <v>2669</v>
      </c>
      <c r="B952" s="0" t="s">
        <v>2670</v>
      </c>
      <c r="C952" s="0" t="n">
        <v>4.95</v>
      </c>
    </row>
    <row r="953" customFormat="false" ht="15" hidden="false" customHeight="false" outlineLevel="0" collapsed="false">
      <c r="A953" s="0" t="s">
        <v>2671</v>
      </c>
      <c r="B953" s="0" t="s">
        <v>2672</v>
      </c>
      <c r="C953" s="0" t="n">
        <v>4.25</v>
      </c>
    </row>
    <row r="954" customFormat="false" ht="15" hidden="false" customHeight="false" outlineLevel="0" collapsed="false">
      <c r="A954" s="0" t="s">
        <v>2673</v>
      </c>
      <c r="B954" s="0" t="s">
        <v>2674</v>
      </c>
      <c r="C954" s="0" t="n">
        <v>2.95</v>
      </c>
    </row>
    <row r="955" customFormat="false" ht="15" hidden="false" customHeight="false" outlineLevel="0" collapsed="false">
      <c r="A955" s="0" t="s">
        <v>2675</v>
      </c>
      <c r="B955" s="0" t="s">
        <v>677</v>
      </c>
      <c r="C955" s="0" t="n">
        <v>0.42</v>
      </c>
    </row>
    <row r="956" customFormat="false" ht="15" hidden="false" customHeight="false" outlineLevel="0" collapsed="false">
      <c r="A956" s="0" t="s">
        <v>2676</v>
      </c>
      <c r="B956" s="0" t="s">
        <v>2677</v>
      </c>
      <c r="C956" s="0" t="n">
        <v>2.54</v>
      </c>
    </row>
    <row r="957" customFormat="false" ht="15" hidden="false" customHeight="false" outlineLevel="0" collapsed="false">
      <c r="A957" s="0" t="s">
        <v>2678</v>
      </c>
      <c r="B957" s="0" t="s">
        <v>2679</v>
      </c>
      <c r="C957" s="0" t="n">
        <v>2.54</v>
      </c>
    </row>
    <row r="958" customFormat="false" ht="15" hidden="false" customHeight="false" outlineLevel="0" collapsed="false">
      <c r="A958" s="0" t="s">
        <v>2680</v>
      </c>
      <c r="B958" s="0" t="s">
        <v>2681</v>
      </c>
      <c r="C958" s="0" t="n">
        <v>2.54</v>
      </c>
    </row>
    <row r="959" customFormat="false" ht="15" hidden="false" customHeight="false" outlineLevel="0" collapsed="false">
      <c r="A959" s="0" t="s">
        <v>2682</v>
      </c>
      <c r="B959" s="0" t="s">
        <v>2683</v>
      </c>
      <c r="C959" s="0" t="n">
        <v>6.95</v>
      </c>
    </row>
    <row r="960" customFormat="false" ht="15" hidden="false" customHeight="false" outlineLevel="0" collapsed="false">
      <c r="A960" s="0" t="s">
        <v>2684</v>
      </c>
      <c r="B960" s="0" t="s">
        <v>2685</v>
      </c>
      <c r="C960" s="0" t="n">
        <v>7.22</v>
      </c>
    </row>
    <row r="961" customFormat="false" ht="15" hidden="false" customHeight="false" outlineLevel="0" collapsed="false">
      <c r="A961" s="0" t="s">
        <v>2686</v>
      </c>
      <c r="B961" s="0" t="s">
        <v>2687</v>
      </c>
      <c r="C961" s="0" t="n">
        <v>6.95</v>
      </c>
    </row>
    <row r="962" customFormat="false" ht="15" hidden="false" customHeight="false" outlineLevel="0" collapsed="false">
      <c r="A962" s="0" t="s">
        <v>2688</v>
      </c>
      <c r="B962" s="0" t="s">
        <v>2689</v>
      </c>
      <c r="C962" s="0" t="n">
        <v>1.25</v>
      </c>
    </row>
    <row r="963" customFormat="false" ht="15" hidden="false" customHeight="false" outlineLevel="0" collapsed="false">
      <c r="A963" s="0" t="s">
        <v>2690</v>
      </c>
      <c r="B963" s="0" t="s">
        <v>2691</v>
      </c>
      <c r="C963" s="0" t="n">
        <v>3.75</v>
      </c>
    </row>
    <row r="964" customFormat="false" ht="15" hidden="false" customHeight="false" outlineLevel="0" collapsed="false">
      <c r="A964" s="0" t="s">
        <v>2692</v>
      </c>
      <c r="B964" s="0" t="s">
        <v>2693</v>
      </c>
      <c r="C964" s="0" t="n">
        <v>3.75</v>
      </c>
    </row>
    <row r="965" customFormat="false" ht="15" hidden="false" customHeight="false" outlineLevel="0" collapsed="false">
      <c r="A965" s="0" t="s">
        <v>2694</v>
      </c>
      <c r="B965" s="0" t="s">
        <v>2695</v>
      </c>
      <c r="C965" s="0" t="n">
        <v>3.25</v>
      </c>
    </row>
    <row r="966" customFormat="false" ht="15" hidden="false" customHeight="false" outlineLevel="0" collapsed="false">
      <c r="A966" s="0" t="s">
        <v>2696</v>
      </c>
      <c r="B966" s="0" t="s">
        <v>2697</v>
      </c>
      <c r="C966" s="0" t="n">
        <v>5.91</v>
      </c>
    </row>
    <row r="967" customFormat="false" ht="15" hidden="false" customHeight="false" outlineLevel="0" collapsed="false">
      <c r="A967" s="0" t="s">
        <v>2698</v>
      </c>
      <c r="B967" s="0" t="s">
        <v>2699</v>
      </c>
      <c r="C967" s="0" t="n">
        <v>2.95</v>
      </c>
    </row>
    <row r="968" customFormat="false" ht="15" hidden="false" customHeight="false" outlineLevel="0" collapsed="false">
      <c r="A968" s="0" t="s">
        <v>2700</v>
      </c>
      <c r="B968" s="0" t="s">
        <v>2701</v>
      </c>
      <c r="C968" s="0" t="n">
        <v>1.65</v>
      </c>
    </row>
    <row r="969" customFormat="false" ht="15" hidden="false" customHeight="false" outlineLevel="0" collapsed="false">
      <c r="A969" s="0" t="s">
        <v>2702</v>
      </c>
      <c r="B969" s="0" t="s">
        <v>2703</v>
      </c>
      <c r="C969" s="0" t="n">
        <v>3.95</v>
      </c>
    </row>
    <row r="970" customFormat="false" ht="15" hidden="false" customHeight="false" outlineLevel="0" collapsed="false">
      <c r="A970" s="0" t="s">
        <v>2704</v>
      </c>
      <c r="B970" s="0" t="s">
        <v>2705</v>
      </c>
      <c r="C970" s="0" t="n">
        <v>1.27</v>
      </c>
    </row>
    <row r="971" customFormat="false" ht="15" hidden="false" customHeight="false" outlineLevel="0" collapsed="false">
      <c r="A971" s="0" t="s">
        <v>2706</v>
      </c>
      <c r="B971" s="0" t="s">
        <v>2707</v>
      </c>
      <c r="C971" s="0" t="n">
        <v>2.95</v>
      </c>
    </row>
    <row r="972" customFormat="false" ht="15" hidden="false" customHeight="false" outlineLevel="0" collapsed="false">
      <c r="A972" s="0" t="s">
        <v>2708</v>
      </c>
      <c r="B972" s="0" t="s">
        <v>2709</v>
      </c>
      <c r="C972" s="0" t="n">
        <v>2.95</v>
      </c>
    </row>
    <row r="973" customFormat="false" ht="15" hidden="false" customHeight="false" outlineLevel="0" collapsed="false">
      <c r="A973" s="0" t="s">
        <v>2710</v>
      </c>
      <c r="B973" s="0" t="s">
        <v>2711</v>
      </c>
      <c r="C973" s="0" t="n">
        <v>16.95</v>
      </c>
    </row>
    <row r="974" customFormat="false" ht="15" hidden="false" customHeight="false" outlineLevel="0" collapsed="false">
      <c r="A974" s="0" t="s">
        <v>2712</v>
      </c>
      <c r="B974" s="0" t="s">
        <v>2713</v>
      </c>
      <c r="C974" s="0" t="n">
        <v>4.95</v>
      </c>
    </row>
    <row r="975" customFormat="false" ht="15" hidden="false" customHeight="false" outlineLevel="0" collapsed="false">
      <c r="A975" s="0" t="s">
        <v>2714</v>
      </c>
      <c r="B975" s="0" t="s">
        <v>2715</v>
      </c>
      <c r="C975" s="0" t="n">
        <v>5.45</v>
      </c>
    </row>
    <row r="976" customFormat="false" ht="15" hidden="false" customHeight="false" outlineLevel="0" collapsed="false">
      <c r="A976" s="0" t="s">
        <v>2716</v>
      </c>
      <c r="B976" s="0" t="s">
        <v>2717</v>
      </c>
      <c r="C976" s="0" t="n">
        <v>16.95</v>
      </c>
    </row>
    <row r="977" customFormat="false" ht="15" hidden="false" customHeight="false" outlineLevel="0" collapsed="false">
      <c r="A977" s="0" t="s">
        <v>2718</v>
      </c>
      <c r="B977" s="0" t="s">
        <v>2719</v>
      </c>
      <c r="C977" s="0" t="n">
        <v>12.75</v>
      </c>
    </row>
    <row r="978" customFormat="false" ht="15" hidden="false" customHeight="false" outlineLevel="0" collapsed="false">
      <c r="A978" s="0" t="s">
        <v>2720</v>
      </c>
      <c r="B978" s="0" t="s">
        <v>2721</v>
      </c>
      <c r="C978" s="0" t="n">
        <v>7.95</v>
      </c>
    </row>
    <row r="979" customFormat="false" ht="15" hidden="false" customHeight="false" outlineLevel="0" collapsed="false">
      <c r="A979" s="0" t="s">
        <v>2722</v>
      </c>
      <c r="B979" s="0" t="s">
        <v>2723</v>
      </c>
      <c r="C979" s="0" t="n">
        <v>12.75</v>
      </c>
    </row>
    <row r="980" customFormat="false" ht="15" hidden="false" customHeight="false" outlineLevel="0" collapsed="false">
      <c r="A980" s="0" t="s">
        <v>2724</v>
      </c>
      <c r="B980" s="0" t="s">
        <v>2725</v>
      </c>
      <c r="C980" s="0" t="n">
        <v>18.95</v>
      </c>
    </row>
    <row r="981" customFormat="false" ht="15" hidden="false" customHeight="false" outlineLevel="0" collapsed="false">
      <c r="A981" s="0" t="s">
        <v>2726</v>
      </c>
      <c r="B981" s="0" t="s">
        <v>2727</v>
      </c>
      <c r="C981" s="0" t="n">
        <v>5.95</v>
      </c>
    </row>
    <row r="982" customFormat="false" ht="15" hidden="false" customHeight="false" outlineLevel="0" collapsed="false">
      <c r="A982" s="0" t="s">
        <v>2728</v>
      </c>
      <c r="B982" s="0" t="s">
        <v>2729</v>
      </c>
      <c r="C982" s="0" t="n">
        <v>1.65</v>
      </c>
    </row>
    <row r="983" customFormat="false" ht="15" hidden="false" customHeight="false" outlineLevel="0" collapsed="false">
      <c r="A983" s="0" t="s">
        <v>2730</v>
      </c>
      <c r="B983" s="0" t="s">
        <v>2731</v>
      </c>
      <c r="C983" s="0" t="n">
        <v>2.55</v>
      </c>
    </row>
    <row r="984" customFormat="false" ht="15" hidden="false" customHeight="false" outlineLevel="0" collapsed="false">
      <c r="A984" s="0" t="s">
        <v>2732</v>
      </c>
      <c r="B984" s="0" t="s">
        <v>2733</v>
      </c>
      <c r="C984" s="0" t="n">
        <v>1.65</v>
      </c>
    </row>
    <row r="985" customFormat="false" ht="15" hidden="false" customHeight="false" outlineLevel="0" collapsed="false">
      <c r="A985" s="0" t="s">
        <v>2734</v>
      </c>
      <c r="B985" s="0" t="s">
        <v>2735</v>
      </c>
      <c r="C985" s="0" t="n">
        <v>1.65</v>
      </c>
    </row>
    <row r="986" customFormat="false" ht="15" hidden="false" customHeight="false" outlineLevel="0" collapsed="false">
      <c r="A986" s="0" t="s">
        <v>2736</v>
      </c>
      <c r="B986" s="0" t="s">
        <v>2737</v>
      </c>
      <c r="C986" s="0" t="n">
        <v>1.65</v>
      </c>
    </row>
    <row r="987" customFormat="false" ht="15" hidden="false" customHeight="false" outlineLevel="0" collapsed="false">
      <c r="A987" s="0" t="s">
        <v>2738</v>
      </c>
      <c r="B987" s="0" t="s">
        <v>2739</v>
      </c>
      <c r="C987" s="0" t="n">
        <v>2.95</v>
      </c>
    </row>
    <row r="988" customFormat="false" ht="15" hidden="false" customHeight="false" outlineLevel="0" collapsed="false">
      <c r="A988" s="0" t="s">
        <v>2740</v>
      </c>
      <c r="B988" s="0" t="s">
        <v>2741</v>
      </c>
      <c r="C988" s="0" t="n">
        <v>2.95</v>
      </c>
    </row>
    <row r="989" customFormat="false" ht="15" hidden="false" customHeight="false" outlineLevel="0" collapsed="false">
      <c r="A989" s="0" t="s">
        <v>2742</v>
      </c>
      <c r="B989" s="0" t="s">
        <v>2743</v>
      </c>
      <c r="C989" s="0" t="n">
        <v>1.65</v>
      </c>
    </row>
    <row r="990" customFormat="false" ht="15" hidden="false" customHeight="false" outlineLevel="0" collapsed="false">
      <c r="A990" s="0" t="s">
        <v>2744</v>
      </c>
      <c r="B990" s="0" t="s">
        <v>2745</v>
      </c>
      <c r="C990" s="0" t="n">
        <v>5.95</v>
      </c>
    </row>
    <row r="991" customFormat="false" ht="15" hidden="false" customHeight="false" outlineLevel="0" collapsed="false">
      <c r="A991" s="0" t="s">
        <v>2746</v>
      </c>
      <c r="B991" s="0" t="s">
        <v>2747</v>
      </c>
      <c r="C991" s="0" t="n">
        <v>0.85</v>
      </c>
    </row>
    <row r="992" customFormat="false" ht="15" hidden="false" customHeight="false" outlineLevel="0" collapsed="false">
      <c r="A992" s="0" t="s">
        <v>2748</v>
      </c>
      <c r="B992" s="0" t="s">
        <v>2749</v>
      </c>
      <c r="C992" s="0" t="n">
        <v>4.24</v>
      </c>
    </row>
    <row r="993" customFormat="false" ht="15" hidden="false" customHeight="false" outlineLevel="0" collapsed="false">
      <c r="A993" s="0" t="s">
        <v>2750</v>
      </c>
      <c r="B993" s="0" t="s">
        <v>2751</v>
      </c>
      <c r="C993" s="0" t="n">
        <v>5.09</v>
      </c>
    </row>
    <row r="994" customFormat="false" ht="15" hidden="false" customHeight="false" outlineLevel="0" collapsed="false">
      <c r="A994" s="0" t="s">
        <v>2752</v>
      </c>
      <c r="B994" s="0" t="s">
        <v>2753</v>
      </c>
      <c r="C994" s="0" t="n">
        <v>0.85</v>
      </c>
    </row>
    <row r="995" customFormat="false" ht="15" hidden="false" customHeight="false" outlineLevel="0" collapsed="false">
      <c r="A995" s="0" t="s">
        <v>2754</v>
      </c>
      <c r="B995" s="0" t="s">
        <v>2755</v>
      </c>
      <c r="C995" s="0" t="n">
        <v>1.66</v>
      </c>
    </row>
    <row r="996" customFormat="false" ht="15" hidden="false" customHeight="false" outlineLevel="0" collapsed="false">
      <c r="A996" s="0" t="s">
        <v>2756</v>
      </c>
      <c r="B996" s="0" t="s">
        <v>2757</v>
      </c>
      <c r="C996" s="0" t="n">
        <v>2.95</v>
      </c>
    </row>
    <row r="997" customFormat="false" ht="15" hidden="false" customHeight="false" outlineLevel="0" collapsed="false">
      <c r="A997" s="0" t="s">
        <v>2758</v>
      </c>
      <c r="B997" s="0" t="s">
        <v>2759</v>
      </c>
      <c r="C997" s="0" t="n">
        <v>0.85</v>
      </c>
    </row>
    <row r="998" customFormat="false" ht="15" hidden="false" customHeight="false" outlineLevel="0" collapsed="false">
      <c r="A998" s="0" t="s">
        <v>2760</v>
      </c>
      <c r="B998" s="0" t="s">
        <v>2761</v>
      </c>
      <c r="C998" s="0" t="n">
        <v>2.55</v>
      </c>
    </row>
    <row r="999" customFormat="false" ht="15" hidden="false" customHeight="false" outlineLevel="0" collapsed="false">
      <c r="A999" s="0" t="s">
        <v>2762</v>
      </c>
      <c r="B999" s="0" t="s">
        <v>2763</v>
      </c>
      <c r="C999" s="0" t="n">
        <v>3.75</v>
      </c>
    </row>
    <row r="1000" customFormat="false" ht="15" hidden="false" customHeight="false" outlineLevel="0" collapsed="false">
      <c r="A1000" s="0" t="s">
        <v>2764</v>
      </c>
      <c r="B1000" s="0" t="s">
        <v>2765</v>
      </c>
      <c r="C1000" s="0" t="n">
        <v>1.66</v>
      </c>
    </row>
    <row r="1001" customFormat="false" ht="15" hidden="false" customHeight="false" outlineLevel="0" collapsed="false">
      <c r="A1001" s="0" t="s">
        <v>2766</v>
      </c>
      <c r="B1001" s="0" t="s">
        <v>2767</v>
      </c>
      <c r="C1001" s="0" t="n">
        <v>1.65</v>
      </c>
    </row>
    <row r="1002" customFormat="false" ht="15" hidden="false" customHeight="false" outlineLevel="0" collapsed="false">
      <c r="A1002" s="0" t="s">
        <v>2768</v>
      </c>
      <c r="B1002" s="0" t="s">
        <v>2769</v>
      </c>
      <c r="C1002" s="0" t="n">
        <v>0.85</v>
      </c>
    </row>
    <row r="1003" customFormat="false" ht="15" hidden="false" customHeight="false" outlineLevel="0" collapsed="false">
      <c r="A1003" s="0" t="s">
        <v>2770</v>
      </c>
      <c r="B1003" s="0" t="s">
        <v>2771</v>
      </c>
      <c r="C1003" s="0" t="n">
        <v>0.38</v>
      </c>
    </row>
    <row r="1004" customFormat="false" ht="15" hidden="false" customHeight="false" outlineLevel="0" collapsed="false">
      <c r="A1004" s="0" t="s">
        <v>2772</v>
      </c>
      <c r="B1004" s="0" t="s">
        <v>2773</v>
      </c>
      <c r="C1004" s="0" t="n">
        <v>0.38</v>
      </c>
    </row>
    <row r="1005" customFormat="false" ht="15" hidden="false" customHeight="false" outlineLevel="0" collapsed="false">
      <c r="A1005" s="0" t="s">
        <v>2774</v>
      </c>
      <c r="B1005" s="0" t="s">
        <v>2775</v>
      </c>
      <c r="C1005" s="0" t="n">
        <v>2.55</v>
      </c>
    </row>
    <row r="1006" customFormat="false" ht="15" hidden="false" customHeight="false" outlineLevel="0" collapsed="false">
      <c r="A1006" s="0" t="s">
        <v>2776</v>
      </c>
      <c r="B1006" s="0" t="s">
        <v>2777</v>
      </c>
      <c r="C1006" s="0" t="n">
        <v>2.55</v>
      </c>
    </row>
    <row r="1007" customFormat="false" ht="15" hidden="false" customHeight="false" outlineLevel="0" collapsed="false">
      <c r="A1007" s="0" t="s">
        <v>2778</v>
      </c>
      <c r="B1007" s="0" t="s">
        <v>2779</v>
      </c>
      <c r="C1007" s="0" t="n">
        <v>2.55</v>
      </c>
    </row>
    <row r="1008" customFormat="false" ht="15" hidden="false" customHeight="false" outlineLevel="0" collapsed="false">
      <c r="A1008" s="0" t="s">
        <v>2780</v>
      </c>
      <c r="B1008" s="0" t="s">
        <v>2781</v>
      </c>
      <c r="C1008" s="0" t="n">
        <v>2.55</v>
      </c>
    </row>
    <row r="1009" customFormat="false" ht="15" hidden="false" customHeight="false" outlineLevel="0" collapsed="false">
      <c r="A1009" s="0" t="s">
        <v>2782</v>
      </c>
      <c r="B1009" s="0" t="s">
        <v>2783</v>
      </c>
      <c r="C1009" s="0" t="n">
        <v>2.55</v>
      </c>
    </row>
    <row r="1010" customFormat="false" ht="15" hidden="false" customHeight="false" outlineLevel="0" collapsed="false">
      <c r="A1010" s="0" t="s">
        <v>2784</v>
      </c>
      <c r="B1010" s="0" t="s">
        <v>2785</v>
      </c>
      <c r="C1010" s="0" t="n">
        <v>14.95</v>
      </c>
    </row>
    <row r="1011" customFormat="false" ht="15" hidden="false" customHeight="false" outlineLevel="0" collapsed="false">
      <c r="A1011" s="0" t="s">
        <v>2786</v>
      </c>
      <c r="B1011" s="0" t="s">
        <v>2787</v>
      </c>
      <c r="C1011" s="0" t="n">
        <v>1.95</v>
      </c>
    </row>
    <row r="1012" customFormat="false" ht="15" hidden="false" customHeight="false" outlineLevel="0" collapsed="false">
      <c r="A1012" s="0" t="s">
        <v>2788</v>
      </c>
      <c r="B1012" s="0" t="s">
        <v>344</v>
      </c>
      <c r="C1012" s="0" t="n">
        <v>2.55</v>
      </c>
    </row>
    <row r="1013" customFormat="false" ht="15" hidden="false" customHeight="false" outlineLevel="0" collapsed="false">
      <c r="A1013" s="0" t="s">
        <v>2789</v>
      </c>
      <c r="B1013" s="0" t="s">
        <v>2790</v>
      </c>
      <c r="C1013" s="0" t="n">
        <v>1.65</v>
      </c>
    </row>
    <row r="1014" customFormat="false" ht="15" hidden="false" customHeight="false" outlineLevel="0" collapsed="false">
      <c r="A1014" s="0" t="s">
        <v>2791</v>
      </c>
      <c r="B1014" s="0" t="s">
        <v>802</v>
      </c>
      <c r="C1014" s="0" t="n">
        <v>2.1</v>
      </c>
    </row>
    <row r="1015" customFormat="false" ht="15" hidden="false" customHeight="false" outlineLevel="0" collapsed="false">
      <c r="A1015" s="0" t="s">
        <v>2792</v>
      </c>
      <c r="B1015" s="0" t="s">
        <v>2793</v>
      </c>
      <c r="C1015" s="0" t="n">
        <v>4.25</v>
      </c>
    </row>
    <row r="1016" customFormat="false" ht="15" hidden="false" customHeight="false" outlineLevel="0" collapsed="false">
      <c r="A1016" s="0" t="s">
        <v>2794</v>
      </c>
      <c r="B1016" s="0" t="s">
        <v>2795</v>
      </c>
      <c r="C1016" s="0" t="n">
        <v>3.36</v>
      </c>
    </row>
    <row r="1017" customFormat="false" ht="15" hidden="false" customHeight="false" outlineLevel="0" collapsed="false">
      <c r="A1017" s="0" t="s">
        <v>2796</v>
      </c>
      <c r="B1017" s="0" t="s">
        <v>2797</v>
      </c>
      <c r="C1017" s="0" t="n">
        <v>6.75</v>
      </c>
    </row>
    <row r="1018" customFormat="false" ht="15" hidden="false" customHeight="false" outlineLevel="0" collapsed="false">
      <c r="A1018" s="0" t="s">
        <v>2798</v>
      </c>
      <c r="B1018" s="0" t="s">
        <v>69</v>
      </c>
      <c r="C1018" s="0" t="n">
        <v>5.95</v>
      </c>
    </row>
    <row r="1019" customFormat="false" ht="15" hidden="false" customHeight="false" outlineLevel="0" collapsed="false">
      <c r="A1019" s="0" t="s">
        <v>2799</v>
      </c>
      <c r="B1019" s="0" t="s">
        <v>2800</v>
      </c>
      <c r="C1019" s="0" t="n">
        <v>2.55</v>
      </c>
    </row>
    <row r="1020" customFormat="false" ht="15" hidden="false" customHeight="false" outlineLevel="0" collapsed="false">
      <c r="A1020" s="0" t="s">
        <v>2801</v>
      </c>
      <c r="B1020" s="0" t="s">
        <v>2802</v>
      </c>
      <c r="C1020" s="0" t="n">
        <v>2.55</v>
      </c>
    </row>
    <row r="1021" customFormat="false" ht="15" hidden="false" customHeight="false" outlineLevel="0" collapsed="false">
      <c r="A1021" s="0" t="s">
        <v>2803</v>
      </c>
      <c r="B1021" s="0" t="s">
        <v>2804</v>
      </c>
      <c r="C1021" s="0" t="n">
        <v>1.65</v>
      </c>
    </row>
    <row r="1022" customFormat="false" ht="15" hidden="false" customHeight="false" outlineLevel="0" collapsed="false">
      <c r="A1022" s="0" t="s">
        <v>2805</v>
      </c>
      <c r="B1022" s="0" t="s">
        <v>360</v>
      </c>
      <c r="C1022" s="0" t="n">
        <v>0.65</v>
      </c>
    </row>
    <row r="1023" customFormat="false" ht="15" hidden="false" customHeight="false" outlineLevel="0" collapsed="false">
      <c r="A1023" s="0" t="s">
        <v>2806</v>
      </c>
      <c r="B1023" s="0" t="s">
        <v>2807</v>
      </c>
      <c r="C1023" s="0" t="n">
        <v>1.65</v>
      </c>
    </row>
    <row r="1024" customFormat="false" ht="15" hidden="false" customHeight="false" outlineLevel="0" collapsed="false">
      <c r="A1024" s="0" t="s">
        <v>2808</v>
      </c>
      <c r="B1024" s="0" t="s">
        <v>2809</v>
      </c>
      <c r="C1024" s="0" t="n">
        <v>5.45</v>
      </c>
    </row>
    <row r="1025" customFormat="false" ht="15" hidden="false" customHeight="false" outlineLevel="0" collapsed="false">
      <c r="A1025" s="0" t="s">
        <v>2810</v>
      </c>
      <c r="B1025" s="0" t="s">
        <v>2811</v>
      </c>
      <c r="C1025" s="0" t="n">
        <v>4.25</v>
      </c>
    </row>
    <row r="1026" customFormat="false" ht="15" hidden="false" customHeight="false" outlineLevel="0" collapsed="false">
      <c r="A1026" s="0" t="s">
        <v>2812</v>
      </c>
      <c r="B1026" s="0" t="s">
        <v>655</v>
      </c>
      <c r="C1026" s="0" t="n">
        <v>4.95</v>
      </c>
    </row>
    <row r="1027" customFormat="false" ht="15" hidden="false" customHeight="false" outlineLevel="0" collapsed="false">
      <c r="A1027" s="0" t="s">
        <v>2813</v>
      </c>
      <c r="B1027" s="0" t="s">
        <v>2814</v>
      </c>
      <c r="C1027" s="0" t="n">
        <v>3.75</v>
      </c>
    </row>
    <row r="1028" customFormat="false" ht="15" hidden="false" customHeight="false" outlineLevel="0" collapsed="false">
      <c r="A1028" s="0" t="s">
        <v>2815</v>
      </c>
      <c r="B1028" s="0" t="s">
        <v>2816</v>
      </c>
      <c r="C1028" s="0" t="n">
        <v>2.1</v>
      </c>
    </row>
    <row r="1029" customFormat="false" ht="15" hidden="false" customHeight="false" outlineLevel="0" collapsed="false">
      <c r="A1029" s="0" t="s">
        <v>2817</v>
      </c>
      <c r="B1029" s="0" t="s">
        <v>2818</v>
      </c>
      <c r="C1029" s="0" t="n">
        <v>2.95</v>
      </c>
    </row>
    <row r="1030" customFormat="false" ht="15" hidden="false" customHeight="false" outlineLevel="0" collapsed="false">
      <c r="A1030" s="0" t="s">
        <v>2819</v>
      </c>
      <c r="B1030" s="0" t="s">
        <v>2820</v>
      </c>
      <c r="C1030" s="0" t="n">
        <v>2.1</v>
      </c>
    </row>
    <row r="1031" customFormat="false" ht="15" hidden="false" customHeight="false" outlineLevel="0" collapsed="false">
      <c r="A1031" s="0" t="s">
        <v>2821</v>
      </c>
      <c r="B1031" s="0" t="s">
        <v>2822</v>
      </c>
      <c r="C1031" s="0" t="n">
        <v>2.95</v>
      </c>
    </row>
    <row r="1032" customFormat="false" ht="15" hidden="false" customHeight="false" outlineLevel="0" collapsed="false">
      <c r="A1032" s="0" t="s">
        <v>2823</v>
      </c>
      <c r="B1032" s="0" t="s">
        <v>2824</v>
      </c>
      <c r="C1032" s="0" t="n">
        <v>6.95</v>
      </c>
    </row>
    <row r="1033" customFormat="false" ht="15" hidden="false" customHeight="false" outlineLevel="0" collapsed="false">
      <c r="A1033" s="0" t="s">
        <v>2825</v>
      </c>
      <c r="B1033" s="0" t="s">
        <v>2826</v>
      </c>
      <c r="C1033" s="0" t="n">
        <v>1.65</v>
      </c>
    </row>
    <row r="1034" customFormat="false" ht="15" hidden="false" customHeight="false" outlineLevel="0" collapsed="false">
      <c r="A1034" s="0" t="s">
        <v>2827</v>
      </c>
      <c r="B1034" s="0" t="s">
        <v>2828</v>
      </c>
      <c r="C1034" s="0" t="n">
        <v>0.19</v>
      </c>
    </row>
    <row r="1035" customFormat="false" ht="15" hidden="false" customHeight="false" outlineLevel="0" collapsed="false">
      <c r="A1035" s="0" t="s">
        <v>2829</v>
      </c>
      <c r="B1035" s="0" t="s">
        <v>2830</v>
      </c>
      <c r="C1035" s="0" t="n">
        <v>1.25</v>
      </c>
    </row>
    <row r="1036" customFormat="false" ht="15" hidden="false" customHeight="false" outlineLevel="0" collapsed="false">
      <c r="A1036" s="0" t="s">
        <v>2831</v>
      </c>
      <c r="B1036" s="0" t="s">
        <v>2832</v>
      </c>
      <c r="C1036" s="0" t="n">
        <v>1.25</v>
      </c>
    </row>
    <row r="1037" customFormat="false" ht="15" hidden="false" customHeight="false" outlineLevel="0" collapsed="false">
      <c r="A1037" s="0" t="s">
        <v>2833</v>
      </c>
      <c r="B1037" s="0" t="s">
        <v>2834</v>
      </c>
      <c r="C1037" s="0" t="n">
        <v>1.69</v>
      </c>
    </row>
    <row r="1038" customFormat="false" ht="15" hidden="false" customHeight="false" outlineLevel="0" collapsed="false">
      <c r="A1038" s="0" t="s">
        <v>2835</v>
      </c>
      <c r="B1038" s="0" t="s">
        <v>2836</v>
      </c>
      <c r="C1038" s="0" t="n">
        <v>2.54</v>
      </c>
    </row>
    <row r="1039" customFormat="false" ht="15" hidden="false" customHeight="false" outlineLevel="0" collapsed="false">
      <c r="A1039" s="0" t="s">
        <v>2837</v>
      </c>
      <c r="B1039" s="0" t="s">
        <v>2838</v>
      </c>
      <c r="C1039" s="0" t="n">
        <v>2.55</v>
      </c>
    </row>
    <row r="1040" customFormat="false" ht="15" hidden="false" customHeight="false" outlineLevel="0" collapsed="false">
      <c r="A1040" s="0" t="s">
        <v>2839</v>
      </c>
      <c r="B1040" s="0" t="s">
        <v>2840</v>
      </c>
      <c r="C1040" s="0" t="n">
        <v>1.65</v>
      </c>
    </row>
    <row r="1041" customFormat="false" ht="15" hidden="false" customHeight="false" outlineLevel="0" collapsed="false">
      <c r="A1041" s="0" t="s">
        <v>2841</v>
      </c>
      <c r="B1041" s="0" t="s">
        <v>2842</v>
      </c>
      <c r="C1041" s="0" t="n">
        <v>1.26</v>
      </c>
    </row>
    <row r="1042" customFormat="false" ht="15" hidden="false" customHeight="false" outlineLevel="0" collapsed="false">
      <c r="A1042" s="0" t="s">
        <v>2843</v>
      </c>
      <c r="B1042" s="0" t="s">
        <v>2844</v>
      </c>
      <c r="C1042" s="0" t="n">
        <v>3.75</v>
      </c>
    </row>
    <row r="1043" customFormat="false" ht="15" hidden="false" customHeight="false" outlineLevel="0" collapsed="false">
      <c r="A1043" s="0" t="s">
        <v>2845</v>
      </c>
      <c r="B1043" s="0" t="s">
        <v>2846</v>
      </c>
      <c r="C1043" s="0" t="n">
        <v>39.95</v>
      </c>
    </row>
    <row r="1044" customFormat="false" ht="15" hidden="false" customHeight="false" outlineLevel="0" collapsed="false">
      <c r="A1044" s="0" t="s">
        <v>2847</v>
      </c>
      <c r="B1044" s="0" t="s">
        <v>593</v>
      </c>
      <c r="C1044" s="0" t="n">
        <v>2.1</v>
      </c>
    </row>
    <row r="1045" customFormat="false" ht="15" hidden="false" customHeight="false" outlineLevel="0" collapsed="false">
      <c r="A1045" s="0" t="s">
        <v>2848</v>
      </c>
      <c r="B1045" s="0" t="s">
        <v>826</v>
      </c>
      <c r="C1045" s="0" t="n">
        <v>0.85</v>
      </c>
    </row>
    <row r="1046" customFormat="false" ht="15" hidden="false" customHeight="false" outlineLevel="0" collapsed="false">
      <c r="A1046" s="0" t="s">
        <v>2849</v>
      </c>
      <c r="B1046" s="0" t="s">
        <v>2850</v>
      </c>
      <c r="C1046" s="0" t="n">
        <v>39.95</v>
      </c>
    </row>
    <row r="1047" customFormat="false" ht="15" hidden="false" customHeight="false" outlineLevel="0" collapsed="false">
      <c r="A1047" s="0" t="s">
        <v>2851</v>
      </c>
      <c r="B1047" s="0" t="s">
        <v>2852</v>
      </c>
      <c r="C1047" s="0" t="n">
        <v>2.55</v>
      </c>
    </row>
    <row r="1048" customFormat="false" ht="15" hidden="false" customHeight="false" outlineLevel="0" collapsed="false">
      <c r="A1048" s="0" t="s">
        <v>2853</v>
      </c>
      <c r="B1048" s="0" t="s">
        <v>345</v>
      </c>
      <c r="C1048" s="0" t="n">
        <v>4.25</v>
      </c>
    </row>
    <row r="1049" customFormat="false" ht="15" hidden="false" customHeight="false" outlineLevel="0" collapsed="false">
      <c r="A1049" s="0" t="s">
        <v>2854</v>
      </c>
      <c r="B1049" s="0" t="s">
        <v>570</v>
      </c>
      <c r="C1049" s="0" t="n">
        <v>5.95</v>
      </c>
    </row>
    <row r="1050" customFormat="false" ht="15" hidden="false" customHeight="false" outlineLevel="0" collapsed="false">
      <c r="A1050" s="0" t="s">
        <v>2855</v>
      </c>
      <c r="B1050" s="0" t="s">
        <v>2856</v>
      </c>
      <c r="C1050" s="0" t="n">
        <v>15.95</v>
      </c>
    </row>
    <row r="1051" customFormat="false" ht="15" hidden="false" customHeight="false" outlineLevel="0" collapsed="false">
      <c r="A1051" s="0" t="s">
        <v>2857</v>
      </c>
      <c r="B1051" s="0" t="s">
        <v>2858</v>
      </c>
      <c r="C1051" s="0" t="n">
        <v>0.85</v>
      </c>
    </row>
    <row r="1052" customFormat="false" ht="15" hidden="false" customHeight="false" outlineLevel="0" collapsed="false">
      <c r="A1052" s="0" t="s">
        <v>2859</v>
      </c>
      <c r="B1052" s="0" t="s">
        <v>2860</v>
      </c>
      <c r="C1052" s="0" t="n">
        <v>2.57</v>
      </c>
    </row>
    <row r="1053" customFormat="false" ht="15" hidden="false" customHeight="false" outlineLevel="0" collapsed="false">
      <c r="A1053" s="0" t="s">
        <v>2861</v>
      </c>
      <c r="B1053" s="0" t="s">
        <v>2862</v>
      </c>
      <c r="C1053" s="0" t="n">
        <v>0.38</v>
      </c>
    </row>
    <row r="1054" customFormat="false" ht="15" hidden="false" customHeight="false" outlineLevel="0" collapsed="false">
      <c r="A1054" s="0" t="s">
        <v>2863</v>
      </c>
      <c r="B1054" s="0" t="s">
        <v>2864</v>
      </c>
      <c r="C1054" s="0" t="n">
        <v>1.25</v>
      </c>
    </row>
    <row r="1055" customFormat="false" ht="15" hidden="false" customHeight="false" outlineLevel="0" collapsed="false">
      <c r="A1055" s="0" t="s">
        <v>2865</v>
      </c>
      <c r="B1055" s="0" t="s">
        <v>2866</v>
      </c>
      <c r="C1055" s="0" t="n">
        <v>1.25</v>
      </c>
    </row>
    <row r="1056" customFormat="false" ht="15" hidden="false" customHeight="false" outlineLevel="0" collapsed="false">
      <c r="A1056" s="0" t="s">
        <v>2867</v>
      </c>
      <c r="B1056" s="0" t="s">
        <v>2868</v>
      </c>
      <c r="C1056" s="0" t="n">
        <v>1.65</v>
      </c>
    </row>
    <row r="1057" customFormat="false" ht="15" hidden="false" customHeight="false" outlineLevel="0" collapsed="false">
      <c r="A1057" s="0" t="s">
        <v>2869</v>
      </c>
      <c r="B1057" s="0" t="s">
        <v>2870</v>
      </c>
      <c r="C1057" s="0" t="n">
        <v>1.65</v>
      </c>
    </row>
    <row r="1058" customFormat="false" ht="15" hidden="false" customHeight="false" outlineLevel="0" collapsed="false">
      <c r="A1058" s="0" t="s">
        <v>2871</v>
      </c>
      <c r="B1058" s="0" t="s">
        <v>2872</v>
      </c>
      <c r="C1058" s="0" t="n">
        <v>1.66</v>
      </c>
    </row>
    <row r="1059" customFormat="false" ht="15" hidden="false" customHeight="false" outlineLevel="0" collapsed="false">
      <c r="A1059" s="0" t="s">
        <v>2873</v>
      </c>
      <c r="B1059" s="0" t="s">
        <v>2874</v>
      </c>
      <c r="C1059" s="0" t="n">
        <v>1.65</v>
      </c>
    </row>
    <row r="1060" customFormat="false" ht="15" hidden="false" customHeight="false" outlineLevel="0" collapsed="false">
      <c r="A1060" s="0" t="s">
        <v>2875</v>
      </c>
      <c r="B1060" s="0" t="s">
        <v>2876</v>
      </c>
      <c r="C1060" s="0" t="n">
        <v>0.85</v>
      </c>
    </row>
    <row r="1061" customFormat="false" ht="15" hidden="false" customHeight="false" outlineLevel="0" collapsed="false">
      <c r="A1061" s="0" t="s">
        <v>2877</v>
      </c>
      <c r="B1061" s="0" t="s">
        <v>2878</v>
      </c>
      <c r="C1061" s="0" t="n">
        <v>0.85</v>
      </c>
    </row>
    <row r="1062" customFormat="false" ht="15" hidden="false" customHeight="false" outlineLevel="0" collapsed="false">
      <c r="A1062" s="0" t="s">
        <v>2879</v>
      </c>
      <c r="B1062" s="0" t="s">
        <v>2880</v>
      </c>
      <c r="C1062" s="0" t="n">
        <v>0.65</v>
      </c>
    </row>
    <row r="1063" customFormat="false" ht="15" hidden="false" customHeight="false" outlineLevel="0" collapsed="false">
      <c r="A1063" s="0" t="s">
        <v>2881</v>
      </c>
      <c r="B1063" s="0" t="s">
        <v>2882</v>
      </c>
      <c r="C1063" s="0" t="n">
        <v>2.51</v>
      </c>
    </row>
    <row r="1064" customFormat="false" ht="15" hidden="false" customHeight="false" outlineLevel="0" collapsed="false">
      <c r="A1064" s="0" t="s">
        <v>2883</v>
      </c>
      <c r="B1064" s="0" t="s">
        <v>2884</v>
      </c>
      <c r="C1064" s="0" t="n">
        <v>2.51</v>
      </c>
    </row>
    <row r="1065" customFormat="false" ht="15" hidden="false" customHeight="false" outlineLevel="0" collapsed="false">
      <c r="A1065" s="0" t="s">
        <v>2885</v>
      </c>
      <c r="B1065" s="0" t="s">
        <v>2886</v>
      </c>
      <c r="C1065" s="0" t="n">
        <v>59.95</v>
      </c>
    </row>
    <row r="1066" customFormat="false" ht="15" hidden="false" customHeight="false" outlineLevel="0" collapsed="false">
      <c r="A1066" s="0" t="s">
        <v>2887</v>
      </c>
      <c r="B1066" s="0" t="s">
        <v>2888</v>
      </c>
      <c r="C1066" s="0" t="n">
        <v>8.95</v>
      </c>
    </row>
    <row r="1067" customFormat="false" ht="15" hidden="false" customHeight="false" outlineLevel="0" collapsed="false">
      <c r="A1067" s="0" t="s">
        <v>2889</v>
      </c>
      <c r="B1067" s="0" t="s">
        <v>2890</v>
      </c>
      <c r="C1067" s="0" t="n">
        <v>7.62</v>
      </c>
    </row>
    <row r="1068" customFormat="false" ht="15" hidden="false" customHeight="false" outlineLevel="0" collapsed="false">
      <c r="A1068" s="0" t="s">
        <v>2891</v>
      </c>
      <c r="B1068" s="0" t="s">
        <v>2892</v>
      </c>
      <c r="C1068" s="0" t="n">
        <v>7.95</v>
      </c>
    </row>
    <row r="1069" customFormat="false" ht="15" hidden="false" customHeight="false" outlineLevel="0" collapsed="false">
      <c r="A1069" s="0" t="s">
        <v>2893</v>
      </c>
      <c r="B1069" s="0" t="s">
        <v>2894</v>
      </c>
      <c r="C1069" s="0" t="n">
        <v>2.51</v>
      </c>
    </row>
    <row r="1070" customFormat="false" ht="15" hidden="false" customHeight="false" outlineLevel="0" collapsed="false">
      <c r="A1070" s="0" t="s">
        <v>2895</v>
      </c>
      <c r="B1070" s="0" t="s">
        <v>2896</v>
      </c>
      <c r="C1070" s="0" t="n">
        <v>0.42</v>
      </c>
    </row>
    <row r="1071" customFormat="false" ht="15" hidden="false" customHeight="false" outlineLevel="0" collapsed="false">
      <c r="A1071" s="0" t="s">
        <v>2897</v>
      </c>
      <c r="B1071" s="0" t="s">
        <v>2898</v>
      </c>
      <c r="C1071" s="0" t="n">
        <v>1.66</v>
      </c>
    </row>
    <row r="1072" customFormat="false" ht="15" hidden="false" customHeight="false" outlineLevel="0" collapsed="false">
      <c r="A1072" s="0" t="s">
        <v>2899</v>
      </c>
      <c r="B1072" s="0" t="s">
        <v>434</v>
      </c>
      <c r="C1072" s="0" t="n">
        <v>5.95</v>
      </c>
    </row>
    <row r="1073" customFormat="false" ht="15" hidden="false" customHeight="false" outlineLevel="0" collapsed="false">
      <c r="A1073" s="0" t="s">
        <v>2900</v>
      </c>
      <c r="B1073" s="0" t="s">
        <v>2901</v>
      </c>
      <c r="C1073" s="0" t="n">
        <v>2.1</v>
      </c>
    </row>
    <row r="1074" customFormat="false" ht="15" hidden="false" customHeight="false" outlineLevel="0" collapsed="false">
      <c r="A1074" s="0" t="s">
        <v>2902</v>
      </c>
      <c r="B1074" s="0" t="s">
        <v>2903</v>
      </c>
      <c r="C1074" s="0" t="n">
        <v>1.65</v>
      </c>
    </row>
    <row r="1075" customFormat="false" ht="15" hidden="false" customHeight="false" outlineLevel="0" collapsed="false">
      <c r="A1075" s="0" t="s">
        <v>2904</v>
      </c>
      <c r="B1075" s="0" t="s">
        <v>2905</v>
      </c>
      <c r="C1075" s="0" t="n">
        <v>6.35</v>
      </c>
    </row>
    <row r="1076" customFormat="false" ht="15" hidden="false" customHeight="false" outlineLevel="0" collapsed="false">
      <c r="A1076" s="0" t="s">
        <v>2906</v>
      </c>
      <c r="B1076" s="0" t="s">
        <v>2907</v>
      </c>
      <c r="C1076" s="0" t="n">
        <v>6.35</v>
      </c>
    </row>
    <row r="1077" customFormat="false" ht="15" hidden="false" customHeight="false" outlineLevel="0" collapsed="false">
      <c r="A1077" s="0" t="s">
        <v>2908</v>
      </c>
      <c r="B1077" s="0" t="s">
        <v>2909</v>
      </c>
      <c r="C1077" s="0" t="n">
        <v>6.35</v>
      </c>
    </row>
    <row r="1078" customFormat="false" ht="15" hidden="false" customHeight="false" outlineLevel="0" collapsed="false">
      <c r="A1078" s="0" t="s">
        <v>2910</v>
      </c>
      <c r="B1078" s="0" t="s">
        <v>2911</v>
      </c>
      <c r="C1078" s="0" t="n">
        <v>6.79</v>
      </c>
    </row>
    <row r="1079" customFormat="false" ht="15" hidden="false" customHeight="false" outlineLevel="0" collapsed="false">
      <c r="A1079" s="0" t="s">
        <v>2912</v>
      </c>
      <c r="B1079" s="0" t="s">
        <v>2913</v>
      </c>
      <c r="C1079" s="0" t="n">
        <v>1.69</v>
      </c>
    </row>
    <row r="1080" customFormat="false" ht="15" hidden="false" customHeight="false" outlineLevel="0" collapsed="false">
      <c r="A1080" s="0" t="s">
        <v>2914</v>
      </c>
      <c r="B1080" s="0" t="s">
        <v>2915</v>
      </c>
      <c r="C1080" s="0" t="n">
        <v>1.69</v>
      </c>
    </row>
    <row r="1081" customFormat="false" ht="15" hidden="false" customHeight="false" outlineLevel="0" collapsed="false">
      <c r="A1081" s="0" t="s">
        <v>2916</v>
      </c>
      <c r="B1081" s="0" t="s">
        <v>2917</v>
      </c>
      <c r="C1081" s="0" t="n">
        <v>1.69</v>
      </c>
    </row>
    <row r="1082" customFormat="false" ht="15" hidden="false" customHeight="false" outlineLevel="0" collapsed="false">
      <c r="A1082" s="0" t="s">
        <v>2918</v>
      </c>
      <c r="B1082" s="0" t="s">
        <v>2919</v>
      </c>
      <c r="C1082" s="0" t="n">
        <v>1.69</v>
      </c>
    </row>
    <row r="1083" customFormat="false" ht="15" hidden="false" customHeight="false" outlineLevel="0" collapsed="false">
      <c r="A1083" s="0" t="s">
        <v>2920</v>
      </c>
      <c r="B1083" s="0" t="s">
        <v>2921</v>
      </c>
      <c r="C1083" s="0" t="n">
        <v>1.69</v>
      </c>
    </row>
    <row r="1084" customFormat="false" ht="15" hidden="false" customHeight="false" outlineLevel="0" collapsed="false">
      <c r="A1084" s="0" t="s">
        <v>2922</v>
      </c>
      <c r="B1084" s="0" t="s">
        <v>2923</v>
      </c>
      <c r="C1084" s="0" t="n">
        <v>1.69</v>
      </c>
    </row>
    <row r="1085" customFormat="false" ht="15" hidden="false" customHeight="false" outlineLevel="0" collapsed="false">
      <c r="A1085" s="0" t="s">
        <v>2924</v>
      </c>
      <c r="B1085" s="0" t="s">
        <v>2925</v>
      </c>
      <c r="C1085" s="0" t="n">
        <v>12.75</v>
      </c>
    </row>
    <row r="1086" customFormat="false" ht="15" hidden="false" customHeight="false" outlineLevel="0" collapsed="false">
      <c r="A1086" s="0" t="s">
        <v>2926</v>
      </c>
      <c r="B1086" s="0" t="s">
        <v>2927</v>
      </c>
      <c r="C1086" s="0" t="n">
        <v>7.5</v>
      </c>
    </row>
    <row r="1087" customFormat="false" ht="15" hidden="false" customHeight="false" outlineLevel="0" collapsed="false">
      <c r="A1087" s="0" t="s">
        <v>2928</v>
      </c>
      <c r="B1087" s="0" t="s">
        <v>2929</v>
      </c>
      <c r="C1087" s="0" t="n">
        <v>7.5</v>
      </c>
    </row>
    <row r="1088" customFormat="false" ht="15" hidden="false" customHeight="false" outlineLevel="0" collapsed="false">
      <c r="A1088" s="0" t="s">
        <v>2930</v>
      </c>
      <c r="B1088" s="0" t="s">
        <v>2931</v>
      </c>
      <c r="C1088" s="0" t="n">
        <v>7.5</v>
      </c>
    </row>
    <row r="1089" customFormat="false" ht="15" hidden="false" customHeight="false" outlineLevel="0" collapsed="false">
      <c r="A1089" s="0" t="s">
        <v>2932</v>
      </c>
      <c r="B1089" s="0" t="s">
        <v>2933</v>
      </c>
      <c r="C1089" s="0" t="n">
        <v>1.25</v>
      </c>
    </row>
    <row r="1090" customFormat="false" ht="15" hidden="false" customHeight="false" outlineLevel="0" collapsed="false">
      <c r="A1090" s="0" t="s">
        <v>2934</v>
      </c>
      <c r="B1090" s="0" t="s">
        <v>2935</v>
      </c>
      <c r="C1090" s="0" t="n">
        <v>5.94</v>
      </c>
    </row>
    <row r="1091" customFormat="false" ht="15" hidden="false" customHeight="false" outlineLevel="0" collapsed="false">
      <c r="A1091" s="0" t="s">
        <v>2936</v>
      </c>
      <c r="B1091" s="0" t="s">
        <v>2937</v>
      </c>
      <c r="C1091" s="0" t="n">
        <v>0.42</v>
      </c>
    </row>
    <row r="1092" customFormat="false" ht="15" hidden="false" customHeight="false" outlineLevel="0" collapsed="false">
      <c r="A1092" s="0" t="s">
        <v>2938</v>
      </c>
      <c r="B1092" s="0" t="s">
        <v>2939</v>
      </c>
      <c r="C1092" s="0" t="n">
        <v>2.95</v>
      </c>
    </row>
    <row r="1093" customFormat="false" ht="15" hidden="false" customHeight="false" outlineLevel="0" collapsed="false">
      <c r="A1093" s="0" t="s">
        <v>2940</v>
      </c>
      <c r="B1093" s="0" t="s">
        <v>2941</v>
      </c>
      <c r="C1093" s="0" t="n">
        <v>0.21</v>
      </c>
    </row>
    <row r="1094" customFormat="false" ht="15" hidden="false" customHeight="false" outlineLevel="0" collapsed="false">
      <c r="A1094" s="0" t="s">
        <v>2942</v>
      </c>
      <c r="B1094" s="0" t="s">
        <v>265</v>
      </c>
      <c r="C1094" s="0" t="n">
        <v>2.55</v>
      </c>
    </row>
    <row r="1095" customFormat="false" ht="15" hidden="false" customHeight="false" outlineLevel="0" collapsed="false">
      <c r="A1095" s="0" t="s">
        <v>2943</v>
      </c>
      <c r="B1095" s="0" t="s">
        <v>2944</v>
      </c>
      <c r="C1095" s="0" t="n">
        <v>1.65</v>
      </c>
    </row>
    <row r="1096" customFormat="false" ht="15" hidden="false" customHeight="false" outlineLevel="0" collapsed="false">
      <c r="A1096" s="0" t="s">
        <v>2945</v>
      </c>
      <c r="B1096" s="0" t="s">
        <v>2946</v>
      </c>
      <c r="C1096" s="0" t="n">
        <v>0.85</v>
      </c>
    </row>
    <row r="1097" customFormat="false" ht="15" hidden="false" customHeight="false" outlineLevel="0" collapsed="false">
      <c r="A1097" s="0" t="s">
        <v>2947</v>
      </c>
      <c r="B1097" s="0" t="s">
        <v>2948</v>
      </c>
      <c r="C1097" s="0" t="n">
        <v>1.65</v>
      </c>
    </row>
    <row r="1098" customFormat="false" ht="15" hidden="false" customHeight="false" outlineLevel="0" collapsed="false">
      <c r="A1098" s="0" t="s">
        <v>2949</v>
      </c>
      <c r="B1098" s="0" t="s">
        <v>2950</v>
      </c>
      <c r="C1098" s="0" t="n">
        <v>0.12</v>
      </c>
    </row>
    <row r="1099" customFormat="false" ht="15" hidden="false" customHeight="false" outlineLevel="0" collapsed="false">
      <c r="A1099" s="0" t="s">
        <v>2951</v>
      </c>
      <c r="B1099" s="0" t="s">
        <v>2952</v>
      </c>
      <c r="C1099" s="0" t="n">
        <v>4.25</v>
      </c>
    </row>
    <row r="1100" customFormat="false" ht="15" hidden="false" customHeight="false" outlineLevel="0" collapsed="false">
      <c r="A1100" s="0" t="s">
        <v>2953</v>
      </c>
      <c r="B1100" s="0" t="s">
        <v>2954</v>
      </c>
      <c r="C1100" s="0" t="n">
        <v>5.95</v>
      </c>
    </row>
    <row r="1101" customFormat="false" ht="15" hidden="false" customHeight="false" outlineLevel="0" collapsed="false">
      <c r="A1101" s="0" t="s">
        <v>2955</v>
      </c>
      <c r="B1101" s="0" t="s">
        <v>2956</v>
      </c>
      <c r="C1101" s="0" t="n">
        <v>1.45</v>
      </c>
    </row>
    <row r="1102" customFormat="false" ht="15" hidden="false" customHeight="false" outlineLevel="0" collapsed="false">
      <c r="A1102" s="0" t="s">
        <v>2957</v>
      </c>
      <c r="B1102" s="0" t="s">
        <v>2958</v>
      </c>
      <c r="C1102" s="0" t="n">
        <v>8.95</v>
      </c>
    </row>
    <row r="1103" customFormat="false" ht="15" hidden="false" customHeight="false" outlineLevel="0" collapsed="false">
      <c r="A1103" s="0" t="s">
        <v>2959</v>
      </c>
      <c r="B1103" s="0" t="s">
        <v>2960</v>
      </c>
      <c r="C1103" s="0" t="n">
        <v>3.75</v>
      </c>
    </row>
    <row r="1104" customFormat="false" ht="15" hidden="false" customHeight="false" outlineLevel="0" collapsed="false">
      <c r="A1104" s="0" t="s">
        <v>2961</v>
      </c>
      <c r="B1104" s="0" t="s">
        <v>2962</v>
      </c>
      <c r="C1104" s="0" t="n">
        <v>4.25</v>
      </c>
    </row>
    <row r="1105" customFormat="false" ht="15" hidden="false" customHeight="false" outlineLevel="0" collapsed="false">
      <c r="A1105" s="0" t="s">
        <v>2963</v>
      </c>
      <c r="B1105" s="0" t="s">
        <v>2964</v>
      </c>
      <c r="C1105" s="0" t="n">
        <v>3.75</v>
      </c>
    </row>
    <row r="1106" customFormat="false" ht="15" hidden="false" customHeight="false" outlineLevel="0" collapsed="false">
      <c r="A1106" s="0" t="s">
        <v>2965</v>
      </c>
      <c r="B1106" s="0" t="s">
        <v>2966</v>
      </c>
      <c r="C1106" s="0" t="n">
        <v>0.21</v>
      </c>
    </row>
    <row r="1107" customFormat="false" ht="15" hidden="false" customHeight="false" outlineLevel="0" collapsed="false">
      <c r="A1107" s="0" t="s">
        <v>2967</v>
      </c>
      <c r="B1107" s="0" t="s">
        <v>2968</v>
      </c>
      <c r="C1107" s="0" t="n">
        <v>8.47</v>
      </c>
    </row>
    <row r="1108" customFormat="false" ht="15" hidden="false" customHeight="false" outlineLevel="0" collapsed="false">
      <c r="A1108" s="0" t="s">
        <v>2969</v>
      </c>
      <c r="B1108" s="0" t="s">
        <v>2970</v>
      </c>
      <c r="C1108" s="0" t="n">
        <v>1.25</v>
      </c>
    </row>
    <row r="1109" customFormat="false" ht="15" hidden="false" customHeight="false" outlineLevel="0" collapsed="false">
      <c r="A1109" s="0" t="s">
        <v>2971</v>
      </c>
      <c r="B1109" s="0" t="s">
        <v>310</v>
      </c>
      <c r="C1109" s="0" t="n">
        <v>1.95</v>
      </c>
    </row>
    <row r="1110" customFormat="false" ht="15" hidden="false" customHeight="false" outlineLevel="0" collapsed="false">
      <c r="A1110" s="0" t="s">
        <v>2972</v>
      </c>
      <c r="B1110" s="0" t="s">
        <v>2973</v>
      </c>
      <c r="C1110" s="0" t="n">
        <v>1.65</v>
      </c>
    </row>
    <row r="1111" customFormat="false" ht="15" hidden="false" customHeight="false" outlineLevel="0" collapsed="false">
      <c r="A1111" s="0" t="s">
        <v>2974</v>
      </c>
      <c r="B1111" s="0" t="s">
        <v>2975</v>
      </c>
      <c r="C1111" s="0" t="n">
        <v>3.25</v>
      </c>
    </row>
    <row r="1112" customFormat="false" ht="15" hidden="false" customHeight="false" outlineLevel="0" collapsed="false">
      <c r="A1112" s="0" t="s">
        <v>2976</v>
      </c>
      <c r="B1112" s="0" t="s">
        <v>2977</v>
      </c>
      <c r="C1112" s="0" t="n">
        <v>2.12</v>
      </c>
    </row>
    <row r="1113" customFormat="false" ht="15" hidden="false" customHeight="false" outlineLevel="0" collapsed="false">
      <c r="A1113" s="0" t="s">
        <v>2978</v>
      </c>
      <c r="B1113" s="0" t="s">
        <v>857</v>
      </c>
      <c r="C1113" s="0" t="n">
        <v>1.45</v>
      </c>
    </row>
    <row r="1114" customFormat="false" ht="15" hidden="false" customHeight="false" outlineLevel="0" collapsed="false">
      <c r="A1114" s="0" t="s">
        <v>2979</v>
      </c>
      <c r="B1114" s="0" t="s">
        <v>2980</v>
      </c>
      <c r="C1114" s="0" t="n">
        <v>7.49</v>
      </c>
    </row>
    <row r="1115" customFormat="false" ht="15" hidden="false" customHeight="false" outlineLevel="0" collapsed="false">
      <c r="A1115" s="0" t="s">
        <v>2981</v>
      </c>
      <c r="B1115" s="0" t="s">
        <v>2982</v>
      </c>
      <c r="C1115" s="0" t="n">
        <v>7.49</v>
      </c>
    </row>
    <row r="1116" customFormat="false" ht="15" hidden="false" customHeight="false" outlineLevel="0" collapsed="false">
      <c r="A1116" s="0" t="s">
        <v>2983</v>
      </c>
      <c r="B1116" s="0" t="s">
        <v>2984</v>
      </c>
      <c r="C1116" s="0" t="n">
        <v>7.49</v>
      </c>
    </row>
    <row r="1117" customFormat="false" ht="15" hidden="false" customHeight="false" outlineLevel="0" collapsed="false">
      <c r="A1117" s="0" t="s">
        <v>2985</v>
      </c>
      <c r="B1117" s="0" t="s">
        <v>2986</v>
      </c>
      <c r="C1117" s="0" t="n">
        <v>6.75</v>
      </c>
    </row>
    <row r="1118" customFormat="false" ht="15" hidden="false" customHeight="false" outlineLevel="0" collapsed="false">
      <c r="A1118" s="0" t="s">
        <v>2987</v>
      </c>
      <c r="B1118" s="0" t="s">
        <v>2988</v>
      </c>
      <c r="C1118" s="0" t="n">
        <v>4</v>
      </c>
    </row>
    <row r="1119" customFormat="false" ht="15" hidden="false" customHeight="false" outlineLevel="0" collapsed="false">
      <c r="A1119" s="0" t="s">
        <v>2989</v>
      </c>
      <c r="B1119" s="0" t="s">
        <v>650</v>
      </c>
      <c r="C1119" s="0" t="n">
        <v>7.49</v>
      </c>
    </row>
    <row r="1120" customFormat="false" ht="15" hidden="false" customHeight="false" outlineLevel="0" collapsed="false">
      <c r="A1120" s="0" t="s">
        <v>2990</v>
      </c>
      <c r="B1120" s="0" t="s">
        <v>515</v>
      </c>
      <c r="C1120" s="0" t="n">
        <v>7.49</v>
      </c>
    </row>
    <row r="1121" customFormat="false" ht="15" hidden="false" customHeight="false" outlineLevel="0" collapsed="false">
      <c r="A1121" s="0" t="s">
        <v>2991</v>
      </c>
      <c r="B1121" s="0" t="s">
        <v>597</v>
      </c>
      <c r="C1121" s="0" t="n">
        <v>7.49</v>
      </c>
    </row>
    <row r="1122" customFormat="false" ht="15" hidden="false" customHeight="false" outlineLevel="0" collapsed="false">
      <c r="A1122" s="0" t="s">
        <v>2992</v>
      </c>
      <c r="B1122" s="0" t="s">
        <v>2993</v>
      </c>
      <c r="C1122" s="0" t="n">
        <v>7.49</v>
      </c>
    </row>
    <row r="1123" customFormat="false" ht="15" hidden="false" customHeight="false" outlineLevel="0" collapsed="false">
      <c r="A1123" s="0" t="s">
        <v>2994</v>
      </c>
      <c r="B1123" s="0" t="s">
        <v>2995</v>
      </c>
      <c r="C1123" s="0" t="n">
        <v>7.49</v>
      </c>
    </row>
    <row r="1124" customFormat="false" ht="15" hidden="false" customHeight="false" outlineLevel="0" collapsed="false">
      <c r="A1124" s="0" t="s">
        <v>2996</v>
      </c>
      <c r="B1124" s="0" t="s">
        <v>2997</v>
      </c>
      <c r="C1124" s="0" t="n">
        <v>7.49</v>
      </c>
    </row>
    <row r="1125" customFormat="false" ht="15" hidden="false" customHeight="false" outlineLevel="0" collapsed="false">
      <c r="A1125" s="0" t="s">
        <v>2998</v>
      </c>
      <c r="B1125" s="0" t="s">
        <v>2999</v>
      </c>
      <c r="C1125" s="0" t="n">
        <v>7.49</v>
      </c>
    </row>
    <row r="1126" customFormat="false" ht="15" hidden="false" customHeight="false" outlineLevel="0" collapsed="false">
      <c r="A1126" s="0" t="s">
        <v>3000</v>
      </c>
      <c r="B1126" s="0" t="s">
        <v>839</v>
      </c>
      <c r="C1126" s="0" t="n">
        <v>7.49</v>
      </c>
    </row>
    <row r="1127" customFormat="false" ht="15" hidden="false" customHeight="false" outlineLevel="0" collapsed="false">
      <c r="A1127" s="0" t="s">
        <v>3001</v>
      </c>
      <c r="B1127" s="0" t="s">
        <v>494</v>
      </c>
      <c r="C1127" s="0" t="n">
        <v>7.49</v>
      </c>
    </row>
    <row r="1128" customFormat="false" ht="15" hidden="false" customHeight="false" outlineLevel="0" collapsed="false">
      <c r="A1128" s="0" t="s">
        <v>3002</v>
      </c>
      <c r="B1128" s="0" t="s">
        <v>3003</v>
      </c>
      <c r="C1128" s="0" t="n">
        <v>6.75</v>
      </c>
    </row>
    <row r="1129" customFormat="false" ht="15" hidden="false" customHeight="false" outlineLevel="0" collapsed="false">
      <c r="A1129" s="0" t="s">
        <v>3004</v>
      </c>
      <c r="B1129" s="0" t="s">
        <v>649</v>
      </c>
      <c r="C1129" s="0" t="n">
        <v>7.49</v>
      </c>
    </row>
    <row r="1130" customFormat="false" ht="15" hidden="false" customHeight="false" outlineLevel="0" collapsed="false">
      <c r="A1130" s="0" t="s">
        <v>3005</v>
      </c>
      <c r="B1130" s="0" t="s">
        <v>491</v>
      </c>
      <c r="C1130" s="0" t="n">
        <v>7.49</v>
      </c>
    </row>
    <row r="1131" customFormat="false" ht="15" hidden="false" customHeight="false" outlineLevel="0" collapsed="false">
      <c r="A1131" s="0" t="s">
        <v>3006</v>
      </c>
      <c r="B1131" s="0" t="s">
        <v>3007</v>
      </c>
      <c r="C1131" s="0" t="n">
        <v>7.49</v>
      </c>
    </row>
    <row r="1132" customFormat="false" ht="15" hidden="false" customHeight="false" outlineLevel="0" collapsed="false">
      <c r="A1132" s="0" t="s">
        <v>3008</v>
      </c>
      <c r="B1132" s="0" t="s">
        <v>3009</v>
      </c>
      <c r="C1132" s="0" t="n">
        <v>7.49</v>
      </c>
    </row>
    <row r="1133" customFormat="false" ht="15" hidden="false" customHeight="false" outlineLevel="0" collapsed="false">
      <c r="A1133" s="0" t="s">
        <v>3010</v>
      </c>
      <c r="B1133" s="0" t="s">
        <v>737</v>
      </c>
      <c r="C1133" s="0" t="n">
        <v>7.49</v>
      </c>
    </row>
    <row r="1134" customFormat="false" ht="15" hidden="false" customHeight="false" outlineLevel="0" collapsed="false">
      <c r="A1134" s="0" t="s">
        <v>3011</v>
      </c>
      <c r="B1134" s="0" t="s">
        <v>3012</v>
      </c>
      <c r="C1134" s="0" t="n">
        <v>7.95</v>
      </c>
    </row>
    <row r="1135" customFormat="false" ht="15" hidden="false" customHeight="false" outlineLevel="0" collapsed="false">
      <c r="A1135" s="0" t="s">
        <v>3013</v>
      </c>
      <c r="B1135" s="0" t="s">
        <v>598</v>
      </c>
      <c r="C1135" s="0" t="n">
        <v>7.49</v>
      </c>
    </row>
    <row r="1136" customFormat="false" ht="15" hidden="false" customHeight="false" outlineLevel="0" collapsed="false">
      <c r="A1136" s="0" t="s">
        <v>3014</v>
      </c>
      <c r="B1136" s="0" t="s">
        <v>647</v>
      </c>
      <c r="C1136" s="0" t="n">
        <v>7.49</v>
      </c>
    </row>
    <row r="1137" customFormat="false" ht="15" hidden="false" customHeight="false" outlineLevel="0" collapsed="false">
      <c r="A1137" s="0" t="s">
        <v>3015</v>
      </c>
      <c r="B1137" s="0" t="s">
        <v>3016</v>
      </c>
      <c r="C1137" s="0" t="n">
        <v>7.95</v>
      </c>
    </row>
    <row r="1138" customFormat="false" ht="15" hidden="false" customHeight="false" outlineLevel="0" collapsed="false">
      <c r="A1138" s="0" t="s">
        <v>3017</v>
      </c>
      <c r="B1138" s="0" t="s">
        <v>3018</v>
      </c>
      <c r="C1138" s="0" t="n">
        <v>7.95</v>
      </c>
    </row>
    <row r="1139" customFormat="false" ht="15" hidden="false" customHeight="false" outlineLevel="0" collapsed="false">
      <c r="A1139" s="0" t="s">
        <v>3019</v>
      </c>
      <c r="B1139" s="0" t="s">
        <v>3020</v>
      </c>
      <c r="C1139" s="0" t="n">
        <v>7.49</v>
      </c>
    </row>
    <row r="1140" customFormat="false" ht="15" hidden="false" customHeight="false" outlineLevel="0" collapsed="false">
      <c r="A1140" s="0" t="s">
        <v>3021</v>
      </c>
      <c r="B1140" s="0" t="s">
        <v>3022</v>
      </c>
      <c r="C1140" s="0" t="n">
        <v>7.95</v>
      </c>
    </row>
    <row r="1141" customFormat="false" ht="15" hidden="false" customHeight="false" outlineLevel="0" collapsed="false">
      <c r="A1141" s="0" t="s">
        <v>3023</v>
      </c>
      <c r="B1141" s="0" t="s">
        <v>3024</v>
      </c>
      <c r="C1141" s="0" t="n">
        <v>7.49</v>
      </c>
    </row>
    <row r="1142" customFormat="false" ht="15" hidden="false" customHeight="false" outlineLevel="0" collapsed="false">
      <c r="A1142" s="0" t="s">
        <v>3025</v>
      </c>
      <c r="B1142" s="0" t="s">
        <v>648</v>
      </c>
      <c r="C1142" s="0" t="n">
        <v>7.49</v>
      </c>
    </row>
    <row r="1143" customFormat="false" ht="15" hidden="false" customHeight="false" outlineLevel="0" collapsed="false">
      <c r="A1143" s="0" t="s">
        <v>3026</v>
      </c>
      <c r="B1143" s="0" t="s">
        <v>3027</v>
      </c>
      <c r="C1143" s="0" t="n">
        <v>7.49</v>
      </c>
    </row>
    <row r="1144" customFormat="false" ht="15" hidden="false" customHeight="false" outlineLevel="0" collapsed="false">
      <c r="A1144" s="0" t="s">
        <v>3028</v>
      </c>
      <c r="B1144" s="0" t="s">
        <v>312</v>
      </c>
      <c r="C1144" s="0" t="n">
        <v>7.95</v>
      </c>
    </row>
    <row r="1145" customFormat="false" ht="15" hidden="false" customHeight="false" outlineLevel="0" collapsed="false">
      <c r="A1145" s="0" t="s">
        <v>3029</v>
      </c>
      <c r="B1145" s="0" t="s">
        <v>3030</v>
      </c>
      <c r="C1145" s="0" t="n">
        <v>3.75</v>
      </c>
    </row>
    <row r="1146" customFormat="false" ht="15" hidden="false" customHeight="false" outlineLevel="0" collapsed="false">
      <c r="A1146" s="0" t="s">
        <v>3031</v>
      </c>
      <c r="B1146" s="0" t="s">
        <v>3032</v>
      </c>
      <c r="C1146" s="0" t="n">
        <v>3.75</v>
      </c>
    </row>
    <row r="1147" customFormat="false" ht="15" hidden="false" customHeight="false" outlineLevel="0" collapsed="false">
      <c r="A1147" s="0" t="s">
        <v>3033</v>
      </c>
      <c r="B1147" s="0" t="s">
        <v>3034</v>
      </c>
      <c r="C1147" s="0" t="n">
        <v>3.75</v>
      </c>
    </row>
    <row r="1148" customFormat="false" ht="15" hidden="false" customHeight="false" outlineLevel="0" collapsed="false">
      <c r="A1148" s="0" t="s">
        <v>3035</v>
      </c>
      <c r="B1148" s="0" t="s">
        <v>3036</v>
      </c>
      <c r="C1148" s="0" t="n">
        <v>3.75</v>
      </c>
    </row>
    <row r="1149" customFormat="false" ht="15" hidden="false" customHeight="false" outlineLevel="0" collapsed="false">
      <c r="A1149" s="0" t="s">
        <v>3037</v>
      </c>
      <c r="B1149" s="0" t="s">
        <v>3038</v>
      </c>
      <c r="C1149" s="0" t="n">
        <v>3.75</v>
      </c>
    </row>
    <row r="1150" customFormat="false" ht="15" hidden="false" customHeight="false" outlineLevel="0" collapsed="false">
      <c r="A1150" s="0" t="s">
        <v>3039</v>
      </c>
      <c r="B1150" s="0" t="s">
        <v>3040</v>
      </c>
      <c r="C1150" s="0" t="n">
        <v>3.95</v>
      </c>
    </row>
    <row r="1151" customFormat="false" ht="15" hidden="false" customHeight="false" outlineLevel="0" collapsed="false">
      <c r="A1151" s="0" t="s">
        <v>3041</v>
      </c>
      <c r="B1151" s="0" t="s">
        <v>3042</v>
      </c>
      <c r="C1151" s="0" t="n">
        <v>18.26</v>
      </c>
    </row>
    <row r="1152" customFormat="false" ht="15" hidden="false" customHeight="false" outlineLevel="0" collapsed="false">
      <c r="A1152" s="0" t="s">
        <v>3043</v>
      </c>
      <c r="B1152" s="0" t="s">
        <v>3044</v>
      </c>
      <c r="C1152" s="0" t="n">
        <v>3.36</v>
      </c>
    </row>
    <row r="1153" customFormat="false" ht="15" hidden="false" customHeight="false" outlineLevel="0" collapsed="false">
      <c r="A1153" s="0" t="s">
        <v>3045</v>
      </c>
      <c r="B1153" s="0" t="s">
        <v>3046</v>
      </c>
      <c r="C1153" s="0" t="n">
        <v>1.95</v>
      </c>
    </row>
    <row r="1154" customFormat="false" ht="15" hidden="false" customHeight="false" outlineLevel="0" collapsed="false">
      <c r="A1154" s="0" t="s">
        <v>3047</v>
      </c>
      <c r="B1154" s="0" t="s">
        <v>3048</v>
      </c>
      <c r="C1154" s="0" t="n">
        <v>0.65</v>
      </c>
    </row>
    <row r="1155" customFormat="false" ht="15" hidden="false" customHeight="false" outlineLevel="0" collapsed="false">
      <c r="A1155" s="0" t="s">
        <v>3049</v>
      </c>
      <c r="B1155" s="0" t="s">
        <v>3050</v>
      </c>
      <c r="C1155" s="0" t="n">
        <v>5.17</v>
      </c>
    </row>
    <row r="1156" customFormat="false" ht="15" hidden="false" customHeight="false" outlineLevel="0" collapsed="false">
      <c r="A1156" s="0" t="s">
        <v>3051</v>
      </c>
      <c r="B1156" s="0" t="s">
        <v>3052</v>
      </c>
      <c r="C1156" s="0" t="n">
        <v>0.43</v>
      </c>
    </row>
    <row r="1157" customFormat="false" ht="15" hidden="false" customHeight="false" outlineLevel="0" collapsed="false">
      <c r="A1157" s="0" t="s">
        <v>3053</v>
      </c>
      <c r="B1157" s="0" t="s">
        <v>3054</v>
      </c>
      <c r="C1157" s="0" t="n">
        <v>2.96</v>
      </c>
    </row>
    <row r="1158" customFormat="false" ht="15" hidden="false" customHeight="false" outlineLevel="0" collapsed="false">
      <c r="A1158" s="0" t="s">
        <v>3055</v>
      </c>
      <c r="B1158" s="0" t="s">
        <v>3056</v>
      </c>
      <c r="C1158" s="0" t="n">
        <v>2.95</v>
      </c>
    </row>
    <row r="1159" customFormat="false" ht="15" hidden="false" customHeight="false" outlineLevel="0" collapsed="false">
      <c r="A1159" s="0" t="s">
        <v>3057</v>
      </c>
      <c r="B1159" s="0" t="s">
        <v>3058</v>
      </c>
      <c r="C1159" s="0" t="n">
        <v>2.96</v>
      </c>
    </row>
    <row r="1160" customFormat="false" ht="15" hidden="false" customHeight="false" outlineLevel="0" collapsed="false">
      <c r="A1160" s="0" t="s">
        <v>3059</v>
      </c>
      <c r="B1160" s="0" t="s">
        <v>3060</v>
      </c>
      <c r="C1160" s="0" t="n">
        <v>2.96</v>
      </c>
    </row>
    <row r="1161" customFormat="false" ht="15" hidden="false" customHeight="false" outlineLevel="0" collapsed="false">
      <c r="A1161" s="0" t="s">
        <v>3061</v>
      </c>
      <c r="B1161" s="0" t="s">
        <v>3062</v>
      </c>
      <c r="C1161" s="0" t="n">
        <v>2.54</v>
      </c>
    </row>
    <row r="1162" customFormat="false" ht="15" hidden="false" customHeight="false" outlineLevel="0" collapsed="false">
      <c r="A1162" s="0" t="s">
        <v>3063</v>
      </c>
      <c r="B1162" s="0" t="s">
        <v>3064</v>
      </c>
      <c r="C1162" s="0" t="n">
        <v>2.95</v>
      </c>
    </row>
    <row r="1163" customFormat="false" ht="15" hidden="false" customHeight="false" outlineLevel="0" collapsed="false">
      <c r="A1163" s="0" t="s">
        <v>3065</v>
      </c>
      <c r="B1163" s="0" t="s">
        <v>3066</v>
      </c>
      <c r="C1163" s="0" t="n">
        <v>1.25</v>
      </c>
    </row>
    <row r="1164" customFormat="false" ht="15" hidden="false" customHeight="false" outlineLevel="0" collapsed="false">
      <c r="A1164" s="0" t="s">
        <v>3067</v>
      </c>
      <c r="B1164" s="0" t="s">
        <v>3068</v>
      </c>
      <c r="C1164" s="0" t="n">
        <v>2.95</v>
      </c>
    </row>
    <row r="1165" customFormat="false" ht="15" hidden="false" customHeight="false" outlineLevel="0" collapsed="false">
      <c r="A1165" s="0" t="s">
        <v>3069</v>
      </c>
      <c r="B1165" s="0" t="s">
        <v>3070</v>
      </c>
      <c r="C1165" s="0" t="n">
        <v>8.47</v>
      </c>
    </row>
    <row r="1166" customFormat="false" ht="15" hidden="false" customHeight="false" outlineLevel="0" collapsed="false">
      <c r="A1166" s="0" t="s">
        <v>3071</v>
      </c>
      <c r="B1166" s="0" t="s">
        <v>3072</v>
      </c>
      <c r="C1166" s="0" t="n">
        <v>1</v>
      </c>
    </row>
    <row r="1167" customFormat="false" ht="15" hidden="false" customHeight="false" outlineLevel="0" collapsed="false">
      <c r="A1167" s="0" t="s">
        <v>3073</v>
      </c>
      <c r="B1167" s="0" t="s">
        <v>3074</v>
      </c>
      <c r="C1167" s="0" t="n">
        <v>8.51</v>
      </c>
    </row>
    <row r="1168" customFormat="false" ht="15" hidden="false" customHeight="false" outlineLevel="0" collapsed="false">
      <c r="A1168" s="0" t="s">
        <v>3075</v>
      </c>
      <c r="B1168" s="0" t="s">
        <v>3076</v>
      </c>
      <c r="C1168" s="0" t="n">
        <v>17.02</v>
      </c>
    </row>
    <row r="1169" customFormat="false" ht="15" hidden="false" customHeight="false" outlineLevel="0" collapsed="false">
      <c r="A1169" s="0" t="s">
        <v>3077</v>
      </c>
      <c r="B1169" s="0" t="s">
        <v>3078</v>
      </c>
      <c r="C1169" s="0" t="n">
        <v>25.53</v>
      </c>
    </row>
    <row r="1170" customFormat="false" ht="15" hidden="false" customHeight="false" outlineLevel="0" collapsed="false">
      <c r="A1170" s="0" t="s">
        <v>3079</v>
      </c>
      <c r="B1170" s="0" t="s">
        <v>3080</v>
      </c>
      <c r="C1170" s="0" t="n">
        <v>31.35</v>
      </c>
    </row>
    <row r="1171" customFormat="false" ht="15" hidden="false" customHeight="false" outlineLevel="0" collapsed="false">
      <c r="A1171" s="0" t="s">
        <v>3081</v>
      </c>
      <c r="B1171" s="0" t="s">
        <v>3082</v>
      </c>
      <c r="C1171" s="0" t="n">
        <v>42.55</v>
      </c>
    </row>
    <row r="1172" customFormat="false" ht="15" hidden="false" customHeight="false" outlineLevel="0" collapsed="false">
      <c r="A1172" s="0" t="s">
        <v>3083</v>
      </c>
      <c r="B1172" s="0" t="s">
        <v>3084</v>
      </c>
      <c r="C1172" s="0" t="n">
        <v>59.57</v>
      </c>
    </row>
    <row r="1173" customFormat="false" ht="15" hidden="false" customHeight="false" outlineLevel="0" collapsed="false">
      <c r="A1173" s="0" t="s">
        <v>3085</v>
      </c>
      <c r="B1173" s="0" t="s">
        <v>3086</v>
      </c>
      <c r="C1173" s="0" t="n">
        <v>69.56</v>
      </c>
    </row>
    <row r="1174" customFormat="false" ht="15" hidden="false" customHeight="false" outlineLevel="0" collapsed="false">
      <c r="A1174" s="0" t="s">
        <v>3087</v>
      </c>
      <c r="B1174" s="0" t="s">
        <v>3088</v>
      </c>
      <c r="C1174" s="0" t="n">
        <v>4.21</v>
      </c>
    </row>
    <row r="1175" customFormat="false" ht="15" hidden="false" customHeight="false" outlineLevel="0" collapsed="false">
      <c r="A1175" s="0" t="s">
        <v>3089</v>
      </c>
      <c r="B1175" s="0" t="s">
        <v>3090</v>
      </c>
      <c r="C1175" s="0" t="n">
        <v>0.55</v>
      </c>
    </row>
    <row r="1176" customFormat="false" ht="15" hidden="false" customHeight="false" outlineLevel="0" collapsed="false">
      <c r="A1176" s="0" t="s">
        <v>3091</v>
      </c>
      <c r="B1176" s="0" t="s">
        <v>3092</v>
      </c>
      <c r="C1176" s="0" t="n">
        <v>0.42</v>
      </c>
    </row>
    <row r="1177" customFormat="false" ht="15" hidden="false" customHeight="false" outlineLevel="0" collapsed="false">
      <c r="A1177" s="0" t="s">
        <v>3093</v>
      </c>
      <c r="B1177" s="0" t="s">
        <v>3094</v>
      </c>
      <c r="C1177" s="0" t="n">
        <v>1.25</v>
      </c>
    </row>
    <row r="1178" customFormat="false" ht="15" hidden="false" customHeight="false" outlineLevel="0" collapsed="false">
      <c r="A1178" s="0" t="s">
        <v>3095</v>
      </c>
      <c r="B1178" s="0" t="s">
        <v>3096</v>
      </c>
      <c r="C1178" s="0" t="n">
        <v>0.65</v>
      </c>
    </row>
    <row r="1179" customFormat="false" ht="15" hidden="false" customHeight="false" outlineLevel="0" collapsed="false">
      <c r="A1179" s="0" t="s">
        <v>3097</v>
      </c>
      <c r="B1179" s="0" t="s">
        <v>3098</v>
      </c>
      <c r="C1179" s="0" t="n">
        <v>10.17</v>
      </c>
    </row>
    <row r="1180" customFormat="false" ht="15" hidden="false" customHeight="false" outlineLevel="0" collapsed="false">
      <c r="A1180" s="0" t="s">
        <v>3099</v>
      </c>
      <c r="B1180" s="0" t="s">
        <v>3100</v>
      </c>
      <c r="C1180" s="0" t="n">
        <v>1.95</v>
      </c>
    </row>
    <row r="1181" customFormat="false" ht="15" hidden="false" customHeight="false" outlineLevel="0" collapsed="false">
      <c r="A1181" s="0" t="s">
        <v>3101</v>
      </c>
      <c r="B1181" s="0" t="s">
        <v>3102</v>
      </c>
      <c r="C1181" s="0" t="n">
        <v>1.95</v>
      </c>
    </row>
    <row r="1182" customFormat="false" ht="15" hidden="false" customHeight="false" outlineLevel="0" collapsed="false">
      <c r="A1182" s="0" t="s">
        <v>3103</v>
      </c>
      <c r="B1182" s="0" t="s">
        <v>3104</v>
      </c>
      <c r="C1182" s="0" t="n">
        <v>1.25</v>
      </c>
    </row>
    <row r="1183" customFormat="false" ht="15" hidden="false" customHeight="false" outlineLevel="0" collapsed="false">
      <c r="A1183" s="0" t="s">
        <v>3105</v>
      </c>
      <c r="B1183" s="0" t="s">
        <v>3106</v>
      </c>
      <c r="C1183" s="0" t="n">
        <v>0.65</v>
      </c>
    </row>
    <row r="1184" customFormat="false" ht="15" hidden="false" customHeight="false" outlineLevel="0" collapsed="false">
      <c r="A1184" s="0" t="s">
        <v>3107</v>
      </c>
      <c r="B1184" s="0" t="s">
        <v>3108</v>
      </c>
      <c r="C1184" s="0" t="n">
        <v>0.65</v>
      </c>
    </row>
    <row r="1185" customFormat="false" ht="15" hidden="false" customHeight="false" outlineLevel="0" collapsed="false">
      <c r="A1185" s="0" t="s">
        <v>3109</v>
      </c>
      <c r="B1185" s="0" t="s">
        <v>3110</v>
      </c>
      <c r="C1185" s="0" t="n">
        <v>0.85</v>
      </c>
    </row>
    <row r="1186" customFormat="false" ht="15" hidden="false" customHeight="false" outlineLevel="0" collapsed="false">
      <c r="A1186" s="0" t="s">
        <v>3111</v>
      </c>
      <c r="B1186" s="0" t="s">
        <v>3112</v>
      </c>
      <c r="C1186" s="0" t="n">
        <v>2.55</v>
      </c>
    </row>
    <row r="1187" customFormat="false" ht="15" hidden="false" customHeight="false" outlineLevel="0" collapsed="false">
      <c r="A1187" s="0" t="s">
        <v>3113</v>
      </c>
      <c r="B1187" s="0" t="s">
        <v>3114</v>
      </c>
      <c r="C1187" s="0" t="n">
        <v>1.65</v>
      </c>
    </row>
    <row r="1188" customFormat="false" ht="15" hidden="false" customHeight="false" outlineLevel="0" collapsed="false">
      <c r="A1188" s="0" t="s">
        <v>3115</v>
      </c>
      <c r="B1188" s="0" t="s">
        <v>3116</v>
      </c>
      <c r="C1188" s="0" t="n">
        <v>1.65</v>
      </c>
    </row>
    <row r="1189" customFormat="false" ht="15" hidden="false" customHeight="false" outlineLevel="0" collapsed="false">
      <c r="A1189" s="0" t="s">
        <v>3117</v>
      </c>
      <c r="B1189" s="0" t="s">
        <v>3118</v>
      </c>
      <c r="C1189" s="0" t="n">
        <v>1.65</v>
      </c>
    </row>
    <row r="1190" customFormat="false" ht="15" hidden="false" customHeight="false" outlineLevel="0" collapsed="false">
      <c r="A1190" s="0" t="s">
        <v>3119</v>
      </c>
      <c r="B1190" s="0" t="s">
        <v>3120</v>
      </c>
      <c r="C1190" s="0" t="n">
        <v>5.95</v>
      </c>
    </row>
    <row r="1191" customFormat="false" ht="15" hidden="false" customHeight="false" outlineLevel="0" collapsed="false">
      <c r="A1191" s="0" t="s">
        <v>3121</v>
      </c>
      <c r="B1191" s="0" t="s">
        <v>3122</v>
      </c>
      <c r="C1191" s="0" t="n">
        <v>8.5</v>
      </c>
    </row>
    <row r="1192" customFormat="false" ht="15" hidden="false" customHeight="false" outlineLevel="0" collapsed="false">
      <c r="A1192" s="0" t="s">
        <v>3123</v>
      </c>
      <c r="B1192" s="0" t="s">
        <v>3124</v>
      </c>
      <c r="C1192" s="0" t="n">
        <v>1.25</v>
      </c>
    </row>
    <row r="1193" customFormat="false" ht="15" hidden="false" customHeight="false" outlineLevel="0" collapsed="false">
      <c r="A1193" s="0" t="s">
        <v>3125</v>
      </c>
      <c r="B1193" s="0" t="s">
        <v>3126</v>
      </c>
      <c r="C1193" s="0" t="n">
        <v>1.65</v>
      </c>
    </row>
    <row r="1194" customFormat="false" ht="15" hidden="false" customHeight="false" outlineLevel="0" collapsed="false">
      <c r="A1194" s="0" t="s">
        <v>3127</v>
      </c>
      <c r="B1194" s="0" t="s">
        <v>3128</v>
      </c>
      <c r="C1194" s="0" t="n">
        <v>2.55</v>
      </c>
    </row>
    <row r="1195" customFormat="false" ht="15" hidden="false" customHeight="false" outlineLevel="0" collapsed="false">
      <c r="A1195" s="0" t="s">
        <v>3127</v>
      </c>
      <c r="B1195" s="0" t="s">
        <v>3129</v>
      </c>
      <c r="C1195" s="0" t="n">
        <v>1.65</v>
      </c>
    </row>
    <row r="1196" customFormat="false" ht="15" hidden="false" customHeight="false" outlineLevel="0" collapsed="false">
      <c r="A1196" s="0" t="s">
        <v>3130</v>
      </c>
      <c r="B1196" s="0" t="s">
        <v>3131</v>
      </c>
      <c r="C1196" s="0" t="n">
        <v>0.85</v>
      </c>
    </row>
    <row r="1197" customFormat="false" ht="15" hidden="false" customHeight="false" outlineLevel="0" collapsed="false">
      <c r="A1197" s="0" t="s">
        <v>3132</v>
      </c>
      <c r="B1197" s="0" t="s">
        <v>3133</v>
      </c>
      <c r="C1197" s="0" t="n">
        <v>2.95</v>
      </c>
    </row>
    <row r="1198" customFormat="false" ht="15" hidden="false" customHeight="false" outlineLevel="0" collapsed="false">
      <c r="A1198" s="0" t="s">
        <v>3134</v>
      </c>
      <c r="B1198" s="0" t="s">
        <v>3135</v>
      </c>
      <c r="C1198" s="0" t="n">
        <v>1.25</v>
      </c>
    </row>
    <row r="1199" customFormat="false" ht="15" hidden="false" customHeight="false" outlineLevel="0" collapsed="false">
      <c r="A1199" s="0" t="s">
        <v>3136</v>
      </c>
      <c r="B1199" s="0" t="s">
        <v>3137</v>
      </c>
      <c r="C1199" s="0" t="n">
        <v>2.1</v>
      </c>
    </row>
    <row r="1200" customFormat="false" ht="15" hidden="false" customHeight="false" outlineLevel="0" collapsed="false">
      <c r="A1200" s="0" t="s">
        <v>3138</v>
      </c>
      <c r="B1200" s="0" t="s">
        <v>3139</v>
      </c>
      <c r="C1200" s="0" t="n">
        <v>12.75</v>
      </c>
    </row>
    <row r="1201" customFormat="false" ht="15" hidden="false" customHeight="false" outlineLevel="0" collapsed="false">
      <c r="A1201" s="0" t="s">
        <v>3140</v>
      </c>
      <c r="B1201" s="0" t="s">
        <v>3141</v>
      </c>
      <c r="C1201" s="0" t="n">
        <v>3.81</v>
      </c>
    </row>
    <row r="1202" customFormat="false" ht="15" hidden="false" customHeight="false" outlineLevel="0" collapsed="false">
      <c r="A1202" s="0" t="s">
        <v>3142</v>
      </c>
      <c r="B1202" s="0" t="s">
        <v>669</v>
      </c>
      <c r="C1202" s="0" t="n">
        <v>5.95</v>
      </c>
    </row>
    <row r="1203" customFormat="false" ht="15" hidden="false" customHeight="false" outlineLevel="0" collapsed="false">
      <c r="A1203" s="0" t="s">
        <v>3143</v>
      </c>
      <c r="B1203" s="0" t="s">
        <v>777</v>
      </c>
      <c r="C1203" s="0" t="n">
        <v>5.95</v>
      </c>
    </row>
    <row r="1204" customFormat="false" ht="15" hidden="false" customHeight="false" outlineLevel="0" collapsed="false">
      <c r="A1204" s="0" t="s">
        <v>3144</v>
      </c>
      <c r="B1204" s="0" t="s">
        <v>778</v>
      </c>
      <c r="C1204" s="0" t="n">
        <v>5.95</v>
      </c>
    </row>
    <row r="1205" customFormat="false" ht="15" hidden="false" customHeight="false" outlineLevel="0" collapsed="false">
      <c r="A1205" s="0" t="s">
        <v>3145</v>
      </c>
      <c r="B1205" s="0" t="s">
        <v>776</v>
      </c>
      <c r="C1205" s="0" t="n">
        <v>5.95</v>
      </c>
    </row>
    <row r="1206" customFormat="false" ht="15" hidden="false" customHeight="false" outlineLevel="0" collapsed="false">
      <c r="A1206" s="0" t="s">
        <v>3146</v>
      </c>
      <c r="B1206" s="0" t="s">
        <v>3147</v>
      </c>
      <c r="C1206" s="0" t="n">
        <v>12.75</v>
      </c>
    </row>
    <row r="1207" customFormat="false" ht="15" hidden="false" customHeight="false" outlineLevel="0" collapsed="false">
      <c r="A1207" s="0" t="s">
        <v>3148</v>
      </c>
      <c r="B1207" s="0" t="s">
        <v>617</v>
      </c>
      <c r="C1207" s="0" t="n">
        <v>1.25</v>
      </c>
    </row>
    <row r="1208" customFormat="false" ht="15" hidden="false" customHeight="false" outlineLevel="0" collapsed="false">
      <c r="A1208" s="0" t="s">
        <v>3149</v>
      </c>
      <c r="B1208" s="0" t="s">
        <v>3150</v>
      </c>
      <c r="C1208" s="0" t="n">
        <v>1.25</v>
      </c>
    </row>
    <row r="1209" customFormat="false" ht="15" hidden="false" customHeight="false" outlineLevel="0" collapsed="false">
      <c r="A1209" s="0" t="s">
        <v>3151</v>
      </c>
      <c r="B1209" s="0" t="s">
        <v>3152</v>
      </c>
      <c r="C1209" s="0" t="n">
        <v>1.25</v>
      </c>
    </row>
    <row r="1210" customFormat="false" ht="15" hidden="false" customHeight="false" outlineLevel="0" collapsed="false">
      <c r="A1210" s="0" t="s">
        <v>3153</v>
      </c>
      <c r="B1210" s="0" t="s">
        <v>3154</v>
      </c>
      <c r="C1210" s="0" t="n">
        <v>1.25</v>
      </c>
    </row>
    <row r="1211" customFormat="false" ht="15" hidden="false" customHeight="false" outlineLevel="0" collapsed="false">
      <c r="A1211" s="0" t="s">
        <v>3155</v>
      </c>
      <c r="B1211" s="0" t="s">
        <v>3156</v>
      </c>
      <c r="C1211" s="0" t="n">
        <v>29.79</v>
      </c>
    </row>
    <row r="1212" customFormat="false" ht="15" hidden="false" customHeight="false" outlineLevel="0" collapsed="false">
      <c r="A1212" s="0" t="s">
        <v>3157</v>
      </c>
      <c r="B1212" s="0" t="s">
        <v>3158</v>
      </c>
      <c r="C1212" s="0" t="n">
        <v>0.42</v>
      </c>
    </row>
    <row r="1213" customFormat="false" ht="15" hidden="false" customHeight="false" outlineLevel="0" collapsed="false">
      <c r="A1213" s="0" t="s">
        <v>3159</v>
      </c>
      <c r="B1213" s="0" t="s">
        <v>3160</v>
      </c>
      <c r="C1213" s="0" t="n">
        <v>3.75</v>
      </c>
    </row>
    <row r="1214" customFormat="false" ht="15" hidden="false" customHeight="false" outlineLevel="0" collapsed="false">
      <c r="A1214" s="0" t="s">
        <v>3161</v>
      </c>
      <c r="B1214" s="0" t="s">
        <v>233</v>
      </c>
      <c r="C1214" s="0" t="n">
        <v>0.42</v>
      </c>
    </row>
    <row r="1215" customFormat="false" ht="15" hidden="false" customHeight="false" outlineLevel="0" collapsed="false">
      <c r="A1215" s="0" t="s">
        <v>3162</v>
      </c>
      <c r="B1215" s="0" t="s">
        <v>3163</v>
      </c>
      <c r="C1215" s="0" t="n">
        <v>1.25</v>
      </c>
    </row>
    <row r="1216" customFormat="false" ht="15" hidden="false" customHeight="false" outlineLevel="0" collapsed="false">
      <c r="A1216" s="0" t="s">
        <v>3164</v>
      </c>
      <c r="B1216" s="0" t="s">
        <v>3165</v>
      </c>
      <c r="C1216" s="0" t="n">
        <v>2.55</v>
      </c>
    </row>
    <row r="1217" customFormat="false" ht="15" hidden="false" customHeight="false" outlineLevel="0" collapsed="false">
      <c r="A1217" s="0" t="s">
        <v>3166</v>
      </c>
      <c r="B1217" s="0" t="s">
        <v>3167</v>
      </c>
      <c r="C1217" s="0" t="n">
        <v>1.25</v>
      </c>
    </row>
    <row r="1218" customFormat="false" ht="15" hidden="false" customHeight="false" outlineLevel="0" collapsed="false">
      <c r="A1218" s="0" t="s">
        <v>3168</v>
      </c>
      <c r="B1218" s="0" t="s">
        <v>3169</v>
      </c>
      <c r="C1218" s="0" t="n">
        <v>12.75</v>
      </c>
    </row>
    <row r="1219" customFormat="false" ht="15" hidden="false" customHeight="false" outlineLevel="0" collapsed="false">
      <c r="A1219" s="0" t="s">
        <v>3170</v>
      </c>
      <c r="B1219" s="0" t="s">
        <v>3171</v>
      </c>
      <c r="C1219" s="0" t="n">
        <v>0.85</v>
      </c>
    </row>
    <row r="1220" customFormat="false" ht="15" hidden="false" customHeight="false" outlineLevel="0" collapsed="false">
      <c r="A1220" s="0" t="s">
        <v>3172</v>
      </c>
      <c r="B1220" s="0" t="s">
        <v>3173</v>
      </c>
      <c r="C1220" s="0" t="n">
        <v>1.25</v>
      </c>
    </row>
    <row r="1221" customFormat="false" ht="15" hidden="false" customHeight="false" outlineLevel="0" collapsed="false">
      <c r="A1221" s="0" t="s">
        <v>3174</v>
      </c>
      <c r="B1221" s="0" t="s">
        <v>3175</v>
      </c>
      <c r="C1221" s="0" t="n">
        <v>0.42</v>
      </c>
    </row>
    <row r="1222" customFormat="false" ht="15" hidden="false" customHeight="false" outlineLevel="0" collapsed="false">
      <c r="A1222" s="0" t="s">
        <v>3176</v>
      </c>
      <c r="B1222" s="0" t="s">
        <v>3177</v>
      </c>
      <c r="C1222" s="0" t="n">
        <v>1.25</v>
      </c>
    </row>
    <row r="1223" customFormat="false" ht="15" hidden="false" customHeight="false" outlineLevel="0" collapsed="false">
      <c r="A1223" s="0" t="s">
        <v>3178</v>
      </c>
      <c r="B1223" s="0" t="s">
        <v>3179</v>
      </c>
      <c r="C1223" s="0" t="n">
        <v>0.42</v>
      </c>
    </row>
    <row r="1224" customFormat="false" ht="15" hidden="false" customHeight="false" outlineLevel="0" collapsed="false">
      <c r="A1224" s="0" t="s">
        <v>3180</v>
      </c>
      <c r="B1224" s="0" t="s">
        <v>3181</v>
      </c>
      <c r="C1224" s="0" t="n">
        <v>6.95</v>
      </c>
    </row>
    <row r="1225" customFormat="false" ht="15" hidden="false" customHeight="false" outlineLevel="0" collapsed="false">
      <c r="A1225" s="0" t="s">
        <v>3182</v>
      </c>
      <c r="B1225" s="0" t="s">
        <v>3183</v>
      </c>
      <c r="C1225" s="0" t="n">
        <v>1.25</v>
      </c>
    </row>
    <row r="1226" customFormat="false" ht="15" hidden="false" customHeight="false" outlineLevel="0" collapsed="false">
      <c r="A1226" s="0" t="s">
        <v>3184</v>
      </c>
      <c r="B1226" s="0" t="s">
        <v>3185</v>
      </c>
      <c r="C1226" s="0" t="n">
        <v>4.95</v>
      </c>
    </row>
    <row r="1227" customFormat="false" ht="15" hidden="false" customHeight="false" outlineLevel="0" collapsed="false">
      <c r="A1227" s="0" t="s">
        <v>3186</v>
      </c>
      <c r="B1227" s="0" t="s">
        <v>3187</v>
      </c>
      <c r="C1227" s="0" t="n">
        <v>4.95</v>
      </c>
    </row>
    <row r="1228" customFormat="false" ht="15" hidden="false" customHeight="false" outlineLevel="0" collapsed="false">
      <c r="A1228" s="0" t="s">
        <v>3188</v>
      </c>
      <c r="B1228" s="0" t="s">
        <v>3189</v>
      </c>
      <c r="C1228" s="0" t="n">
        <v>2.1</v>
      </c>
    </row>
    <row r="1229" customFormat="false" ht="15" hidden="false" customHeight="false" outlineLevel="0" collapsed="false">
      <c r="A1229" s="0" t="s">
        <v>3190</v>
      </c>
      <c r="B1229" s="0" t="s">
        <v>3191</v>
      </c>
      <c r="C1229" s="0" t="n">
        <v>8.49</v>
      </c>
    </row>
    <row r="1230" customFormat="false" ht="15" hidden="false" customHeight="false" outlineLevel="0" collapsed="false">
      <c r="A1230" s="0" t="s">
        <v>3192</v>
      </c>
      <c r="B1230" s="0" t="s">
        <v>3193</v>
      </c>
      <c r="C1230" s="0" t="n">
        <v>2.1</v>
      </c>
    </row>
    <row r="1231" customFormat="false" ht="15" hidden="false" customHeight="false" outlineLevel="0" collapsed="false">
      <c r="A1231" s="0" t="s">
        <v>3194</v>
      </c>
      <c r="B1231" s="0" t="s">
        <v>627</v>
      </c>
      <c r="C1231" s="0" t="n">
        <v>12.75</v>
      </c>
    </row>
    <row r="1232" customFormat="false" ht="15" hidden="false" customHeight="false" outlineLevel="0" collapsed="false">
      <c r="A1232" s="0" t="s">
        <v>3195</v>
      </c>
      <c r="B1232" s="0" t="s">
        <v>3196</v>
      </c>
      <c r="C1232" s="0" t="n">
        <v>4.95</v>
      </c>
    </row>
    <row r="1233" customFormat="false" ht="15" hidden="false" customHeight="false" outlineLevel="0" collapsed="false">
      <c r="A1233" s="0" t="s">
        <v>3197</v>
      </c>
      <c r="B1233" s="0" t="s">
        <v>3198</v>
      </c>
      <c r="C1233" s="0" t="n">
        <v>6.95</v>
      </c>
    </row>
    <row r="1234" customFormat="false" ht="15" hidden="false" customHeight="false" outlineLevel="0" collapsed="false">
      <c r="A1234" s="0" t="s">
        <v>3199</v>
      </c>
      <c r="B1234" s="0" t="s">
        <v>3200</v>
      </c>
      <c r="C1234" s="0" t="n">
        <v>5.95</v>
      </c>
    </row>
    <row r="1235" customFormat="false" ht="15" hidden="false" customHeight="false" outlineLevel="0" collapsed="false">
      <c r="A1235" s="0" t="s">
        <v>3201</v>
      </c>
      <c r="B1235" s="0" t="s">
        <v>3202</v>
      </c>
      <c r="C1235" s="0" t="n">
        <v>4.25</v>
      </c>
    </row>
    <row r="1236" customFormat="false" ht="15" hidden="false" customHeight="false" outlineLevel="0" collapsed="false">
      <c r="A1236" s="0" t="s">
        <v>3203</v>
      </c>
      <c r="B1236" s="0" t="s">
        <v>3204</v>
      </c>
      <c r="C1236" s="0" t="n">
        <v>4.21</v>
      </c>
    </row>
    <row r="1237" customFormat="false" ht="15" hidden="false" customHeight="false" outlineLevel="0" collapsed="false">
      <c r="A1237" s="0" t="s">
        <v>3205</v>
      </c>
      <c r="B1237" s="0" t="s">
        <v>3206</v>
      </c>
      <c r="C1237" s="0" t="n">
        <v>2.1</v>
      </c>
    </row>
    <row r="1238" customFormat="false" ht="15" hidden="false" customHeight="false" outlineLevel="0" collapsed="false">
      <c r="A1238" s="0" t="s">
        <v>3207</v>
      </c>
      <c r="B1238" s="0" t="s">
        <v>3208</v>
      </c>
      <c r="C1238" s="0" t="n">
        <v>2.1</v>
      </c>
    </row>
    <row r="1239" customFormat="false" ht="15" hidden="false" customHeight="false" outlineLevel="0" collapsed="false">
      <c r="A1239" s="0" t="s">
        <v>3209</v>
      </c>
      <c r="B1239" s="0" t="s">
        <v>3210</v>
      </c>
      <c r="C1239" s="0" t="n">
        <v>3.75</v>
      </c>
    </row>
    <row r="1240" customFormat="false" ht="15" hidden="false" customHeight="false" outlineLevel="0" collapsed="false">
      <c r="A1240" s="0" t="s">
        <v>3211</v>
      </c>
      <c r="B1240" s="0" t="s">
        <v>3212</v>
      </c>
      <c r="C1240" s="0" t="n">
        <v>4.95</v>
      </c>
    </row>
    <row r="1241" customFormat="false" ht="15" hidden="false" customHeight="false" outlineLevel="0" collapsed="false">
      <c r="A1241" s="0" t="s">
        <v>3213</v>
      </c>
      <c r="B1241" s="0" t="s">
        <v>3214</v>
      </c>
      <c r="C1241" s="0" t="n">
        <v>4.65</v>
      </c>
    </row>
    <row r="1242" customFormat="false" ht="15" hidden="false" customHeight="false" outlineLevel="0" collapsed="false">
      <c r="A1242" s="0" t="s">
        <v>3215</v>
      </c>
      <c r="B1242" s="0" t="s">
        <v>3216</v>
      </c>
      <c r="C1242" s="0" t="n">
        <v>3.75</v>
      </c>
    </row>
    <row r="1243" customFormat="false" ht="15" hidden="false" customHeight="false" outlineLevel="0" collapsed="false">
      <c r="A1243" s="0" t="s">
        <v>3217</v>
      </c>
      <c r="B1243" s="0" t="s">
        <v>3218</v>
      </c>
      <c r="C1243" s="0" t="n">
        <v>14.95</v>
      </c>
    </row>
    <row r="1244" customFormat="false" ht="15" hidden="false" customHeight="false" outlineLevel="0" collapsed="false">
      <c r="A1244" s="0" t="s">
        <v>3219</v>
      </c>
      <c r="B1244" s="0" t="s">
        <v>3220</v>
      </c>
      <c r="C1244" s="0" t="n">
        <v>2.1</v>
      </c>
    </row>
    <row r="1245" customFormat="false" ht="15" hidden="false" customHeight="false" outlineLevel="0" collapsed="false">
      <c r="A1245" s="0" t="s">
        <v>3221</v>
      </c>
      <c r="B1245" s="0" t="s">
        <v>3222</v>
      </c>
      <c r="C1245" s="0" t="n">
        <v>25.49</v>
      </c>
    </row>
    <row r="1246" customFormat="false" ht="15" hidden="false" customHeight="false" outlineLevel="0" collapsed="false">
      <c r="A1246" s="0" t="s">
        <v>3223</v>
      </c>
      <c r="B1246" s="0" t="s">
        <v>3224</v>
      </c>
      <c r="C1246" s="0" t="n">
        <v>2.55</v>
      </c>
    </row>
    <row r="1247" customFormat="false" ht="15" hidden="false" customHeight="false" outlineLevel="0" collapsed="false">
      <c r="A1247" s="0" t="s">
        <v>3225</v>
      </c>
      <c r="B1247" s="0" t="s">
        <v>3226</v>
      </c>
      <c r="C1247" s="0" t="n">
        <v>13</v>
      </c>
    </row>
    <row r="1248" customFormat="false" ht="15" hidden="false" customHeight="false" outlineLevel="0" collapsed="false">
      <c r="A1248" s="0" t="s">
        <v>3227</v>
      </c>
      <c r="B1248" s="0" t="s">
        <v>3228</v>
      </c>
      <c r="C1248" s="0" t="n">
        <v>1.95</v>
      </c>
    </row>
    <row r="1249" customFormat="false" ht="15" hidden="false" customHeight="false" outlineLevel="0" collapsed="false">
      <c r="A1249" s="0" t="s">
        <v>3229</v>
      </c>
      <c r="B1249" s="0" t="s">
        <v>3230</v>
      </c>
      <c r="C1249" s="0" t="n">
        <v>4.25</v>
      </c>
    </row>
    <row r="1250" customFormat="false" ht="15" hidden="false" customHeight="false" outlineLevel="0" collapsed="false">
      <c r="A1250" s="0" t="s">
        <v>3231</v>
      </c>
      <c r="B1250" s="0" t="s">
        <v>3232</v>
      </c>
      <c r="C1250" s="0" t="n">
        <v>3.75</v>
      </c>
    </row>
    <row r="1251" customFormat="false" ht="15" hidden="false" customHeight="false" outlineLevel="0" collapsed="false">
      <c r="A1251" s="0" t="s">
        <v>3233</v>
      </c>
      <c r="B1251" s="0" t="s">
        <v>3234</v>
      </c>
      <c r="C1251" s="0" t="n">
        <v>2.95</v>
      </c>
    </row>
    <row r="1252" customFormat="false" ht="15" hidden="false" customHeight="false" outlineLevel="0" collapsed="false">
      <c r="A1252" s="0" t="s">
        <v>3235</v>
      </c>
      <c r="B1252" s="0" t="s">
        <v>3236</v>
      </c>
      <c r="C1252" s="0" t="n">
        <v>2.55</v>
      </c>
    </row>
    <row r="1253" customFormat="false" ht="15" hidden="false" customHeight="false" outlineLevel="0" collapsed="false">
      <c r="A1253" s="0" t="s">
        <v>3237</v>
      </c>
      <c r="B1253" s="0" t="s">
        <v>3238</v>
      </c>
      <c r="C1253" s="0" t="n">
        <v>0.65</v>
      </c>
    </row>
    <row r="1254" customFormat="false" ht="15" hidden="false" customHeight="false" outlineLevel="0" collapsed="false">
      <c r="A1254" s="0" t="s">
        <v>3239</v>
      </c>
      <c r="B1254" s="0" t="s">
        <v>605</v>
      </c>
      <c r="C1254" s="0" t="n">
        <v>0.42</v>
      </c>
    </row>
    <row r="1255" customFormat="false" ht="15" hidden="false" customHeight="false" outlineLevel="0" collapsed="false">
      <c r="A1255" s="0" t="s">
        <v>3240</v>
      </c>
      <c r="B1255" s="0" t="s">
        <v>3241</v>
      </c>
      <c r="C1255" s="0" t="n">
        <v>4.65</v>
      </c>
    </row>
    <row r="1256" customFormat="false" ht="15" hidden="false" customHeight="false" outlineLevel="0" collapsed="false">
      <c r="A1256" s="0" t="s">
        <v>3242</v>
      </c>
      <c r="B1256" s="0" t="s">
        <v>3243</v>
      </c>
      <c r="C1256" s="0" t="n">
        <v>4.25</v>
      </c>
    </row>
    <row r="1257" customFormat="false" ht="15" hidden="false" customHeight="false" outlineLevel="0" collapsed="false">
      <c r="A1257" s="0" t="s">
        <v>3244</v>
      </c>
      <c r="B1257" s="0" t="s">
        <v>3245</v>
      </c>
      <c r="C1257" s="0" t="n">
        <v>4.25</v>
      </c>
    </row>
    <row r="1258" customFormat="false" ht="15" hidden="false" customHeight="false" outlineLevel="0" collapsed="false">
      <c r="A1258" s="0" t="s">
        <v>3246</v>
      </c>
      <c r="B1258" s="0" t="s">
        <v>3247</v>
      </c>
      <c r="C1258" s="0" t="n">
        <v>1.25</v>
      </c>
    </row>
    <row r="1259" customFormat="false" ht="15" hidden="false" customHeight="false" outlineLevel="0" collapsed="false">
      <c r="A1259" s="0" t="s">
        <v>3248</v>
      </c>
      <c r="B1259" s="0" t="s">
        <v>3249</v>
      </c>
      <c r="C1259" s="0" t="n">
        <v>7.95</v>
      </c>
    </row>
    <row r="1260" customFormat="false" ht="15" hidden="false" customHeight="false" outlineLevel="0" collapsed="false">
      <c r="A1260" s="0" t="s">
        <v>3250</v>
      </c>
      <c r="B1260" s="0" t="s">
        <v>286</v>
      </c>
      <c r="C1260" s="0" t="n">
        <v>0.85</v>
      </c>
    </row>
    <row r="1261" customFormat="false" ht="15" hidden="false" customHeight="false" outlineLevel="0" collapsed="false">
      <c r="A1261" s="0" t="s">
        <v>3251</v>
      </c>
      <c r="B1261" s="0" t="s">
        <v>609</v>
      </c>
      <c r="C1261" s="0" t="n">
        <v>1.95</v>
      </c>
    </row>
    <row r="1262" customFormat="false" ht="15" hidden="false" customHeight="false" outlineLevel="0" collapsed="false">
      <c r="A1262" s="0" t="s">
        <v>3252</v>
      </c>
      <c r="B1262" s="0" t="s">
        <v>3253</v>
      </c>
      <c r="C1262" s="0" t="n">
        <v>11.26</v>
      </c>
    </row>
    <row r="1263" customFormat="false" ht="15" hidden="false" customHeight="false" outlineLevel="0" collapsed="false">
      <c r="A1263" s="0" t="s">
        <v>3254</v>
      </c>
      <c r="B1263" s="0" t="s">
        <v>3255</v>
      </c>
      <c r="C1263" s="0" t="n">
        <v>1.95</v>
      </c>
    </row>
    <row r="1264" customFormat="false" ht="15" hidden="false" customHeight="false" outlineLevel="0" collapsed="false">
      <c r="A1264" s="0" t="s">
        <v>3256</v>
      </c>
      <c r="B1264" s="0" t="s">
        <v>3257</v>
      </c>
      <c r="C1264" s="0" t="n">
        <v>10.65</v>
      </c>
    </row>
    <row r="1265" customFormat="false" ht="15" hidden="false" customHeight="false" outlineLevel="0" collapsed="false">
      <c r="A1265" s="0" t="s">
        <v>3258</v>
      </c>
      <c r="B1265" s="0" t="s">
        <v>3259</v>
      </c>
      <c r="C1265" s="0" t="n">
        <v>1.25</v>
      </c>
    </row>
    <row r="1266" customFormat="false" ht="15" hidden="false" customHeight="false" outlineLevel="0" collapsed="false">
      <c r="A1266" s="0" t="s">
        <v>3260</v>
      </c>
      <c r="B1266" s="0" t="s">
        <v>3261</v>
      </c>
      <c r="C1266" s="0" t="n">
        <v>6.75</v>
      </c>
    </row>
    <row r="1267" customFormat="false" ht="15" hidden="false" customHeight="false" outlineLevel="0" collapsed="false">
      <c r="A1267" s="0" t="s">
        <v>3262</v>
      </c>
      <c r="B1267" s="0" t="s">
        <v>3263</v>
      </c>
      <c r="C1267" s="0" t="n">
        <v>4.65</v>
      </c>
    </row>
    <row r="1268" customFormat="false" ht="15" hidden="false" customHeight="false" outlineLevel="0" collapsed="false">
      <c r="A1268" s="0" t="s">
        <v>3264</v>
      </c>
      <c r="B1268" s="0" t="s">
        <v>3265</v>
      </c>
      <c r="C1268" s="0" t="n">
        <v>1.65</v>
      </c>
    </row>
    <row r="1269" customFormat="false" ht="15" hidden="false" customHeight="false" outlineLevel="0" collapsed="false">
      <c r="A1269" s="0" t="s">
        <v>3266</v>
      </c>
      <c r="B1269" s="0" t="s">
        <v>3267</v>
      </c>
      <c r="C1269" s="0" t="n">
        <v>0.85</v>
      </c>
    </row>
    <row r="1270" customFormat="false" ht="15" hidden="false" customHeight="false" outlineLevel="0" collapsed="false">
      <c r="A1270" s="0" t="s">
        <v>3268</v>
      </c>
      <c r="B1270" s="0" t="s">
        <v>3269</v>
      </c>
      <c r="C1270" s="0" t="n">
        <v>0.85</v>
      </c>
    </row>
    <row r="1271" customFormat="false" ht="15" hidden="false" customHeight="false" outlineLevel="0" collapsed="false">
      <c r="A1271" s="0" t="s">
        <v>3270</v>
      </c>
      <c r="B1271" s="0" t="s">
        <v>3271</v>
      </c>
      <c r="C1271" s="0" t="n">
        <v>0.85</v>
      </c>
    </row>
    <row r="1272" customFormat="false" ht="15" hidden="false" customHeight="false" outlineLevel="0" collapsed="false">
      <c r="A1272" s="0" t="s">
        <v>3272</v>
      </c>
      <c r="B1272" s="0" t="s">
        <v>3273</v>
      </c>
      <c r="C1272" s="0" t="n">
        <v>0.18</v>
      </c>
    </row>
    <row r="1273" customFormat="false" ht="15" hidden="false" customHeight="false" outlineLevel="0" collapsed="false">
      <c r="A1273" s="0" t="s">
        <v>3274</v>
      </c>
      <c r="B1273" s="0" t="s">
        <v>3275</v>
      </c>
      <c r="C1273" s="0" t="n">
        <v>1.25</v>
      </c>
    </row>
    <row r="1274" customFormat="false" ht="15" hidden="false" customHeight="false" outlineLevel="0" collapsed="false">
      <c r="A1274" s="0" t="s">
        <v>3276</v>
      </c>
      <c r="B1274" s="0" t="s">
        <v>3277</v>
      </c>
      <c r="C1274" s="0" t="n">
        <v>1.25</v>
      </c>
    </row>
    <row r="1275" customFormat="false" ht="15" hidden="false" customHeight="false" outlineLevel="0" collapsed="false">
      <c r="A1275" s="0" t="s">
        <v>3278</v>
      </c>
      <c r="B1275" s="0" t="s">
        <v>3279</v>
      </c>
      <c r="C1275" s="0" t="n">
        <v>0.38</v>
      </c>
    </row>
    <row r="1276" customFormat="false" ht="15" hidden="false" customHeight="false" outlineLevel="0" collapsed="false">
      <c r="A1276" s="0" t="s">
        <v>3280</v>
      </c>
      <c r="B1276" s="0" t="s">
        <v>3281</v>
      </c>
      <c r="C1276" s="0" t="n">
        <v>2.51</v>
      </c>
    </row>
    <row r="1277" customFormat="false" ht="15" hidden="false" customHeight="false" outlineLevel="0" collapsed="false">
      <c r="A1277" s="0" t="s">
        <v>3282</v>
      </c>
      <c r="B1277" s="0" t="s">
        <v>3283</v>
      </c>
      <c r="C1277" s="0" t="n">
        <v>1.25</v>
      </c>
    </row>
    <row r="1278" customFormat="false" ht="15" hidden="false" customHeight="false" outlineLevel="0" collapsed="false">
      <c r="A1278" s="0" t="s">
        <v>3284</v>
      </c>
      <c r="B1278" s="0" t="s">
        <v>3285</v>
      </c>
      <c r="C1278" s="0" t="n">
        <v>5.91</v>
      </c>
    </row>
    <row r="1279" customFormat="false" ht="15" hidden="false" customHeight="false" outlineLevel="0" collapsed="false">
      <c r="A1279" s="0" t="s">
        <v>3286</v>
      </c>
      <c r="B1279" s="0" t="s">
        <v>3287</v>
      </c>
      <c r="C1279" s="0" t="n">
        <v>5.17</v>
      </c>
    </row>
    <row r="1280" customFormat="false" ht="15" hidden="false" customHeight="false" outlineLevel="0" collapsed="false">
      <c r="A1280" s="0" t="s">
        <v>3288</v>
      </c>
      <c r="B1280" s="0" t="s">
        <v>3289</v>
      </c>
      <c r="C1280" s="0" t="n">
        <v>5.06</v>
      </c>
    </row>
    <row r="1281" customFormat="false" ht="15" hidden="false" customHeight="false" outlineLevel="0" collapsed="false">
      <c r="A1281" s="0" t="s">
        <v>3290</v>
      </c>
      <c r="B1281" s="0" t="s">
        <v>3291</v>
      </c>
      <c r="C1281" s="0" t="n">
        <v>0.65</v>
      </c>
    </row>
    <row r="1282" customFormat="false" ht="15" hidden="false" customHeight="false" outlineLevel="0" collapsed="false">
      <c r="A1282" s="0" t="s">
        <v>3292</v>
      </c>
      <c r="B1282" s="0" t="s">
        <v>3293</v>
      </c>
      <c r="C1282" s="0" t="n">
        <v>1.69</v>
      </c>
    </row>
    <row r="1283" customFormat="false" ht="15" hidden="false" customHeight="false" outlineLevel="0" collapsed="false">
      <c r="A1283" s="0" t="s">
        <v>3294</v>
      </c>
      <c r="B1283" s="0" t="s">
        <v>3295</v>
      </c>
      <c r="C1283" s="0" t="n">
        <v>1.95</v>
      </c>
    </row>
    <row r="1284" customFormat="false" ht="15" hidden="false" customHeight="false" outlineLevel="0" collapsed="false">
      <c r="A1284" s="0" t="s">
        <v>3296</v>
      </c>
      <c r="B1284" s="0" t="s">
        <v>3297</v>
      </c>
      <c r="C1284" s="0" t="n">
        <v>1.95</v>
      </c>
    </row>
    <row r="1285" customFormat="false" ht="15" hidden="false" customHeight="false" outlineLevel="0" collapsed="false">
      <c r="A1285" s="0" t="s">
        <v>3298</v>
      </c>
      <c r="B1285" s="0" t="s">
        <v>3299</v>
      </c>
      <c r="C1285" s="0" t="n">
        <v>1.95</v>
      </c>
    </row>
    <row r="1286" customFormat="false" ht="15" hidden="false" customHeight="false" outlineLevel="0" collapsed="false">
      <c r="A1286" s="0" t="s">
        <v>3300</v>
      </c>
      <c r="B1286" s="0" t="s">
        <v>3301</v>
      </c>
      <c r="C1286" s="0" t="n">
        <v>5.95</v>
      </c>
    </row>
    <row r="1287" customFormat="false" ht="15" hidden="false" customHeight="false" outlineLevel="0" collapsed="false">
      <c r="A1287" s="0" t="s">
        <v>3302</v>
      </c>
      <c r="B1287" s="0" t="s">
        <v>3303</v>
      </c>
      <c r="C1287" s="0" t="n">
        <v>5.95</v>
      </c>
    </row>
    <row r="1288" customFormat="false" ht="15" hidden="false" customHeight="false" outlineLevel="0" collapsed="false">
      <c r="A1288" s="0" t="s">
        <v>3304</v>
      </c>
      <c r="B1288" s="0" t="s">
        <v>3305</v>
      </c>
      <c r="C1288" s="0" t="n">
        <v>5.95</v>
      </c>
    </row>
    <row r="1289" customFormat="false" ht="15" hidden="false" customHeight="false" outlineLevel="0" collapsed="false">
      <c r="A1289" s="0" t="s">
        <v>3306</v>
      </c>
      <c r="B1289" s="0" t="s">
        <v>3307</v>
      </c>
      <c r="C1289" s="0" t="n">
        <v>4.25</v>
      </c>
    </row>
    <row r="1290" customFormat="false" ht="15" hidden="false" customHeight="false" outlineLevel="0" collapsed="false">
      <c r="A1290" s="0" t="s">
        <v>3308</v>
      </c>
      <c r="B1290" s="0" t="s">
        <v>3309</v>
      </c>
      <c r="C1290" s="0" t="n">
        <v>4.25</v>
      </c>
    </row>
    <row r="1291" customFormat="false" ht="15" hidden="false" customHeight="false" outlineLevel="0" collapsed="false">
      <c r="A1291" s="0" t="s">
        <v>3310</v>
      </c>
      <c r="B1291" s="0" t="s">
        <v>3311</v>
      </c>
      <c r="C1291" s="0" t="n">
        <v>3.75</v>
      </c>
    </row>
    <row r="1292" customFormat="false" ht="15" hidden="false" customHeight="false" outlineLevel="0" collapsed="false">
      <c r="A1292" s="0" t="s">
        <v>3312</v>
      </c>
      <c r="B1292" s="0" t="s">
        <v>3313</v>
      </c>
      <c r="C1292" s="0" t="n">
        <v>1.49</v>
      </c>
    </row>
    <row r="1293" customFormat="false" ht="15" hidden="false" customHeight="false" outlineLevel="0" collapsed="false">
      <c r="A1293" s="0" t="s">
        <v>3314</v>
      </c>
      <c r="B1293" s="0" t="s">
        <v>3315</v>
      </c>
      <c r="C1293" s="0" t="n">
        <v>2.95</v>
      </c>
    </row>
    <row r="1294" customFormat="false" ht="15" hidden="false" customHeight="false" outlineLevel="0" collapsed="false">
      <c r="A1294" s="0" t="s">
        <v>3316</v>
      </c>
      <c r="B1294" s="0" t="s">
        <v>3317</v>
      </c>
      <c r="C1294" s="0" t="n">
        <v>3.75</v>
      </c>
    </row>
    <row r="1295" customFormat="false" ht="15" hidden="false" customHeight="false" outlineLevel="0" collapsed="false">
      <c r="A1295" s="0" t="s">
        <v>3318</v>
      </c>
      <c r="B1295" s="0" t="s">
        <v>828</v>
      </c>
      <c r="C1295" s="0" t="n">
        <v>2.55</v>
      </c>
    </row>
    <row r="1296" customFormat="false" ht="15" hidden="false" customHeight="false" outlineLevel="0" collapsed="false">
      <c r="A1296" s="0" t="s">
        <v>3319</v>
      </c>
      <c r="B1296" s="0" t="s">
        <v>3320</v>
      </c>
      <c r="C1296" s="0" t="n">
        <v>0.42</v>
      </c>
    </row>
    <row r="1297" customFormat="false" ht="15" hidden="false" customHeight="false" outlineLevel="0" collapsed="false">
      <c r="A1297" s="0" t="s">
        <v>3321</v>
      </c>
      <c r="B1297" s="0" t="s">
        <v>3322</v>
      </c>
      <c r="C1297" s="0" t="n">
        <v>0.85</v>
      </c>
    </row>
    <row r="1298" customFormat="false" ht="15" hidden="false" customHeight="false" outlineLevel="0" collapsed="false">
      <c r="A1298" s="0" t="s">
        <v>3323</v>
      </c>
      <c r="B1298" s="0" t="s">
        <v>3324</v>
      </c>
      <c r="C1298" s="0" t="n">
        <v>12.75</v>
      </c>
    </row>
    <row r="1299" customFormat="false" ht="15" hidden="false" customHeight="false" outlineLevel="0" collapsed="false">
      <c r="A1299" s="0" t="s">
        <v>3325</v>
      </c>
      <c r="B1299" s="0" t="s">
        <v>3326</v>
      </c>
      <c r="C1299" s="0" t="n">
        <v>0.42</v>
      </c>
    </row>
    <row r="1300" customFormat="false" ht="15" hidden="false" customHeight="false" outlineLevel="0" collapsed="false">
      <c r="A1300" s="0" t="s">
        <v>3327</v>
      </c>
      <c r="B1300" s="0" t="s">
        <v>767</v>
      </c>
      <c r="C1300" s="0" t="n">
        <v>0.65</v>
      </c>
    </row>
    <row r="1301" customFormat="false" ht="15" hidden="false" customHeight="false" outlineLevel="0" collapsed="false">
      <c r="A1301" s="0" t="s">
        <v>3328</v>
      </c>
      <c r="B1301" s="0" t="s">
        <v>3329</v>
      </c>
      <c r="C1301" s="0" t="n">
        <v>0.42</v>
      </c>
    </row>
    <row r="1302" customFormat="false" ht="15" hidden="false" customHeight="false" outlineLevel="0" collapsed="false">
      <c r="A1302" s="0" t="s">
        <v>3330</v>
      </c>
      <c r="B1302" s="0" t="s">
        <v>3331</v>
      </c>
      <c r="C1302" s="0" t="n">
        <v>1.25</v>
      </c>
    </row>
    <row r="1303" customFormat="false" ht="15" hidden="false" customHeight="false" outlineLevel="0" collapsed="false">
      <c r="A1303" s="0" t="s">
        <v>3332</v>
      </c>
      <c r="B1303" s="0" t="s">
        <v>3333</v>
      </c>
      <c r="C1303" s="0" t="n">
        <v>5.95</v>
      </c>
    </row>
    <row r="1304" customFormat="false" ht="15" hidden="false" customHeight="false" outlineLevel="0" collapsed="false">
      <c r="A1304" s="0" t="s">
        <v>3334</v>
      </c>
      <c r="B1304" s="0" t="s">
        <v>3335</v>
      </c>
      <c r="C1304" s="0" t="n">
        <v>5.95</v>
      </c>
    </row>
    <row r="1305" customFormat="false" ht="15" hidden="false" customHeight="false" outlineLevel="0" collapsed="false">
      <c r="A1305" s="0" t="s">
        <v>3336</v>
      </c>
      <c r="B1305" s="0" t="s">
        <v>3337</v>
      </c>
      <c r="C1305" s="0" t="n">
        <v>8.95</v>
      </c>
    </row>
    <row r="1306" customFormat="false" ht="15" hidden="false" customHeight="false" outlineLevel="0" collapsed="false">
      <c r="A1306" s="0" t="s">
        <v>3338</v>
      </c>
      <c r="B1306" s="0" t="s">
        <v>3339</v>
      </c>
      <c r="C1306" s="0" t="n">
        <v>1.25</v>
      </c>
    </row>
    <row r="1307" customFormat="false" ht="15" hidden="false" customHeight="false" outlineLevel="0" collapsed="false">
      <c r="A1307" s="0" t="s">
        <v>3340</v>
      </c>
      <c r="B1307" s="0" t="s">
        <v>3341</v>
      </c>
      <c r="C1307" s="0" t="n">
        <v>2.55</v>
      </c>
    </row>
    <row r="1308" customFormat="false" ht="15" hidden="false" customHeight="false" outlineLevel="0" collapsed="false">
      <c r="A1308" s="0" t="s">
        <v>3342</v>
      </c>
      <c r="B1308" s="0" t="s">
        <v>3343</v>
      </c>
      <c r="C1308" s="0" t="n">
        <v>1.25</v>
      </c>
    </row>
    <row r="1309" customFormat="false" ht="15" hidden="false" customHeight="false" outlineLevel="0" collapsed="false">
      <c r="A1309" s="0" t="s">
        <v>3344</v>
      </c>
      <c r="B1309" s="0" t="s">
        <v>3345</v>
      </c>
      <c r="C1309" s="0" t="n">
        <v>0.43</v>
      </c>
    </row>
    <row r="1310" customFormat="false" ht="15" hidden="false" customHeight="false" outlineLevel="0" collapsed="false">
      <c r="A1310" s="0" t="s">
        <v>3346</v>
      </c>
      <c r="B1310" s="0" t="s">
        <v>3347</v>
      </c>
      <c r="C1310" s="0" t="n">
        <v>1.69</v>
      </c>
    </row>
    <row r="1311" customFormat="false" ht="15" hidden="false" customHeight="false" outlineLevel="0" collapsed="false">
      <c r="A1311" s="0" t="s">
        <v>3348</v>
      </c>
      <c r="B1311" s="0" t="s">
        <v>211</v>
      </c>
      <c r="C1311" s="0" t="n">
        <v>1.95</v>
      </c>
    </row>
    <row r="1312" customFormat="false" ht="15" hidden="false" customHeight="false" outlineLevel="0" collapsed="false">
      <c r="A1312" s="0" t="s">
        <v>3349</v>
      </c>
      <c r="B1312" s="0" t="s">
        <v>416</v>
      </c>
      <c r="C1312" s="0" t="n">
        <v>8.5</v>
      </c>
    </row>
    <row r="1313" customFormat="false" ht="15" hidden="false" customHeight="false" outlineLevel="0" collapsed="false">
      <c r="A1313" s="0" t="s">
        <v>3350</v>
      </c>
      <c r="B1313" s="0" t="s">
        <v>834</v>
      </c>
      <c r="C1313" s="0" t="n">
        <v>9.95</v>
      </c>
    </row>
    <row r="1314" customFormat="false" ht="15" hidden="false" customHeight="false" outlineLevel="0" collapsed="false">
      <c r="A1314" s="0" t="s">
        <v>3351</v>
      </c>
      <c r="B1314" s="0" t="s">
        <v>3352</v>
      </c>
      <c r="C1314" s="0" t="n">
        <v>0.29</v>
      </c>
    </row>
    <row r="1315" customFormat="false" ht="15" hidden="false" customHeight="false" outlineLevel="0" collapsed="false">
      <c r="A1315" s="0" t="s">
        <v>3353</v>
      </c>
      <c r="B1315" s="0" t="s">
        <v>880</v>
      </c>
      <c r="C1315" s="0" t="n">
        <v>0.42</v>
      </c>
    </row>
    <row r="1316" customFormat="false" ht="15" hidden="false" customHeight="false" outlineLevel="0" collapsed="false">
      <c r="A1316" s="0" t="s">
        <v>3354</v>
      </c>
      <c r="B1316" s="0" t="s">
        <v>898</v>
      </c>
      <c r="C1316" s="0" t="n">
        <v>0.42</v>
      </c>
    </row>
    <row r="1317" customFormat="false" ht="15" hidden="false" customHeight="false" outlineLevel="0" collapsed="false">
      <c r="A1317" s="0" t="s">
        <v>3355</v>
      </c>
      <c r="B1317" s="0" t="s">
        <v>3356</v>
      </c>
      <c r="C1317" s="0" t="n">
        <v>2.1</v>
      </c>
    </row>
    <row r="1318" customFormat="false" ht="15" hidden="false" customHeight="false" outlineLevel="0" collapsed="false">
      <c r="A1318" s="0" t="s">
        <v>3357</v>
      </c>
      <c r="B1318" s="0" t="s">
        <v>3358</v>
      </c>
      <c r="C1318" s="0" t="n">
        <v>19.95</v>
      </c>
    </row>
    <row r="1319" customFormat="false" ht="15" hidden="false" customHeight="false" outlineLevel="0" collapsed="false">
      <c r="A1319" s="0" t="s">
        <v>3359</v>
      </c>
      <c r="B1319" s="0" t="s">
        <v>3360</v>
      </c>
      <c r="C1319" s="0" t="n">
        <v>0.42</v>
      </c>
    </row>
    <row r="1320" customFormat="false" ht="15" hidden="false" customHeight="false" outlineLevel="0" collapsed="false">
      <c r="A1320" s="0" t="s">
        <v>3361</v>
      </c>
      <c r="B1320" s="0" t="s">
        <v>224</v>
      </c>
      <c r="C1320" s="0" t="n">
        <v>2.95</v>
      </c>
    </row>
    <row r="1321" customFormat="false" ht="15" hidden="false" customHeight="false" outlineLevel="0" collapsed="false">
      <c r="A1321" s="0" t="s">
        <v>3362</v>
      </c>
      <c r="B1321" s="0" t="s">
        <v>3363</v>
      </c>
      <c r="C1321" s="0" t="n">
        <v>1.25</v>
      </c>
    </row>
    <row r="1322" customFormat="false" ht="15" hidden="false" customHeight="false" outlineLevel="0" collapsed="false">
      <c r="A1322" s="0" t="s">
        <v>3364</v>
      </c>
      <c r="B1322" s="0" t="s">
        <v>3365</v>
      </c>
      <c r="C1322" s="0" t="n">
        <v>1.25</v>
      </c>
    </row>
    <row r="1323" customFormat="false" ht="15" hidden="false" customHeight="false" outlineLevel="0" collapsed="false">
      <c r="A1323" s="0" t="s">
        <v>3366</v>
      </c>
      <c r="B1323" s="0" t="s">
        <v>3367</v>
      </c>
      <c r="C1323" s="0" t="n">
        <v>2.95</v>
      </c>
    </row>
    <row r="1324" customFormat="false" ht="15" hidden="false" customHeight="false" outlineLevel="0" collapsed="false">
      <c r="A1324" s="0" t="s">
        <v>3368</v>
      </c>
      <c r="B1324" s="0" t="s">
        <v>3369</v>
      </c>
      <c r="C1324" s="0" t="n">
        <v>0.85</v>
      </c>
    </row>
    <row r="1325" customFormat="false" ht="15" hidden="false" customHeight="false" outlineLevel="0" collapsed="false">
      <c r="A1325" s="0" t="s">
        <v>3370</v>
      </c>
      <c r="B1325" s="0" t="s">
        <v>604</v>
      </c>
      <c r="C1325" s="0" t="n">
        <v>0.85</v>
      </c>
    </row>
    <row r="1326" customFormat="false" ht="15" hidden="false" customHeight="false" outlineLevel="0" collapsed="false">
      <c r="A1326" s="0" t="s">
        <v>3371</v>
      </c>
      <c r="B1326" s="0" t="s">
        <v>90</v>
      </c>
      <c r="C1326" s="0" t="n">
        <v>0.85</v>
      </c>
    </row>
    <row r="1327" customFormat="false" ht="15" hidden="false" customHeight="false" outlineLevel="0" collapsed="false">
      <c r="A1327" s="0" t="s">
        <v>3372</v>
      </c>
      <c r="B1327" s="0" t="s">
        <v>3373</v>
      </c>
      <c r="C1327" s="0" t="n">
        <v>0.85</v>
      </c>
    </row>
    <row r="1328" customFormat="false" ht="15" hidden="false" customHeight="false" outlineLevel="0" collapsed="false">
      <c r="A1328" s="0" t="s">
        <v>3374</v>
      </c>
      <c r="B1328" s="0" t="s">
        <v>3375</v>
      </c>
      <c r="C1328" s="0" t="n">
        <v>0.85</v>
      </c>
    </row>
    <row r="1329" customFormat="false" ht="15" hidden="false" customHeight="false" outlineLevel="0" collapsed="false">
      <c r="A1329" s="0" t="s">
        <v>3376</v>
      </c>
      <c r="B1329" s="0" t="s">
        <v>3377</v>
      </c>
      <c r="C1329" s="0" t="n">
        <v>0.85</v>
      </c>
    </row>
    <row r="1330" customFormat="false" ht="15" hidden="false" customHeight="false" outlineLevel="0" collapsed="false">
      <c r="A1330" s="0" t="s">
        <v>3378</v>
      </c>
      <c r="B1330" s="0" t="s">
        <v>3379</v>
      </c>
      <c r="C1330" s="0" t="n">
        <v>0.85</v>
      </c>
    </row>
    <row r="1331" customFormat="false" ht="15" hidden="false" customHeight="false" outlineLevel="0" collapsed="false">
      <c r="A1331" s="0" t="s">
        <v>3380</v>
      </c>
      <c r="B1331" s="0" t="s">
        <v>3381</v>
      </c>
      <c r="C1331" s="0" t="n">
        <v>1.25</v>
      </c>
    </row>
    <row r="1332" customFormat="false" ht="15" hidden="false" customHeight="false" outlineLevel="0" collapsed="false">
      <c r="A1332" s="0" t="s">
        <v>3382</v>
      </c>
      <c r="B1332" s="0" t="s">
        <v>3383</v>
      </c>
      <c r="C1332" s="0" t="n">
        <v>1.25</v>
      </c>
    </row>
    <row r="1333" customFormat="false" ht="15" hidden="false" customHeight="false" outlineLevel="0" collapsed="false">
      <c r="A1333" s="0" t="s">
        <v>3384</v>
      </c>
      <c r="B1333" s="0" t="s">
        <v>3385</v>
      </c>
      <c r="C1333" s="0" t="n">
        <v>1.25</v>
      </c>
    </row>
    <row r="1334" customFormat="false" ht="15" hidden="false" customHeight="false" outlineLevel="0" collapsed="false">
      <c r="A1334" s="0" t="s">
        <v>3386</v>
      </c>
      <c r="B1334" s="0" t="s">
        <v>3387</v>
      </c>
      <c r="C1334" s="0" t="n">
        <v>1.25</v>
      </c>
    </row>
    <row r="1335" customFormat="false" ht="15" hidden="false" customHeight="false" outlineLevel="0" collapsed="false">
      <c r="A1335" s="0" t="s">
        <v>3388</v>
      </c>
      <c r="B1335" s="0" t="s">
        <v>3389</v>
      </c>
      <c r="C1335" s="0" t="n">
        <v>0.85</v>
      </c>
    </row>
    <row r="1336" customFormat="false" ht="15" hidden="false" customHeight="false" outlineLevel="0" collapsed="false">
      <c r="A1336" s="0" t="s">
        <v>3390</v>
      </c>
      <c r="B1336" s="0" t="s">
        <v>3391</v>
      </c>
      <c r="C1336" s="0" t="n">
        <v>1.25</v>
      </c>
    </row>
    <row r="1337" customFormat="false" ht="15" hidden="false" customHeight="false" outlineLevel="0" collapsed="false">
      <c r="A1337" s="0" t="s">
        <v>3392</v>
      </c>
      <c r="B1337" s="0" t="s">
        <v>3393</v>
      </c>
      <c r="C1337" s="0" t="n">
        <v>0.85</v>
      </c>
    </row>
    <row r="1338" customFormat="false" ht="15" hidden="false" customHeight="false" outlineLevel="0" collapsed="false">
      <c r="A1338" s="0" t="s">
        <v>3394</v>
      </c>
      <c r="B1338" s="0" t="s">
        <v>3395</v>
      </c>
      <c r="C1338" s="0" t="n">
        <v>2.1</v>
      </c>
    </row>
    <row r="1339" customFormat="false" ht="15" hidden="false" customHeight="false" outlineLevel="0" collapsed="false">
      <c r="A1339" s="0" t="s">
        <v>3396</v>
      </c>
      <c r="B1339" s="0" t="s">
        <v>3397</v>
      </c>
      <c r="C1339" s="0" t="n">
        <v>1.45</v>
      </c>
    </row>
    <row r="1340" customFormat="false" ht="15" hidden="false" customHeight="false" outlineLevel="0" collapsed="false">
      <c r="A1340" s="0" t="s">
        <v>3398</v>
      </c>
      <c r="B1340" s="0" t="s">
        <v>502</v>
      </c>
      <c r="C1340" s="0" t="n">
        <v>4.25</v>
      </c>
    </row>
    <row r="1341" customFormat="false" ht="15" hidden="false" customHeight="false" outlineLevel="0" collapsed="false">
      <c r="A1341" s="0" t="s">
        <v>3399</v>
      </c>
      <c r="B1341" s="0" t="s">
        <v>3400</v>
      </c>
      <c r="C1341" s="0" t="n">
        <v>3.75</v>
      </c>
    </row>
    <row r="1342" customFormat="false" ht="15" hidden="false" customHeight="false" outlineLevel="0" collapsed="false">
      <c r="A1342" s="0" t="s">
        <v>3401</v>
      </c>
      <c r="B1342" s="0" t="s">
        <v>3402</v>
      </c>
      <c r="C1342" s="0" t="n">
        <v>3.75</v>
      </c>
    </row>
    <row r="1343" customFormat="false" ht="15" hidden="false" customHeight="false" outlineLevel="0" collapsed="false">
      <c r="A1343" s="0" t="s">
        <v>3403</v>
      </c>
      <c r="B1343" s="0" t="s">
        <v>3404</v>
      </c>
      <c r="C1343" s="0" t="n">
        <v>3.75</v>
      </c>
    </row>
    <row r="1344" customFormat="false" ht="15" hidden="false" customHeight="false" outlineLevel="0" collapsed="false">
      <c r="A1344" s="0" t="s">
        <v>3405</v>
      </c>
      <c r="B1344" s="0" t="s">
        <v>3406</v>
      </c>
      <c r="C1344" s="0" t="n">
        <v>2.95</v>
      </c>
    </row>
    <row r="1345" customFormat="false" ht="15" hidden="false" customHeight="false" outlineLevel="0" collapsed="false">
      <c r="A1345" s="0" t="s">
        <v>3407</v>
      </c>
      <c r="B1345" s="0" t="s">
        <v>3408</v>
      </c>
      <c r="C1345" s="0" t="n">
        <v>2.95</v>
      </c>
    </row>
    <row r="1346" customFormat="false" ht="15" hidden="false" customHeight="false" outlineLevel="0" collapsed="false">
      <c r="A1346" s="0" t="s">
        <v>3409</v>
      </c>
      <c r="B1346" s="0" t="s">
        <v>3410</v>
      </c>
      <c r="C1346" s="0" t="n">
        <v>2.95</v>
      </c>
    </row>
    <row r="1347" customFormat="false" ht="15" hidden="false" customHeight="false" outlineLevel="0" collapsed="false">
      <c r="A1347" s="0" t="s">
        <v>3411</v>
      </c>
      <c r="B1347" s="0" t="s">
        <v>3412</v>
      </c>
      <c r="C1347" s="0" t="n">
        <v>2.95</v>
      </c>
    </row>
    <row r="1348" customFormat="false" ht="15" hidden="false" customHeight="false" outlineLevel="0" collapsed="false">
      <c r="A1348" s="0" t="s">
        <v>3413</v>
      </c>
      <c r="B1348" s="0" t="s">
        <v>3414</v>
      </c>
      <c r="C1348" s="0" t="n">
        <v>0.85</v>
      </c>
    </row>
    <row r="1349" customFormat="false" ht="15" hidden="false" customHeight="false" outlineLevel="0" collapsed="false">
      <c r="A1349" s="0" t="s">
        <v>3415</v>
      </c>
      <c r="B1349" s="0" t="s">
        <v>3416</v>
      </c>
      <c r="C1349" s="0" t="n">
        <v>0.85</v>
      </c>
    </row>
    <row r="1350" customFormat="false" ht="15" hidden="false" customHeight="false" outlineLevel="0" collapsed="false">
      <c r="A1350" s="0" t="s">
        <v>3417</v>
      </c>
      <c r="B1350" s="0" t="s">
        <v>3418</v>
      </c>
      <c r="C1350" s="0" t="n">
        <v>0.85</v>
      </c>
    </row>
    <row r="1351" customFormat="false" ht="15" hidden="false" customHeight="false" outlineLevel="0" collapsed="false">
      <c r="A1351" s="0" t="s">
        <v>3419</v>
      </c>
      <c r="B1351" s="0" t="s">
        <v>3420</v>
      </c>
      <c r="C1351" s="0" t="n">
        <v>0.85</v>
      </c>
    </row>
    <row r="1352" customFormat="false" ht="15" hidden="false" customHeight="false" outlineLevel="0" collapsed="false">
      <c r="A1352" s="0" t="s">
        <v>3421</v>
      </c>
      <c r="B1352" s="0" t="s">
        <v>49</v>
      </c>
      <c r="C1352" s="0" t="n">
        <v>3.75</v>
      </c>
    </row>
    <row r="1353" customFormat="false" ht="15" hidden="false" customHeight="false" outlineLevel="0" collapsed="false">
      <c r="A1353" s="0" t="s">
        <v>3422</v>
      </c>
      <c r="B1353" s="0" t="s">
        <v>503</v>
      </c>
      <c r="C1353" s="0" t="n">
        <v>3.75</v>
      </c>
    </row>
    <row r="1354" customFormat="false" ht="15" hidden="false" customHeight="false" outlineLevel="0" collapsed="false">
      <c r="A1354" s="0" t="s">
        <v>3423</v>
      </c>
      <c r="B1354" s="0" t="s">
        <v>3424</v>
      </c>
      <c r="C1354" s="0" t="n">
        <v>3.75</v>
      </c>
    </row>
    <row r="1355" customFormat="false" ht="15" hidden="false" customHeight="false" outlineLevel="0" collapsed="false">
      <c r="A1355" s="0" t="s">
        <v>3425</v>
      </c>
      <c r="B1355" s="0" t="s">
        <v>865</v>
      </c>
      <c r="C1355" s="0" t="n">
        <v>0.19</v>
      </c>
    </row>
    <row r="1356" customFormat="false" ht="15" hidden="false" customHeight="false" outlineLevel="0" collapsed="false">
      <c r="A1356" s="0" t="s">
        <v>3426</v>
      </c>
      <c r="B1356" s="0" t="s">
        <v>3427</v>
      </c>
      <c r="C1356" s="0" t="n">
        <v>12.75</v>
      </c>
    </row>
    <row r="1357" customFormat="false" ht="15" hidden="false" customHeight="false" outlineLevel="0" collapsed="false">
      <c r="A1357" s="0" t="s">
        <v>3428</v>
      </c>
      <c r="B1357" s="0" t="s">
        <v>3429</v>
      </c>
      <c r="C1357" s="0" t="n">
        <v>4.25</v>
      </c>
    </row>
    <row r="1358" customFormat="false" ht="15" hidden="false" customHeight="false" outlineLevel="0" collapsed="false">
      <c r="A1358" s="0" t="s">
        <v>3430</v>
      </c>
      <c r="B1358" s="0" t="s">
        <v>3431</v>
      </c>
      <c r="C1358" s="0" t="n">
        <v>16.95</v>
      </c>
    </row>
    <row r="1359" customFormat="false" ht="15" hidden="false" customHeight="false" outlineLevel="0" collapsed="false">
      <c r="A1359" s="0" t="s">
        <v>3432</v>
      </c>
      <c r="B1359" s="0" t="s">
        <v>3433</v>
      </c>
      <c r="C1359" s="0" t="n">
        <v>1.25</v>
      </c>
    </row>
    <row r="1360" customFormat="false" ht="15" hidden="false" customHeight="false" outlineLevel="0" collapsed="false">
      <c r="A1360" s="0" t="s">
        <v>3434</v>
      </c>
      <c r="B1360" s="0" t="s">
        <v>3435</v>
      </c>
      <c r="C1360" s="0" t="n">
        <v>7.5</v>
      </c>
    </row>
    <row r="1361" customFormat="false" ht="15" hidden="false" customHeight="false" outlineLevel="0" collapsed="false">
      <c r="A1361" s="0" t="s">
        <v>3436</v>
      </c>
      <c r="B1361" s="0" t="s">
        <v>3437</v>
      </c>
      <c r="C1361" s="0" t="n">
        <v>1.25</v>
      </c>
    </row>
    <row r="1362" customFormat="false" ht="15" hidden="false" customHeight="false" outlineLevel="0" collapsed="false">
      <c r="A1362" s="0" t="s">
        <v>3438</v>
      </c>
      <c r="B1362" s="0" t="s">
        <v>3439</v>
      </c>
      <c r="C1362" s="0" t="n">
        <v>3.81</v>
      </c>
    </row>
    <row r="1363" customFormat="false" ht="15" hidden="false" customHeight="false" outlineLevel="0" collapsed="false">
      <c r="A1363" s="0" t="s">
        <v>3440</v>
      </c>
      <c r="B1363" s="0" t="s">
        <v>3441</v>
      </c>
      <c r="C1363" s="0" t="n">
        <v>3.81</v>
      </c>
    </row>
    <row r="1364" customFormat="false" ht="15" hidden="false" customHeight="false" outlineLevel="0" collapsed="false">
      <c r="A1364" s="0" t="s">
        <v>3442</v>
      </c>
      <c r="B1364" s="0" t="s">
        <v>3443</v>
      </c>
      <c r="C1364" s="0" t="n">
        <v>3.81</v>
      </c>
    </row>
    <row r="1365" customFormat="false" ht="15" hidden="false" customHeight="false" outlineLevel="0" collapsed="false">
      <c r="A1365" s="0" t="s">
        <v>3444</v>
      </c>
      <c r="B1365" s="0" t="s">
        <v>3445</v>
      </c>
      <c r="C1365" s="0" t="n">
        <v>3.75</v>
      </c>
    </row>
    <row r="1366" customFormat="false" ht="15" hidden="false" customHeight="false" outlineLevel="0" collapsed="false">
      <c r="A1366" s="0" t="s">
        <v>3446</v>
      </c>
      <c r="B1366" s="0" t="s">
        <v>3447</v>
      </c>
      <c r="C1366" s="0" t="n">
        <v>5.95</v>
      </c>
    </row>
    <row r="1367" customFormat="false" ht="15" hidden="false" customHeight="false" outlineLevel="0" collapsed="false">
      <c r="A1367" s="0" t="s">
        <v>3448</v>
      </c>
      <c r="B1367" s="0" t="s">
        <v>3449</v>
      </c>
      <c r="C1367" s="0" t="n">
        <v>5.95</v>
      </c>
    </row>
    <row r="1368" customFormat="false" ht="15" hidden="false" customHeight="false" outlineLevel="0" collapsed="false">
      <c r="A1368" s="0" t="s">
        <v>3450</v>
      </c>
      <c r="B1368" s="0" t="s">
        <v>3451</v>
      </c>
      <c r="C1368" s="0" t="n">
        <v>5.95</v>
      </c>
    </row>
    <row r="1369" customFormat="false" ht="15" hidden="false" customHeight="false" outlineLevel="0" collapsed="false">
      <c r="A1369" s="0" t="s">
        <v>3452</v>
      </c>
      <c r="B1369" s="0" t="s">
        <v>3453</v>
      </c>
      <c r="C1369" s="0" t="n">
        <v>5.95</v>
      </c>
    </row>
    <row r="1370" customFormat="false" ht="15" hidden="false" customHeight="false" outlineLevel="0" collapsed="false">
      <c r="A1370" s="0" t="s">
        <v>3454</v>
      </c>
      <c r="B1370" s="0" t="s">
        <v>3455</v>
      </c>
      <c r="C1370" s="0" t="n">
        <v>3.25</v>
      </c>
    </row>
    <row r="1371" customFormat="false" ht="15" hidden="false" customHeight="false" outlineLevel="0" collapsed="false">
      <c r="A1371" s="0" t="s">
        <v>3456</v>
      </c>
      <c r="B1371" s="0" t="s">
        <v>3457</v>
      </c>
      <c r="C1371" s="0" t="n">
        <v>2.95</v>
      </c>
    </row>
    <row r="1372" customFormat="false" ht="15" hidden="false" customHeight="false" outlineLevel="0" collapsed="false">
      <c r="A1372" s="0" t="s">
        <v>3458</v>
      </c>
      <c r="B1372" s="0" t="s">
        <v>3459</v>
      </c>
      <c r="C1372" s="0" t="n">
        <v>1.25</v>
      </c>
    </row>
    <row r="1373" customFormat="false" ht="15" hidden="false" customHeight="false" outlineLevel="0" collapsed="false">
      <c r="A1373" s="0" t="s">
        <v>3460</v>
      </c>
      <c r="B1373" s="0" t="s">
        <v>3461</v>
      </c>
      <c r="C1373" s="0" t="n">
        <v>2.1</v>
      </c>
    </row>
    <row r="1374" customFormat="false" ht="15" hidden="false" customHeight="false" outlineLevel="0" collapsed="false">
      <c r="A1374" s="0" t="s">
        <v>3462</v>
      </c>
      <c r="B1374" s="0" t="s">
        <v>3463</v>
      </c>
      <c r="C1374" s="0" t="n">
        <v>2.95</v>
      </c>
    </row>
    <row r="1375" customFormat="false" ht="15" hidden="false" customHeight="false" outlineLevel="0" collapsed="false">
      <c r="A1375" s="0" t="s">
        <v>3464</v>
      </c>
      <c r="B1375" s="0" t="s">
        <v>3465</v>
      </c>
      <c r="C1375" s="0" t="n">
        <v>2.95</v>
      </c>
    </row>
    <row r="1376" customFormat="false" ht="15" hidden="false" customHeight="false" outlineLevel="0" collapsed="false">
      <c r="A1376" s="0" t="s">
        <v>3466</v>
      </c>
      <c r="B1376" s="0" t="s">
        <v>3467</v>
      </c>
      <c r="C1376" s="0" t="n">
        <v>1.65</v>
      </c>
    </row>
    <row r="1377" customFormat="false" ht="15" hidden="false" customHeight="false" outlineLevel="0" collapsed="false">
      <c r="A1377" s="0" t="s">
        <v>3468</v>
      </c>
      <c r="B1377" s="0" t="s">
        <v>3469</v>
      </c>
      <c r="C1377" s="0" t="n">
        <v>0.42</v>
      </c>
    </row>
    <row r="1378" customFormat="false" ht="15" hidden="false" customHeight="false" outlineLevel="0" collapsed="false">
      <c r="A1378" s="0" t="s">
        <v>3470</v>
      </c>
      <c r="B1378" s="0" t="s">
        <v>3471</v>
      </c>
      <c r="C1378" s="0" t="n">
        <v>5.95</v>
      </c>
    </row>
    <row r="1379" customFormat="false" ht="15" hidden="false" customHeight="false" outlineLevel="0" collapsed="false">
      <c r="A1379" s="0" t="s">
        <v>3472</v>
      </c>
      <c r="B1379" s="0" t="s">
        <v>3473</v>
      </c>
      <c r="C1379" s="0" t="n">
        <v>1.95</v>
      </c>
    </row>
    <row r="1380" customFormat="false" ht="15" hidden="false" customHeight="false" outlineLevel="0" collapsed="false">
      <c r="A1380" s="0" t="s">
        <v>3474</v>
      </c>
      <c r="B1380" s="0" t="s">
        <v>3475</v>
      </c>
      <c r="C1380" s="0" t="n">
        <v>4.95</v>
      </c>
    </row>
    <row r="1381" customFormat="false" ht="15" hidden="false" customHeight="false" outlineLevel="0" collapsed="false">
      <c r="A1381" s="0" t="s">
        <v>3476</v>
      </c>
      <c r="B1381" s="0" t="s">
        <v>3477</v>
      </c>
      <c r="C1381" s="0" t="n">
        <v>0.85</v>
      </c>
    </row>
    <row r="1382" customFormat="false" ht="15" hidden="false" customHeight="false" outlineLevel="0" collapsed="false">
      <c r="A1382" s="0" t="s">
        <v>3478</v>
      </c>
      <c r="B1382" s="0" t="s">
        <v>3479</v>
      </c>
      <c r="C1382" s="0" t="n">
        <v>1.25</v>
      </c>
    </row>
    <row r="1383" customFormat="false" ht="15" hidden="false" customHeight="false" outlineLevel="0" collapsed="false">
      <c r="A1383" s="0" t="s">
        <v>3480</v>
      </c>
      <c r="B1383" s="0" t="s">
        <v>3481</v>
      </c>
      <c r="C1383" s="0" t="n">
        <v>18.68</v>
      </c>
    </row>
    <row r="1384" customFormat="false" ht="15" hidden="false" customHeight="false" outlineLevel="0" collapsed="false">
      <c r="A1384" s="0" t="s">
        <v>3482</v>
      </c>
      <c r="B1384" s="0" t="s">
        <v>3483</v>
      </c>
      <c r="C1384" s="0" t="n">
        <v>9.95</v>
      </c>
    </row>
    <row r="1385" customFormat="false" ht="15" hidden="false" customHeight="false" outlineLevel="0" collapsed="false">
      <c r="A1385" s="0" t="s">
        <v>3484</v>
      </c>
      <c r="B1385" s="0" t="s">
        <v>3485</v>
      </c>
      <c r="C1385" s="0" t="n">
        <v>3.75</v>
      </c>
    </row>
    <row r="1386" customFormat="false" ht="15" hidden="false" customHeight="false" outlineLevel="0" collapsed="false">
      <c r="A1386" s="0" t="s">
        <v>3486</v>
      </c>
      <c r="B1386" s="0" t="s">
        <v>3487</v>
      </c>
      <c r="C1386" s="0" t="n">
        <v>4.25</v>
      </c>
    </row>
    <row r="1387" customFormat="false" ht="15" hidden="false" customHeight="false" outlineLevel="0" collapsed="false">
      <c r="A1387" s="0" t="s">
        <v>3488</v>
      </c>
      <c r="B1387" s="0" t="s">
        <v>3489</v>
      </c>
      <c r="C1387" s="0" t="n">
        <v>4.25</v>
      </c>
    </row>
    <row r="1388" customFormat="false" ht="15" hidden="false" customHeight="false" outlineLevel="0" collapsed="false">
      <c r="A1388" s="0" t="s">
        <v>3490</v>
      </c>
      <c r="B1388" s="0" t="s">
        <v>3491</v>
      </c>
      <c r="C1388" s="0" t="n">
        <v>4.25</v>
      </c>
    </row>
    <row r="1389" customFormat="false" ht="15" hidden="false" customHeight="false" outlineLevel="0" collapsed="false">
      <c r="A1389" s="0" t="s">
        <v>3492</v>
      </c>
      <c r="B1389" s="0" t="s">
        <v>3493</v>
      </c>
      <c r="C1389" s="0" t="n">
        <v>2.95</v>
      </c>
    </row>
    <row r="1390" customFormat="false" ht="15" hidden="false" customHeight="false" outlineLevel="0" collapsed="false">
      <c r="A1390" s="0" t="s">
        <v>3494</v>
      </c>
      <c r="B1390" s="0" t="s">
        <v>3495</v>
      </c>
      <c r="C1390" s="0" t="n">
        <v>3.75</v>
      </c>
    </row>
    <row r="1391" customFormat="false" ht="15" hidden="false" customHeight="false" outlineLevel="0" collapsed="false">
      <c r="A1391" s="0" t="s">
        <v>3496</v>
      </c>
      <c r="B1391" s="0" t="s">
        <v>3497</v>
      </c>
      <c r="C1391" s="0" t="n">
        <v>3.75</v>
      </c>
    </row>
    <row r="1392" customFormat="false" ht="15" hidden="false" customHeight="false" outlineLevel="0" collapsed="false">
      <c r="A1392" s="0" t="s">
        <v>3498</v>
      </c>
      <c r="B1392" s="0" t="s">
        <v>3499</v>
      </c>
      <c r="C1392" s="0" t="n">
        <v>0.85</v>
      </c>
    </row>
    <row r="1393" customFormat="false" ht="15" hidden="false" customHeight="false" outlineLevel="0" collapsed="false">
      <c r="A1393" s="0" t="s">
        <v>3500</v>
      </c>
      <c r="B1393" s="0" t="s">
        <v>3501</v>
      </c>
      <c r="C1393" s="0" t="n">
        <v>5.2</v>
      </c>
    </row>
    <row r="1394" customFormat="false" ht="15" hidden="false" customHeight="false" outlineLevel="0" collapsed="false">
      <c r="A1394" s="0" t="s">
        <v>3502</v>
      </c>
      <c r="B1394" s="0" t="s">
        <v>3503</v>
      </c>
      <c r="C1394" s="0" t="n">
        <v>3.75</v>
      </c>
    </row>
    <row r="1395" customFormat="false" ht="15" hidden="false" customHeight="false" outlineLevel="0" collapsed="false">
      <c r="A1395" s="0" t="s">
        <v>3504</v>
      </c>
      <c r="B1395" s="0" t="s">
        <v>3505</v>
      </c>
      <c r="C1395" s="0" t="n">
        <v>3.75</v>
      </c>
    </row>
    <row r="1396" customFormat="false" ht="15" hidden="false" customHeight="false" outlineLevel="0" collapsed="false">
      <c r="A1396" s="0" t="s">
        <v>3506</v>
      </c>
      <c r="B1396" s="0" t="s">
        <v>3507</v>
      </c>
      <c r="C1396" s="0" t="n">
        <v>3.75</v>
      </c>
    </row>
    <row r="1397" customFormat="false" ht="15" hidden="false" customHeight="false" outlineLevel="0" collapsed="false">
      <c r="A1397" s="0" t="s">
        <v>3508</v>
      </c>
      <c r="B1397" s="0" t="s">
        <v>3509</v>
      </c>
      <c r="C1397" s="0" t="n">
        <v>3.75</v>
      </c>
    </row>
    <row r="1398" customFormat="false" ht="15" hidden="false" customHeight="false" outlineLevel="0" collapsed="false">
      <c r="A1398" s="0" t="s">
        <v>3510</v>
      </c>
      <c r="B1398" s="0" t="s">
        <v>3511</v>
      </c>
      <c r="C1398" s="0" t="n">
        <v>3.75</v>
      </c>
    </row>
    <row r="1399" customFormat="false" ht="15" hidden="false" customHeight="false" outlineLevel="0" collapsed="false">
      <c r="A1399" s="0" t="s">
        <v>3512</v>
      </c>
      <c r="B1399" s="0" t="s">
        <v>3513</v>
      </c>
      <c r="C1399" s="0" t="n">
        <v>3.75</v>
      </c>
    </row>
    <row r="1400" customFormat="false" ht="15" hidden="false" customHeight="false" outlineLevel="0" collapsed="false">
      <c r="A1400" s="0" t="s">
        <v>3514</v>
      </c>
      <c r="B1400" s="0" t="s">
        <v>3515</v>
      </c>
      <c r="C1400" s="0" t="n">
        <v>1.69</v>
      </c>
    </row>
    <row r="1401" customFormat="false" ht="15" hidden="false" customHeight="false" outlineLevel="0" collapsed="false">
      <c r="A1401" s="0" t="s">
        <v>3516</v>
      </c>
      <c r="B1401" s="0" t="s">
        <v>3517</v>
      </c>
      <c r="C1401" s="0" t="n">
        <v>1.69</v>
      </c>
    </row>
    <row r="1402" customFormat="false" ht="15" hidden="false" customHeight="false" outlineLevel="0" collapsed="false">
      <c r="A1402" s="0" t="s">
        <v>3518</v>
      </c>
      <c r="B1402" s="0" t="s">
        <v>3519</v>
      </c>
      <c r="C1402" s="0" t="n">
        <v>1.69</v>
      </c>
    </row>
    <row r="1403" customFormat="false" ht="15" hidden="false" customHeight="false" outlineLevel="0" collapsed="false">
      <c r="A1403" s="0" t="s">
        <v>3520</v>
      </c>
      <c r="B1403" s="0" t="s">
        <v>3521</v>
      </c>
      <c r="C1403" s="0" t="n">
        <v>1.69</v>
      </c>
    </row>
    <row r="1404" customFormat="false" ht="15" hidden="false" customHeight="false" outlineLevel="0" collapsed="false">
      <c r="A1404" s="0" t="s">
        <v>3522</v>
      </c>
      <c r="B1404" s="0" t="s">
        <v>3523</v>
      </c>
      <c r="C1404" s="0" t="n">
        <v>3.75</v>
      </c>
    </row>
    <row r="1405" customFormat="false" ht="15" hidden="false" customHeight="false" outlineLevel="0" collapsed="false">
      <c r="A1405" s="0" t="s">
        <v>3524</v>
      </c>
      <c r="B1405" s="0" t="s">
        <v>3525</v>
      </c>
      <c r="C1405" s="0" t="n">
        <v>3.75</v>
      </c>
    </row>
    <row r="1406" customFormat="false" ht="15" hidden="false" customHeight="false" outlineLevel="0" collapsed="false">
      <c r="A1406" s="0" t="s">
        <v>3526</v>
      </c>
      <c r="B1406" s="0" t="s">
        <v>3527</v>
      </c>
      <c r="C1406" s="0" t="n">
        <v>1.25</v>
      </c>
    </row>
    <row r="1407" customFormat="false" ht="15" hidden="false" customHeight="false" outlineLevel="0" collapsed="false">
      <c r="A1407" s="0" t="s">
        <v>3528</v>
      </c>
      <c r="B1407" s="0" t="s">
        <v>3529</v>
      </c>
      <c r="C1407" s="0" t="n">
        <v>1.25</v>
      </c>
    </row>
    <row r="1408" customFormat="false" ht="15" hidden="false" customHeight="false" outlineLevel="0" collapsed="false">
      <c r="A1408" s="0" t="s">
        <v>3530</v>
      </c>
      <c r="B1408" s="0" t="s">
        <v>3531</v>
      </c>
      <c r="C1408" s="0" t="n">
        <v>0.65</v>
      </c>
    </row>
    <row r="1409" customFormat="false" ht="15" hidden="false" customHeight="false" outlineLevel="0" collapsed="false">
      <c r="A1409" s="0" t="s">
        <v>3532</v>
      </c>
      <c r="B1409" s="0" t="s">
        <v>3533</v>
      </c>
      <c r="C1409" s="0" t="n">
        <v>1.95</v>
      </c>
    </row>
    <row r="1410" customFormat="false" ht="15" hidden="false" customHeight="false" outlineLevel="0" collapsed="false">
      <c r="A1410" s="0" t="s">
        <v>3534</v>
      </c>
      <c r="B1410" s="0" t="s">
        <v>3535</v>
      </c>
      <c r="C1410" s="0" t="n">
        <v>0.42</v>
      </c>
    </row>
    <row r="1411" customFormat="false" ht="15" hidden="false" customHeight="false" outlineLevel="0" collapsed="false">
      <c r="A1411" s="0" t="s">
        <v>3536</v>
      </c>
      <c r="B1411" s="0" t="s">
        <v>3537</v>
      </c>
      <c r="C1411" s="0" t="n">
        <v>2.55</v>
      </c>
    </row>
    <row r="1412" customFormat="false" ht="15" hidden="false" customHeight="false" outlineLevel="0" collapsed="false">
      <c r="A1412" s="0" t="s">
        <v>3538</v>
      </c>
      <c r="B1412" s="0" t="s">
        <v>3539</v>
      </c>
      <c r="C1412" s="0" t="n">
        <v>7.95</v>
      </c>
    </row>
    <row r="1413" customFormat="false" ht="15" hidden="false" customHeight="false" outlineLevel="0" collapsed="false">
      <c r="A1413" s="0" t="s">
        <v>3540</v>
      </c>
      <c r="B1413" s="0" t="s">
        <v>3541</v>
      </c>
      <c r="C1413" s="0" t="n">
        <v>7.95</v>
      </c>
    </row>
    <row r="1414" customFormat="false" ht="15" hidden="false" customHeight="false" outlineLevel="0" collapsed="false">
      <c r="A1414" s="0" t="s">
        <v>3542</v>
      </c>
      <c r="B1414" s="0" t="s">
        <v>3543</v>
      </c>
      <c r="C1414" s="0" t="n">
        <v>7.95</v>
      </c>
    </row>
    <row r="1415" customFormat="false" ht="15" hidden="false" customHeight="false" outlineLevel="0" collapsed="false">
      <c r="A1415" s="0" t="s">
        <v>3544</v>
      </c>
      <c r="B1415" s="0" t="s">
        <v>3545</v>
      </c>
      <c r="C1415" s="0" t="n">
        <v>7.95</v>
      </c>
    </row>
    <row r="1416" customFormat="false" ht="15" hidden="false" customHeight="false" outlineLevel="0" collapsed="false">
      <c r="A1416" s="0" t="s">
        <v>3546</v>
      </c>
      <c r="B1416" s="0" t="s">
        <v>3547</v>
      </c>
      <c r="C1416" s="0" t="n">
        <v>7.95</v>
      </c>
    </row>
    <row r="1417" customFormat="false" ht="15" hidden="false" customHeight="false" outlineLevel="0" collapsed="false">
      <c r="A1417" s="0" t="s">
        <v>3548</v>
      </c>
      <c r="B1417" s="0" t="s">
        <v>3549</v>
      </c>
      <c r="C1417" s="0" t="n">
        <v>8.07</v>
      </c>
    </row>
    <row r="1418" customFormat="false" ht="15" hidden="false" customHeight="false" outlineLevel="0" collapsed="false">
      <c r="A1418" s="0" t="s">
        <v>3550</v>
      </c>
      <c r="B1418" s="0" t="s">
        <v>3551</v>
      </c>
      <c r="C1418" s="0" t="n">
        <v>0.42</v>
      </c>
    </row>
    <row r="1419" customFormat="false" ht="15" hidden="false" customHeight="false" outlineLevel="0" collapsed="false">
      <c r="A1419" s="0" t="s">
        <v>3552</v>
      </c>
      <c r="B1419" s="0" t="s">
        <v>3553</v>
      </c>
      <c r="C1419" s="0" t="n">
        <v>0.85</v>
      </c>
    </row>
    <row r="1420" customFormat="false" ht="15" hidden="false" customHeight="false" outlineLevel="0" collapsed="false">
      <c r="A1420" s="0" t="s">
        <v>3554</v>
      </c>
      <c r="B1420" s="0" t="s">
        <v>3555</v>
      </c>
      <c r="C1420" s="0" t="n">
        <v>3.75</v>
      </c>
    </row>
    <row r="1421" customFormat="false" ht="15" hidden="false" customHeight="false" outlineLevel="0" collapsed="false">
      <c r="A1421" s="0" t="s">
        <v>3556</v>
      </c>
      <c r="B1421" s="0" t="s">
        <v>3557</v>
      </c>
      <c r="C1421" s="0" t="n">
        <v>1.25</v>
      </c>
    </row>
    <row r="1422" customFormat="false" ht="15" hidden="false" customHeight="false" outlineLevel="0" collapsed="false">
      <c r="A1422" s="0" t="s">
        <v>3558</v>
      </c>
      <c r="B1422" s="0" t="s">
        <v>3559</v>
      </c>
      <c r="C1422" s="0" t="n">
        <v>7.95</v>
      </c>
    </row>
    <row r="1423" customFormat="false" ht="15" hidden="false" customHeight="false" outlineLevel="0" collapsed="false">
      <c r="A1423" s="0" t="s">
        <v>3560</v>
      </c>
      <c r="B1423" s="0" t="s">
        <v>3561</v>
      </c>
      <c r="C1423" s="0" t="n">
        <v>0.85</v>
      </c>
    </row>
    <row r="1424" customFormat="false" ht="15" hidden="false" customHeight="false" outlineLevel="0" collapsed="false">
      <c r="A1424" s="0" t="s">
        <v>3562</v>
      </c>
      <c r="B1424" s="0" t="s">
        <v>3563</v>
      </c>
      <c r="C1424" s="0" t="n">
        <v>1.25</v>
      </c>
    </row>
    <row r="1425" customFormat="false" ht="15" hidden="false" customHeight="false" outlineLevel="0" collapsed="false">
      <c r="A1425" s="0" t="s">
        <v>3564</v>
      </c>
      <c r="B1425" s="0" t="s">
        <v>3565</v>
      </c>
      <c r="C1425" s="0" t="n">
        <v>2.1</v>
      </c>
    </row>
    <row r="1426" customFormat="false" ht="15" hidden="false" customHeight="false" outlineLevel="0" collapsed="false">
      <c r="A1426" s="0" t="s">
        <v>3566</v>
      </c>
      <c r="B1426" s="0" t="s">
        <v>3567</v>
      </c>
      <c r="C1426" s="0" t="n">
        <v>2.55</v>
      </c>
    </row>
    <row r="1427" customFormat="false" ht="15" hidden="false" customHeight="false" outlineLevel="0" collapsed="false">
      <c r="A1427" s="0" t="s">
        <v>3568</v>
      </c>
      <c r="B1427" s="0" t="s">
        <v>3569</v>
      </c>
      <c r="C1427" s="0" t="n">
        <v>0.85</v>
      </c>
    </row>
    <row r="1428" customFormat="false" ht="15" hidden="false" customHeight="false" outlineLevel="0" collapsed="false">
      <c r="A1428" s="0" t="s">
        <v>3570</v>
      </c>
      <c r="B1428" s="0" t="s">
        <v>3571</v>
      </c>
      <c r="C1428" s="0" t="n">
        <v>2.95</v>
      </c>
    </row>
    <row r="1429" customFormat="false" ht="15" hidden="false" customHeight="false" outlineLevel="0" collapsed="false">
      <c r="A1429" s="0" t="s">
        <v>3572</v>
      </c>
      <c r="B1429" s="0" t="s">
        <v>3573</v>
      </c>
      <c r="C1429" s="0" t="n">
        <v>2.95</v>
      </c>
    </row>
    <row r="1430" customFormat="false" ht="15" hidden="false" customHeight="false" outlineLevel="0" collapsed="false">
      <c r="A1430" s="0" t="s">
        <v>3574</v>
      </c>
      <c r="B1430" s="0" t="s">
        <v>3575</v>
      </c>
      <c r="C1430" s="0" t="n">
        <v>0.12</v>
      </c>
    </row>
    <row r="1431" customFormat="false" ht="15" hidden="false" customHeight="false" outlineLevel="0" collapsed="false">
      <c r="A1431" s="0" t="s">
        <v>3576</v>
      </c>
      <c r="B1431" s="0" t="s">
        <v>3577</v>
      </c>
      <c r="C1431" s="0" t="n">
        <v>4.65</v>
      </c>
    </row>
    <row r="1432" customFormat="false" ht="15" hidden="false" customHeight="false" outlineLevel="0" collapsed="false">
      <c r="A1432" s="0" t="s">
        <v>3578</v>
      </c>
      <c r="B1432" s="0" t="s">
        <v>3579</v>
      </c>
      <c r="C1432" s="0" t="n">
        <v>2.95</v>
      </c>
    </row>
    <row r="1433" customFormat="false" ht="15" hidden="false" customHeight="false" outlineLevel="0" collapsed="false">
      <c r="A1433" s="0" t="s">
        <v>3580</v>
      </c>
      <c r="B1433" s="0" t="s">
        <v>479</v>
      </c>
      <c r="C1433" s="0" t="n">
        <v>4.95</v>
      </c>
    </row>
    <row r="1434" customFormat="false" ht="15" hidden="false" customHeight="false" outlineLevel="0" collapsed="false">
      <c r="A1434" s="0" t="s">
        <v>3581</v>
      </c>
      <c r="B1434" s="0" t="s">
        <v>478</v>
      </c>
      <c r="C1434" s="0" t="n">
        <v>4.95</v>
      </c>
    </row>
    <row r="1435" customFormat="false" ht="15" hidden="false" customHeight="false" outlineLevel="0" collapsed="false">
      <c r="A1435" s="0" t="s">
        <v>3582</v>
      </c>
      <c r="B1435" s="0" t="s">
        <v>3583</v>
      </c>
      <c r="C1435" s="0" t="n">
        <v>4.95</v>
      </c>
    </row>
    <row r="1436" customFormat="false" ht="15" hidden="false" customHeight="false" outlineLevel="0" collapsed="false">
      <c r="A1436" s="0" t="s">
        <v>3584</v>
      </c>
      <c r="B1436" s="0" t="s">
        <v>3585</v>
      </c>
      <c r="C1436" s="0" t="n">
        <v>4.95</v>
      </c>
    </row>
    <row r="1437" customFormat="false" ht="15" hidden="false" customHeight="false" outlineLevel="0" collapsed="false">
      <c r="A1437" s="0" t="s">
        <v>3586</v>
      </c>
      <c r="B1437" s="0" t="s">
        <v>3587</v>
      </c>
      <c r="C1437" s="0" t="n">
        <v>4.95</v>
      </c>
    </row>
    <row r="1438" customFormat="false" ht="15" hidden="false" customHeight="false" outlineLevel="0" collapsed="false">
      <c r="A1438" s="0" t="s">
        <v>3588</v>
      </c>
      <c r="B1438" s="0" t="s">
        <v>3589</v>
      </c>
      <c r="C1438" s="0" t="n">
        <v>4.95</v>
      </c>
    </row>
    <row r="1439" customFormat="false" ht="15" hidden="false" customHeight="false" outlineLevel="0" collapsed="false">
      <c r="A1439" s="0" t="s">
        <v>3590</v>
      </c>
      <c r="B1439" s="0" t="s">
        <v>3591</v>
      </c>
      <c r="C1439" s="0" t="n">
        <v>2.95</v>
      </c>
    </row>
    <row r="1440" customFormat="false" ht="15" hidden="false" customHeight="false" outlineLevel="0" collapsed="false">
      <c r="A1440" s="0" t="s">
        <v>3592</v>
      </c>
      <c r="B1440" s="0" t="s">
        <v>3593</v>
      </c>
      <c r="C1440" s="0" t="n">
        <v>0.38</v>
      </c>
    </row>
    <row r="1441" customFormat="false" ht="15" hidden="false" customHeight="false" outlineLevel="0" collapsed="false">
      <c r="A1441" s="0" t="s">
        <v>3594</v>
      </c>
      <c r="B1441" s="0" t="s">
        <v>3595</v>
      </c>
      <c r="C1441" s="0" t="n">
        <v>0.38</v>
      </c>
    </row>
    <row r="1442" customFormat="false" ht="15" hidden="false" customHeight="false" outlineLevel="0" collapsed="false">
      <c r="A1442" s="0" t="s">
        <v>3596</v>
      </c>
      <c r="B1442" s="0" t="s">
        <v>3597</v>
      </c>
      <c r="C1442" s="0" t="n">
        <v>3.75</v>
      </c>
    </row>
    <row r="1443" customFormat="false" ht="15" hidden="false" customHeight="false" outlineLevel="0" collapsed="false">
      <c r="A1443" s="0" t="s">
        <v>3598</v>
      </c>
      <c r="B1443" s="0" t="s">
        <v>3599</v>
      </c>
      <c r="C1443" s="0" t="n">
        <v>0.38</v>
      </c>
    </row>
    <row r="1444" customFormat="false" ht="15" hidden="false" customHeight="false" outlineLevel="0" collapsed="false">
      <c r="A1444" s="0" t="s">
        <v>3600</v>
      </c>
      <c r="B1444" s="0" t="s">
        <v>3601</v>
      </c>
      <c r="C1444" s="0" t="n">
        <v>0.38</v>
      </c>
    </row>
    <row r="1445" customFormat="false" ht="15" hidden="false" customHeight="false" outlineLevel="0" collapsed="false">
      <c r="A1445" s="0" t="s">
        <v>3602</v>
      </c>
      <c r="B1445" s="0" t="s">
        <v>3603</v>
      </c>
      <c r="C1445" s="0" t="n">
        <v>2.1</v>
      </c>
    </row>
    <row r="1446" customFormat="false" ht="15" hidden="false" customHeight="false" outlineLevel="0" collapsed="false">
      <c r="A1446" s="0" t="s">
        <v>3604</v>
      </c>
      <c r="B1446" s="0" t="s">
        <v>3605</v>
      </c>
      <c r="C1446" s="0" t="n">
        <v>1.65</v>
      </c>
    </row>
    <row r="1447" customFormat="false" ht="15" hidden="false" customHeight="false" outlineLevel="0" collapsed="false">
      <c r="A1447" s="0" t="s">
        <v>3606</v>
      </c>
      <c r="B1447" s="0" t="s">
        <v>3607</v>
      </c>
      <c r="C1447" s="0" t="n">
        <v>1.25</v>
      </c>
    </row>
    <row r="1448" customFormat="false" ht="15" hidden="false" customHeight="false" outlineLevel="0" collapsed="false">
      <c r="A1448" s="0" t="s">
        <v>3608</v>
      </c>
      <c r="B1448" s="0" t="s">
        <v>3609</v>
      </c>
      <c r="C1448" s="0" t="n">
        <v>2.95</v>
      </c>
    </row>
    <row r="1449" customFormat="false" ht="15" hidden="false" customHeight="false" outlineLevel="0" collapsed="false">
      <c r="A1449" s="0" t="s">
        <v>3610</v>
      </c>
      <c r="B1449" s="0" t="s">
        <v>3611</v>
      </c>
      <c r="C1449" s="0" t="n">
        <v>1.25</v>
      </c>
    </row>
    <row r="1450" customFormat="false" ht="15" hidden="false" customHeight="false" outlineLevel="0" collapsed="false">
      <c r="A1450" s="0" t="s">
        <v>3612</v>
      </c>
      <c r="B1450" s="0" t="s">
        <v>3613</v>
      </c>
      <c r="C1450" s="0" t="n">
        <v>0.38</v>
      </c>
    </row>
    <row r="1451" customFormat="false" ht="15" hidden="false" customHeight="false" outlineLevel="0" collapsed="false">
      <c r="A1451" s="0" t="s">
        <v>3614</v>
      </c>
      <c r="B1451" s="0" t="s">
        <v>3615</v>
      </c>
      <c r="C1451" s="0" t="n">
        <v>0.85</v>
      </c>
    </row>
    <row r="1452" customFormat="false" ht="15" hidden="false" customHeight="false" outlineLevel="0" collapsed="false">
      <c r="A1452" s="0" t="s">
        <v>3616</v>
      </c>
      <c r="B1452" s="0" t="s">
        <v>3617</v>
      </c>
      <c r="C1452" s="0" t="n">
        <v>0.85</v>
      </c>
    </row>
    <row r="1453" customFormat="false" ht="15" hidden="false" customHeight="false" outlineLevel="0" collapsed="false">
      <c r="A1453" s="0" t="s">
        <v>3618</v>
      </c>
      <c r="B1453" s="0" t="s">
        <v>3619</v>
      </c>
      <c r="C1453" s="0" t="n">
        <v>1.95</v>
      </c>
    </row>
    <row r="1454" customFormat="false" ht="15" hidden="false" customHeight="false" outlineLevel="0" collapsed="false">
      <c r="A1454" s="0" t="s">
        <v>3620</v>
      </c>
      <c r="B1454" s="0" t="s">
        <v>3621</v>
      </c>
      <c r="C1454" s="0" t="n">
        <v>0.21</v>
      </c>
    </row>
    <row r="1455" customFormat="false" ht="15" hidden="false" customHeight="false" outlineLevel="0" collapsed="false">
      <c r="A1455" s="0" t="s">
        <v>3622</v>
      </c>
      <c r="B1455" s="0" t="s">
        <v>3623</v>
      </c>
      <c r="C1455" s="0" t="n">
        <v>2.95</v>
      </c>
    </row>
    <row r="1456" customFormat="false" ht="15" hidden="false" customHeight="false" outlineLevel="0" collapsed="false">
      <c r="A1456" s="0" t="s">
        <v>3624</v>
      </c>
      <c r="B1456" s="0" t="s">
        <v>3625</v>
      </c>
      <c r="C1456" s="0" t="n">
        <v>2.1</v>
      </c>
    </row>
    <row r="1457" customFormat="false" ht="15" hidden="false" customHeight="false" outlineLevel="0" collapsed="false">
      <c r="A1457" s="0" t="s">
        <v>3626</v>
      </c>
      <c r="B1457" s="0" t="s">
        <v>3627</v>
      </c>
      <c r="C1457" s="0" t="n">
        <v>3.75</v>
      </c>
    </row>
    <row r="1458" customFormat="false" ht="15" hidden="false" customHeight="false" outlineLevel="0" collapsed="false">
      <c r="A1458" s="0" t="s">
        <v>3628</v>
      </c>
      <c r="B1458" s="0" t="s">
        <v>3629</v>
      </c>
      <c r="C1458" s="0" t="n">
        <v>1.25</v>
      </c>
    </row>
    <row r="1459" customFormat="false" ht="15" hidden="false" customHeight="false" outlineLevel="0" collapsed="false">
      <c r="A1459" s="0" t="s">
        <v>3630</v>
      </c>
      <c r="B1459" s="0" t="s">
        <v>3631</v>
      </c>
      <c r="C1459" s="0" t="n">
        <v>2.95</v>
      </c>
    </row>
    <row r="1460" customFormat="false" ht="15" hidden="false" customHeight="false" outlineLevel="0" collapsed="false">
      <c r="A1460" s="0" t="s">
        <v>3632</v>
      </c>
      <c r="B1460" s="0" t="s">
        <v>3633</v>
      </c>
      <c r="C1460" s="0" t="n">
        <v>4.25</v>
      </c>
    </row>
    <row r="1461" customFormat="false" ht="15" hidden="false" customHeight="false" outlineLevel="0" collapsed="false">
      <c r="A1461" s="0" t="s">
        <v>3634</v>
      </c>
      <c r="B1461" s="0" t="s">
        <v>3635</v>
      </c>
      <c r="C1461" s="0" t="n">
        <v>1.65</v>
      </c>
    </row>
    <row r="1462" customFormat="false" ht="15" hidden="false" customHeight="false" outlineLevel="0" collapsed="false">
      <c r="A1462" s="0" t="s">
        <v>3636</v>
      </c>
      <c r="B1462" s="0" t="s">
        <v>3637</v>
      </c>
      <c r="C1462" s="0" t="n">
        <v>1.25</v>
      </c>
    </row>
    <row r="1463" customFormat="false" ht="15" hidden="false" customHeight="false" outlineLevel="0" collapsed="false">
      <c r="A1463" s="0" t="s">
        <v>3638</v>
      </c>
      <c r="B1463" s="0" t="s">
        <v>3639</v>
      </c>
      <c r="C1463" s="0" t="n">
        <v>1.25</v>
      </c>
    </row>
    <row r="1464" customFormat="false" ht="15" hidden="false" customHeight="false" outlineLevel="0" collapsed="false">
      <c r="A1464" s="0" t="s">
        <v>3640</v>
      </c>
      <c r="B1464" s="0" t="s">
        <v>3641</v>
      </c>
      <c r="C1464" s="0" t="n">
        <v>1.25</v>
      </c>
    </row>
    <row r="1465" customFormat="false" ht="15" hidden="false" customHeight="false" outlineLevel="0" collapsed="false">
      <c r="A1465" s="0" t="s">
        <v>3642</v>
      </c>
      <c r="B1465" s="0" t="s">
        <v>3643</v>
      </c>
      <c r="C1465" s="0" t="n">
        <v>1.25</v>
      </c>
    </row>
    <row r="1466" customFormat="false" ht="15" hidden="false" customHeight="false" outlineLevel="0" collapsed="false">
      <c r="A1466" s="0" t="s">
        <v>3644</v>
      </c>
      <c r="B1466" s="0" t="s">
        <v>3645</v>
      </c>
      <c r="C1466" s="0" t="n">
        <v>1.25</v>
      </c>
    </row>
    <row r="1467" customFormat="false" ht="15" hidden="false" customHeight="false" outlineLevel="0" collapsed="false">
      <c r="A1467" s="0" t="s">
        <v>3646</v>
      </c>
      <c r="B1467" s="0" t="s">
        <v>3647</v>
      </c>
      <c r="C1467" s="0" t="n">
        <v>1.25</v>
      </c>
    </row>
    <row r="1468" customFormat="false" ht="15" hidden="false" customHeight="false" outlineLevel="0" collapsed="false">
      <c r="A1468" s="0" t="s">
        <v>3648</v>
      </c>
      <c r="B1468" s="0" t="s">
        <v>3649</v>
      </c>
      <c r="C1468" s="0" t="n">
        <v>1.25</v>
      </c>
    </row>
    <row r="1469" customFormat="false" ht="15" hidden="false" customHeight="false" outlineLevel="0" collapsed="false">
      <c r="A1469" s="0" t="s">
        <v>3650</v>
      </c>
      <c r="B1469" s="0" t="s">
        <v>3651</v>
      </c>
      <c r="C1469" s="0" t="n">
        <v>1.25</v>
      </c>
    </row>
    <row r="1470" customFormat="false" ht="15" hidden="false" customHeight="false" outlineLevel="0" collapsed="false">
      <c r="A1470" s="0" t="s">
        <v>3652</v>
      </c>
      <c r="B1470" s="0" t="s">
        <v>3653</v>
      </c>
      <c r="C1470" s="0" t="n">
        <v>1.25</v>
      </c>
    </row>
    <row r="1471" customFormat="false" ht="15" hidden="false" customHeight="false" outlineLevel="0" collapsed="false">
      <c r="A1471" s="0" t="s">
        <v>3654</v>
      </c>
      <c r="B1471" s="0" t="s">
        <v>3655</v>
      </c>
      <c r="C1471" s="0" t="n">
        <v>1.25</v>
      </c>
    </row>
    <row r="1472" customFormat="false" ht="15" hidden="false" customHeight="false" outlineLevel="0" collapsed="false">
      <c r="A1472" s="0" t="s">
        <v>3656</v>
      </c>
      <c r="B1472" s="0" t="s">
        <v>3657</v>
      </c>
      <c r="C1472" s="0" t="n">
        <v>1.25</v>
      </c>
    </row>
    <row r="1473" customFormat="false" ht="15" hidden="false" customHeight="false" outlineLevel="0" collapsed="false">
      <c r="A1473" s="0" t="s">
        <v>3658</v>
      </c>
      <c r="B1473" s="0" t="s">
        <v>3659</v>
      </c>
      <c r="C1473" s="0" t="n">
        <v>1.65</v>
      </c>
    </row>
    <row r="1474" customFormat="false" ht="15" hidden="false" customHeight="false" outlineLevel="0" collapsed="false">
      <c r="A1474" s="0" t="s">
        <v>3660</v>
      </c>
      <c r="B1474" s="0" t="s">
        <v>3661</v>
      </c>
      <c r="C1474" s="0" t="n">
        <v>1.65</v>
      </c>
    </row>
    <row r="1475" customFormat="false" ht="15" hidden="false" customHeight="false" outlineLevel="0" collapsed="false">
      <c r="A1475" s="0" t="s">
        <v>3662</v>
      </c>
      <c r="B1475" s="0" t="s">
        <v>3663</v>
      </c>
      <c r="C1475" s="0" t="n">
        <v>7.95</v>
      </c>
    </row>
    <row r="1476" customFormat="false" ht="15" hidden="false" customHeight="false" outlineLevel="0" collapsed="false">
      <c r="A1476" s="0" t="s">
        <v>3664</v>
      </c>
      <c r="B1476" s="0" t="s">
        <v>3665</v>
      </c>
      <c r="C1476" s="0" t="n">
        <v>7.95</v>
      </c>
    </row>
    <row r="1477" customFormat="false" ht="15" hidden="false" customHeight="false" outlineLevel="0" collapsed="false">
      <c r="A1477" s="0" t="s">
        <v>3666</v>
      </c>
      <c r="B1477" s="0" t="s">
        <v>3667</v>
      </c>
      <c r="C1477" s="0" t="n">
        <v>7.95</v>
      </c>
    </row>
    <row r="1478" customFormat="false" ht="15" hidden="false" customHeight="false" outlineLevel="0" collapsed="false">
      <c r="A1478" s="0" t="s">
        <v>3668</v>
      </c>
      <c r="B1478" s="0" t="s">
        <v>3669</v>
      </c>
      <c r="C1478" s="0" t="n">
        <v>4.95</v>
      </c>
    </row>
    <row r="1479" customFormat="false" ht="15" hidden="false" customHeight="false" outlineLevel="0" collapsed="false">
      <c r="A1479" s="0" t="s">
        <v>3670</v>
      </c>
      <c r="B1479" s="0" t="s">
        <v>3671</v>
      </c>
      <c r="C1479" s="0" t="n">
        <v>2.1</v>
      </c>
    </row>
    <row r="1480" customFormat="false" ht="15" hidden="false" customHeight="false" outlineLevel="0" collapsed="false">
      <c r="A1480" s="0" t="s">
        <v>3672</v>
      </c>
      <c r="B1480" s="0" t="s">
        <v>601</v>
      </c>
      <c r="C1480" s="0" t="n">
        <v>2.1</v>
      </c>
    </row>
    <row r="1481" customFormat="false" ht="15" hidden="false" customHeight="false" outlineLevel="0" collapsed="false">
      <c r="A1481" s="0" t="s">
        <v>3673</v>
      </c>
      <c r="B1481" s="0" t="s">
        <v>3674</v>
      </c>
      <c r="C1481" s="0" t="n">
        <v>2.95</v>
      </c>
    </row>
    <row r="1482" customFormat="false" ht="15" hidden="false" customHeight="false" outlineLevel="0" collapsed="false">
      <c r="A1482" s="0" t="s">
        <v>3675</v>
      </c>
      <c r="B1482" s="0" t="s">
        <v>3676</v>
      </c>
      <c r="C1482" s="0" t="n">
        <v>2.1</v>
      </c>
    </row>
    <row r="1483" customFormat="false" ht="15" hidden="false" customHeight="false" outlineLevel="0" collapsed="false">
      <c r="A1483" s="0" t="s">
        <v>3677</v>
      </c>
      <c r="B1483" s="0" t="s">
        <v>3678</v>
      </c>
      <c r="C1483" s="0" t="n">
        <v>3.75</v>
      </c>
    </row>
    <row r="1484" customFormat="false" ht="15" hidden="false" customHeight="false" outlineLevel="0" collapsed="false">
      <c r="A1484" s="0" t="s">
        <v>3679</v>
      </c>
      <c r="B1484" s="0" t="s">
        <v>3680</v>
      </c>
      <c r="C1484" s="0" t="n">
        <v>3.75</v>
      </c>
    </row>
    <row r="1485" customFormat="false" ht="15" hidden="false" customHeight="false" outlineLevel="0" collapsed="false">
      <c r="A1485" s="0" t="s">
        <v>3681</v>
      </c>
      <c r="B1485" s="0" t="s">
        <v>3682</v>
      </c>
      <c r="C1485" s="0" t="n">
        <v>2.95</v>
      </c>
    </row>
    <row r="1486" customFormat="false" ht="15" hidden="false" customHeight="false" outlineLevel="0" collapsed="false">
      <c r="A1486" s="0" t="s">
        <v>3681</v>
      </c>
      <c r="B1486" s="0" t="s">
        <v>3683</v>
      </c>
      <c r="C1486" s="0" t="n">
        <v>2.95</v>
      </c>
    </row>
    <row r="1487" customFormat="false" ht="15" hidden="false" customHeight="false" outlineLevel="0" collapsed="false">
      <c r="A1487" s="0" t="s">
        <v>3684</v>
      </c>
      <c r="B1487" s="0" t="s">
        <v>3685</v>
      </c>
      <c r="C1487" s="0" t="n">
        <v>1.25</v>
      </c>
    </row>
    <row r="1488" customFormat="false" ht="15" hidden="false" customHeight="false" outlineLevel="0" collapsed="false">
      <c r="A1488" s="0" t="s">
        <v>3686</v>
      </c>
      <c r="B1488" s="0" t="s">
        <v>3687</v>
      </c>
      <c r="C1488" s="0" t="n">
        <v>1.25</v>
      </c>
    </row>
    <row r="1489" customFormat="false" ht="15" hidden="false" customHeight="false" outlineLevel="0" collapsed="false">
      <c r="A1489" s="0" t="s">
        <v>3688</v>
      </c>
      <c r="B1489" s="0" t="s">
        <v>3689</v>
      </c>
      <c r="C1489" s="0" t="n">
        <v>11.02</v>
      </c>
    </row>
    <row r="1490" customFormat="false" ht="15" hidden="false" customHeight="false" outlineLevel="0" collapsed="false">
      <c r="A1490" s="0" t="s">
        <v>3688</v>
      </c>
      <c r="B1490" s="0" t="s">
        <v>3690</v>
      </c>
      <c r="C1490" s="0" t="n">
        <v>2.95</v>
      </c>
    </row>
    <row r="1491" customFormat="false" ht="15" hidden="false" customHeight="false" outlineLevel="0" collapsed="false">
      <c r="A1491" s="0" t="s">
        <v>3691</v>
      </c>
      <c r="B1491" s="0" t="s">
        <v>3692</v>
      </c>
      <c r="C1491" s="0" t="n">
        <v>1.65</v>
      </c>
    </row>
    <row r="1492" customFormat="false" ht="15" hidden="false" customHeight="false" outlineLevel="0" collapsed="false">
      <c r="A1492" s="0" t="s">
        <v>3693</v>
      </c>
      <c r="B1492" s="0" t="s">
        <v>3694</v>
      </c>
      <c r="C1492" s="0" t="n">
        <v>2.95</v>
      </c>
    </row>
    <row r="1493" customFormat="false" ht="15" hidden="false" customHeight="false" outlineLevel="0" collapsed="false">
      <c r="A1493" s="0" t="s">
        <v>3693</v>
      </c>
      <c r="B1493" s="0" t="s">
        <v>3695</v>
      </c>
      <c r="C1493" s="0" t="n">
        <v>2.95</v>
      </c>
    </row>
    <row r="1494" customFormat="false" ht="15" hidden="false" customHeight="false" outlineLevel="0" collapsed="false">
      <c r="A1494" s="0" t="s">
        <v>3696</v>
      </c>
      <c r="B1494" s="0" t="s">
        <v>3697</v>
      </c>
      <c r="C1494" s="0" t="n">
        <v>21.95</v>
      </c>
    </row>
    <row r="1495" customFormat="false" ht="15" hidden="false" customHeight="false" outlineLevel="0" collapsed="false">
      <c r="A1495" s="0" t="s">
        <v>3698</v>
      </c>
      <c r="B1495" s="0" t="s">
        <v>3699</v>
      </c>
      <c r="C1495" s="0" t="n">
        <v>125</v>
      </c>
    </row>
    <row r="1496" customFormat="false" ht="15" hidden="false" customHeight="false" outlineLevel="0" collapsed="false">
      <c r="A1496" s="0" t="s">
        <v>3700</v>
      </c>
      <c r="B1496" s="0" t="s">
        <v>3701</v>
      </c>
      <c r="C1496" s="0" t="n">
        <v>29.95</v>
      </c>
    </row>
    <row r="1497" customFormat="false" ht="15" hidden="false" customHeight="false" outlineLevel="0" collapsed="false">
      <c r="A1497" s="0" t="s">
        <v>3702</v>
      </c>
      <c r="B1497" s="0" t="s">
        <v>3703</v>
      </c>
      <c r="C1497" s="0" t="n">
        <v>1.25</v>
      </c>
    </row>
    <row r="1498" customFormat="false" ht="15" hidden="false" customHeight="false" outlineLevel="0" collapsed="false">
      <c r="A1498" s="0" t="s">
        <v>3704</v>
      </c>
      <c r="B1498" s="0" t="s">
        <v>853</v>
      </c>
      <c r="C1498" s="0" t="n">
        <v>1.25</v>
      </c>
    </row>
    <row r="1499" customFormat="false" ht="15" hidden="false" customHeight="false" outlineLevel="0" collapsed="false">
      <c r="A1499" s="0" t="s">
        <v>3705</v>
      </c>
      <c r="B1499" s="0" t="s">
        <v>3706</v>
      </c>
      <c r="C1499" s="0" t="n">
        <v>2.54</v>
      </c>
    </row>
    <row r="1500" customFormat="false" ht="15" hidden="false" customHeight="false" outlineLevel="0" collapsed="false">
      <c r="A1500" s="0" t="s">
        <v>3707</v>
      </c>
      <c r="B1500" s="0" t="s">
        <v>3708</v>
      </c>
      <c r="C1500" s="0" t="n">
        <v>2.54</v>
      </c>
    </row>
    <row r="1501" customFormat="false" ht="15" hidden="false" customHeight="false" outlineLevel="0" collapsed="false">
      <c r="A1501" s="0" t="s">
        <v>3709</v>
      </c>
      <c r="B1501" s="0" t="s">
        <v>3710</v>
      </c>
      <c r="C1501" s="0" t="n">
        <v>2.55</v>
      </c>
    </row>
    <row r="1502" customFormat="false" ht="15" hidden="false" customHeight="false" outlineLevel="0" collapsed="false">
      <c r="A1502" s="0" t="s">
        <v>3711</v>
      </c>
      <c r="B1502" s="0" t="s">
        <v>182</v>
      </c>
      <c r="C1502" s="0" t="n">
        <v>0.85</v>
      </c>
    </row>
    <row r="1503" customFormat="false" ht="15" hidden="false" customHeight="false" outlineLevel="0" collapsed="false">
      <c r="A1503" s="0" t="s">
        <v>3712</v>
      </c>
      <c r="B1503" s="0" t="s">
        <v>183</v>
      </c>
      <c r="C1503" s="0" t="n">
        <v>0.85</v>
      </c>
    </row>
    <row r="1504" customFormat="false" ht="15" hidden="false" customHeight="false" outlineLevel="0" collapsed="false">
      <c r="A1504" s="0" t="s">
        <v>3713</v>
      </c>
      <c r="B1504" s="0" t="s">
        <v>184</v>
      </c>
      <c r="C1504" s="0" t="n">
        <v>0.85</v>
      </c>
    </row>
    <row r="1505" customFormat="false" ht="15" hidden="false" customHeight="false" outlineLevel="0" collapsed="false">
      <c r="A1505" s="0" t="s">
        <v>3714</v>
      </c>
      <c r="B1505" s="0" t="s">
        <v>3715</v>
      </c>
      <c r="C1505" s="0" t="n">
        <v>1.25</v>
      </c>
    </row>
    <row r="1506" customFormat="false" ht="15" hidden="false" customHeight="false" outlineLevel="0" collapsed="false">
      <c r="A1506" s="0" t="s">
        <v>3716</v>
      </c>
      <c r="B1506" s="0" t="s">
        <v>3717</v>
      </c>
      <c r="C1506" s="0" t="n">
        <v>2.95</v>
      </c>
    </row>
    <row r="1507" customFormat="false" ht="15" hidden="false" customHeight="false" outlineLevel="0" collapsed="false">
      <c r="A1507" s="0" t="s">
        <v>3718</v>
      </c>
      <c r="B1507" s="0" t="s">
        <v>3719</v>
      </c>
      <c r="C1507" s="0" t="n">
        <v>2.95</v>
      </c>
    </row>
    <row r="1508" customFormat="false" ht="15" hidden="false" customHeight="false" outlineLevel="0" collapsed="false">
      <c r="A1508" s="0" t="s">
        <v>3720</v>
      </c>
      <c r="B1508" s="0" t="s">
        <v>3721</v>
      </c>
      <c r="C1508" s="0" t="n">
        <v>0.42</v>
      </c>
    </row>
    <row r="1509" customFormat="false" ht="15" hidden="false" customHeight="false" outlineLevel="0" collapsed="false">
      <c r="A1509" s="0" t="s">
        <v>3722</v>
      </c>
      <c r="B1509" s="0" t="s">
        <v>3723</v>
      </c>
      <c r="C1509" s="0" t="n">
        <v>1.65</v>
      </c>
    </row>
    <row r="1510" customFormat="false" ht="15" hidden="false" customHeight="false" outlineLevel="0" collapsed="false">
      <c r="A1510" s="0" t="s">
        <v>3724</v>
      </c>
      <c r="B1510" s="0" t="s">
        <v>3725</v>
      </c>
      <c r="C1510" s="0" t="n">
        <v>0.85</v>
      </c>
    </row>
    <row r="1511" customFormat="false" ht="15" hidden="false" customHeight="false" outlineLevel="0" collapsed="false">
      <c r="A1511" s="0" t="s">
        <v>3724</v>
      </c>
      <c r="B1511" s="0" t="s">
        <v>3726</v>
      </c>
      <c r="C1511" s="0" t="n">
        <v>0.22</v>
      </c>
    </row>
    <row r="1512" customFormat="false" ht="15" hidden="false" customHeight="false" outlineLevel="0" collapsed="false">
      <c r="A1512" s="0" t="s">
        <v>3727</v>
      </c>
      <c r="B1512" s="0" t="s">
        <v>3728</v>
      </c>
      <c r="C1512" s="0" t="n">
        <v>2.51</v>
      </c>
    </row>
    <row r="1513" customFormat="false" ht="15" hidden="false" customHeight="false" outlineLevel="0" collapsed="false">
      <c r="A1513" s="0" t="s">
        <v>3729</v>
      </c>
      <c r="B1513" s="0" t="s">
        <v>3730</v>
      </c>
      <c r="C1513" s="0" t="n">
        <v>16.13</v>
      </c>
    </row>
    <row r="1514" customFormat="false" ht="15" hidden="false" customHeight="false" outlineLevel="0" collapsed="false">
      <c r="A1514" s="0" t="s">
        <v>3731</v>
      </c>
      <c r="B1514" s="0" t="s">
        <v>3732</v>
      </c>
      <c r="C1514" s="0" t="n">
        <v>4.25</v>
      </c>
    </row>
    <row r="1515" customFormat="false" ht="15" hidden="false" customHeight="false" outlineLevel="0" collapsed="false">
      <c r="A1515" s="0" t="s">
        <v>3733</v>
      </c>
      <c r="B1515" s="0" t="s">
        <v>739</v>
      </c>
      <c r="C1515" s="0" t="n">
        <v>4.25</v>
      </c>
    </row>
    <row r="1516" customFormat="false" ht="15" hidden="false" customHeight="false" outlineLevel="0" collapsed="false">
      <c r="A1516" s="0" t="s">
        <v>3734</v>
      </c>
      <c r="B1516" s="0" t="s">
        <v>733</v>
      </c>
      <c r="C1516" s="0" t="n">
        <v>4.25</v>
      </c>
    </row>
    <row r="1517" customFormat="false" ht="15" hidden="false" customHeight="false" outlineLevel="0" collapsed="false">
      <c r="A1517" s="0" t="s">
        <v>3735</v>
      </c>
      <c r="B1517" s="0" t="s">
        <v>3736</v>
      </c>
      <c r="C1517" s="0" t="n">
        <v>4.25</v>
      </c>
    </row>
    <row r="1518" customFormat="false" ht="15" hidden="false" customHeight="false" outlineLevel="0" collapsed="false">
      <c r="A1518" s="0" t="s">
        <v>3737</v>
      </c>
      <c r="B1518" s="0" t="s">
        <v>3738</v>
      </c>
      <c r="C1518" s="0" t="n">
        <v>3.75</v>
      </c>
    </row>
    <row r="1519" customFormat="false" ht="15" hidden="false" customHeight="false" outlineLevel="0" collapsed="false">
      <c r="A1519" s="0" t="s">
        <v>3739</v>
      </c>
      <c r="B1519" s="0" t="s">
        <v>3740</v>
      </c>
      <c r="C1519" s="0" t="n">
        <v>0.85</v>
      </c>
    </row>
    <row r="1520" customFormat="false" ht="15" hidden="false" customHeight="false" outlineLevel="0" collapsed="false">
      <c r="A1520" s="0" t="s">
        <v>3741</v>
      </c>
      <c r="B1520" s="0" t="s">
        <v>3742</v>
      </c>
      <c r="C1520" s="0" t="n">
        <v>3.75</v>
      </c>
    </row>
    <row r="1521" customFormat="false" ht="15" hidden="false" customHeight="false" outlineLevel="0" collapsed="false">
      <c r="A1521" s="0" t="s">
        <v>3743</v>
      </c>
      <c r="B1521" s="0" t="s">
        <v>3744</v>
      </c>
      <c r="C1521" s="0" t="n">
        <v>11.02</v>
      </c>
    </row>
    <row r="1522" customFormat="false" ht="15" hidden="false" customHeight="false" outlineLevel="0" collapsed="false">
      <c r="A1522" s="0" t="s">
        <v>3745</v>
      </c>
      <c r="B1522" s="0" t="s">
        <v>3746</v>
      </c>
      <c r="C1522" s="0" t="n">
        <v>1.25</v>
      </c>
    </row>
    <row r="1523" customFormat="false" ht="15" hidden="false" customHeight="false" outlineLevel="0" collapsed="false">
      <c r="A1523" s="0" t="s">
        <v>3747</v>
      </c>
      <c r="B1523" s="0" t="s">
        <v>3748</v>
      </c>
      <c r="C1523" s="0" t="n">
        <v>0.65</v>
      </c>
    </row>
    <row r="1524" customFormat="false" ht="15" hidden="false" customHeight="false" outlineLevel="0" collapsed="false">
      <c r="A1524" s="0" t="s">
        <v>3749</v>
      </c>
      <c r="B1524" s="0" t="s">
        <v>3750</v>
      </c>
      <c r="C1524" s="0" t="n">
        <v>0.65</v>
      </c>
    </row>
    <row r="1525" customFormat="false" ht="15" hidden="false" customHeight="false" outlineLevel="0" collapsed="false">
      <c r="A1525" s="0" t="s">
        <v>3751</v>
      </c>
      <c r="B1525" s="0" t="s">
        <v>3752</v>
      </c>
      <c r="C1525" s="0" t="n">
        <v>0.85</v>
      </c>
    </row>
    <row r="1526" customFormat="false" ht="15" hidden="false" customHeight="false" outlineLevel="0" collapsed="false">
      <c r="A1526" s="0" t="s">
        <v>3753</v>
      </c>
      <c r="B1526" s="0" t="s">
        <v>3754</v>
      </c>
      <c r="C1526" s="0" t="n">
        <v>0.42</v>
      </c>
    </row>
    <row r="1527" customFormat="false" ht="15" hidden="false" customHeight="false" outlineLevel="0" collapsed="false">
      <c r="A1527" s="0" t="s">
        <v>3755</v>
      </c>
      <c r="B1527" s="0" t="s">
        <v>3756</v>
      </c>
      <c r="C1527" s="0" t="n">
        <v>0.09</v>
      </c>
    </row>
    <row r="1528" customFormat="false" ht="15" hidden="false" customHeight="false" outlineLevel="0" collapsed="false">
      <c r="A1528" s="0" t="s">
        <v>3757</v>
      </c>
      <c r="B1528" s="0" t="s">
        <v>3758</v>
      </c>
      <c r="C1528" s="0" t="n">
        <v>1.25</v>
      </c>
    </row>
    <row r="1529" customFormat="false" ht="15" hidden="false" customHeight="false" outlineLevel="0" collapsed="false">
      <c r="A1529" s="0" t="s">
        <v>3759</v>
      </c>
      <c r="B1529" s="0" t="s">
        <v>3760</v>
      </c>
      <c r="C1529" s="0" t="n">
        <v>2.1</v>
      </c>
    </row>
    <row r="1530" customFormat="false" ht="15" hidden="false" customHeight="false" outlineLevel="0" collapsed="false">
      <c r="A1530" s="0" t="s">
        <v>3761</v>
      </c>
      <c r="B1530" s="0" t="s">
        <v>3762</v>
      </c>
      <c r="C1530" s="0" t="n">
        <v>1.49</v>
      </c>
    </row>
    <row r="1531" customFormat="false" ht="15" hidden="false" customHeight="false" outlineLevel="0" collapsed="false">
      <c r="A1531" s="0" t="s">
        <v>3763</v>
      </c>
      <c r="B1531" s="0" t="s">
        <v>3764</v>
      </c>
      <c r="C1531" s="0" t="n">
        <v>34</v>
      </c>
    </row>
    <row r="1532" customFormat="false" ht="15" hidden="false" customHeight="false" outlineLevel="0" collapsed="false">
      <c r="A1532" s="0" t="s">
        <v>3765</v>
      </c>
      <c r="B1532" s="0" t="s">
        <v>3766</v>
      </c>
      <c r="C1532" s="0" t="n">
        <v>3.75</v>
      </c>
    </row>
    <row r="1533" customFormat="false" ht="15" hidden="false" customHeight="false" outlineLevel="0" collapsed="false">
      <c r="A1533" s="0" t="s">
        <v>3767</v>
      </c>
      <c r="B1533" s="0" t="s">
        <v>3768</v>
      </c>
      <c r="C1533" s="0" t="n">
        <v>1.95</v>
      </c>
    </row>
    <row r="1534" customFormat="false" ht="15" hidden="false" customHeight="false" outlineLevel="0" collapsed="false">
      <c r="A1534" s="0" t="s">
        <v>3769</v>
      </c>
      <c r="B1534" s="0" t="s">
        <v>3770</v>
      </c>
      <c r="C1534" s="0" t="n">
        <v>5.95</v>
      </c>
    </row>
    <row r="1535" customFormat="false" ht="15" hidden="false" customHeight="false" outlineLevel="0" collapsed="false">
      <c r="A1535" s="0" t="s">
        <v>3771</v>
      </c>
      <c r="B1535" s="0" t="s">
        <v>3772</v>
      </c>
      <c r="C1535" s="0" t="n">
        <v>3.75</v>
      </c>
    </row>
    <row r="1536" customFormat="false" ht="15" hidden="false" customHeight="false" outlineLevel="0" collapsed="false">
      <c r="A1536" s="0" t="s">
        <v>3773</v>
      </c>
      <c r="B1536" s="0" t="s">
        <v>3774</v>
      </c>
      <c r="C1536" s="0" t="n">
        <v>1.65</v>
      </c>
    </row>
    <row r="1537" customFormat="false" ht="15" hidden="false" customHeight="false" outlineLevel="0" collapsed="false">
      <c r="A1537" s="0" t="s">
        <v>3775</v>
      </c>
      <c r="B1537" s="0" t="s">
        <v>3776</v>
      </c>
      <c r="C1537" s="0" t="n">
        <v>2.55</v>
      </c>
    </row>
    <row r="1538" customFormat="false" ht="15" hidden="false" customHeight="false" outlineLevel="0" collapsed="false">
      <c r="A1538" s="0" t="s">
        <v>3777</v>
      </c>
      <c r="B1538" s="0" t="s">
        <v>3778</v>
      </c>
      <c r="C1538" s="0" t="n">
        <v>1.65</v>
      </c>
    </row>
    <row r="1539" customFormat="false" ht="15" hidden="false" customHeight="false" outlineLevel="0" collapsed="false">
      <c r="A1539" s="0" t="s">
        <v>3779</v>
      </c>
      <c r="B1539" s="0" t="s">
        <v>3780</v>
      </c>
      <c r="C1539" s="0" t="n">
        <v>0.85</v>
      </c>
    </row>
    <row r="1540" customFormat="false" ht="15" hidden="false" customHeight="false" outlineLevel="0" collapsed="false">
      <c r="A1540" s="0" t="s">
        <v>3781</v>
      </c>
      <c r="B1540" s="0" t="s">
        <v>3782</v>
      </c>
      <c r="C1540" s="0" t="n">
        <v>3.75</v>
      </c>
    </row>
    <row r="1541" customFormat="false" ht="15" hidden="false" customHeight="false" outlineLevel="0" collapsed="false">
      <c r="A1541" s="0" t="s">
        <v>3783</v>
      </c>
      <c r="B1541" s="0" t="s">
        <v>3784</v>
      </c>
      <c r="C1541" s="0" t="n">
        <v>1.25</v>
      </c>
    </row>
    <row r="1542" customFormat="false" ht="15" hidden="false" customHeight="false" outlineLevel="0" collapsed="false">
      <c r="A1542" s="0" t="s">
        <v>3785</v>
      </c>
      <c r="B1542" s="0" t="s">
        <v>3786</v>
      </c>
      <c r="C1542" s="0" t="n">
        <v>4.25</v>
      </c>
    </row>
    <row r="1543" customFormat="false" ht="15" hidden="false" customHeight="false" outlineLevel="0" collapsed="false">
      <c r="A1543" s="0" t="s">
        <v>3787</v>
      </c>
      <c r="B1543" s="0" t="s">
        <v>3788</v>
      </c>
      <c r="C1543" s="0" t="n">
        <v>4.25</v>
      </c>
    </row>
    <row r="1544" customFormat="false" ht="15" hidden="false" customHeight="false" outlineLevel="0" collapsed="false">
      <c r="A1544" s="0" t="s">
        <v>3789</v>
      </c>
      <c r="B1544" s="0" t="s">
        <v>3790</v>
      </c>
      <c r="C1544" s="0" t="n">
        <v>4.95</v>
      </c>
    </row>
    <row r="1545" customFormat="false" ht="15" hidden="false" customHeight="false" outlineLevel="0" collapsed="false">
      <c r="A1545" s="0" t="s">
        <v>3791</v>
      </c>
      <c r="B1545" s="0" t="s">
        <v>3792</v>
      </c>
      <c r="C1545" s="0" t="n">
        <v>4.95</v>
      </c>
    </row>
    <row r="1546" customFormat="false" ht="15" hidden="false" customHeight="false" outlineLevel="0" collapsed="false">
      <c r="A1546" s="0" t="s">
        <v>3793</v>
      </c>
      <c r="B1546" s="0" t="s">
        <v>3794</v>
      </c>
      <c r="C1546" s="0" t="n">
        <v>1.25</v>
      </c>
    </row>
    <row r="1547" customFormat="false" ht="15" hidden="false" customHeight="false" outlineLevel="0" collapsed="false">
      <c r="A1547" s="0" t="s">
        <v>3795</v>
      </c>
      <c r="B1547" s="0" t="s">
        <v>3796</v>
      </c>
      <c r="C1547" s="0" t="n">
        <v>1.95</v>
      </c>
    </row>
    <row r="1548" customFormat="false" ht="15" hidden="false" customHeight="false" outlineLevel="0" collapsed="false">
      <c r="A1548" s="0" t="s">
        <v>3797</v>
      </c>
      <c r="B1548" s="0" t="s">
        <v>3798</v>
      </c>
      <c r="C1548" s="0" t="n">
        <v>1.95</v>
      </c>
    </row>
    <row r="1549" customFormat="false" ht="15" hidden="false" customHeight="false" outlineLevel="0" collapsed="false">
      <c r="A1549" s="0" t="s">
        <v>3799</v>
      </c>
      <c r="B1549" s="0" t="s">
        <v>3800</v>
      </c>
      <c r="C1549" s="0" t="n">
        <v>0.85</v>
      </c>
    </row>
    <row r="1550" customFormat="false" ht="15" hidden="false" customHeight="false" outlineLevel="0" collapsed="false">
      <c r="A1550" s="0" t="s">
        <v>3801</v>
      </c>
      <c r="B1550" s="0" t="s">
        <v>3802</v>
      </c>
      <c r="C1550" s="0" t="n">
        <v>1.25</v>
      </c>
    </row>
    <row r="1551" customFormat="false" ht="15" hidden="false" customHeight="false" outlineLevel="0" collapsed="false">
      <c r="A1551" s="0" t="s">
        <v>3803</v>
      </c>
      <c r="B1551" s="0" t="s">
        <v>3804</v>
      </c>
      <c r="C1551" s="0" t="n">
        <v>1.25</v>
      </c>
    </row>
    <row r="1552" customFormat="false" ht="15" hidden="false" customHeight="false" outlineLevel="0" collapsed="false">
      <c r="A1552" s="0" t="s">
        <v>3805</v>
      </c>
      <c r="B1552" s="0" t="s">
        <v>3806</v>
      </c>
      <c r="C1552" s="0" t="n">
        <v>1.95</v>
      </c>
    </row>
    <row r="1553" customFormat="false" ht="15" hidden="false" customHeight="false" outlineLevel="0" collapsed="false">
      <c r="A1553" s="0" t="s">
        <v>3807</v>
      </c>
      <c r="B1553" s="0" t="s">
        <v>3808</v>
      </c>
      <c r="C1553" s="0" t="n">
        <v>9.95</v>
      </c>
    </row>
    <row r="1554" customFormat="false" ht="15" hidden="false" customHeight="false" outlineLevel="0" collapsed="false">
      <c r="A1554" s="0" t="s">
        <v>3809</v>
      </c>
      <c r="B1554" s="0" t="s">
        <v>3810</v>
      </c>
      <c r="C1554" s="0" t="n">
        <v>3.95</v>
      </c>
    </row>
    <row r="1555" customFormat="false" ht="15" hidden="false" customHeight="false" outlineLevel="0" collapsed="false">
      <c r="A1555" s="0" t="s">
        <v>3811</v>
      </c>
      <c r="B1555" s="0" t="s">
        <v>3812</v>
      </c>
      <c r="C1555" s="0" t="n">
        <v>165</v>
      </c>
    </row>
    <row r="1556" customFormat="false" ht="15" hidden="false" customHeight="false" outlineLevel="0" collapsed="false">
      <c r="A1556" s="0" t="s">
        <v>3813</v>
      </c>
      <c r="B1556" s="0" t="s">
        <v>3814</v>
      </c>
      <c r="C1556" s="0" t="n">
        <v>0.65</v>
      </c>
    </row>
    <row r="1557" customFormat="false" ht="15" hidden="false" customHeight="false" outlineLevel="0" collapsed="false">
      <c r="A1557" s="0" t="s">
        <v>3815</v>
      </c>
      <c r="B1557" s="0" t="s">
        <v>113</v>
      </c>
      <c r="C1557" s="0" t="n">
        <v>0.65</v>
      </c>
    </row>
    <row r="1558" customFormat="false" ht="15" hidden="false" customHeight="false" outlineLevel="0" collapsed="false">
      <c r="A1558" s="0" t="s">
        <v>3816</v>
      </c>
      <c r="B1558" s="0" t="s">
        <v>780</v>
      </c>
      <c r="C1558" s="0" t="n">
        <v>0.42</v>
      </c>
    </row>
    <row r="1559" customFormat="false" ht="15" hidden="false" customHeight="false" outlineLevel="0" collapsed="false">
      <c r="A1559" s="0" t="s">
        <v>3817</v>
      </c>
      <c r="B1559" s="0" t="s">
        <v>199</v>
      </c>
      <c r="C1559" s="0" t="n">
        <v>2.1</v>
      </c>
    </row>
    <row r="1560" customFormat="false" ht="15" hidden="false" customHeight="false" outlineLevel="0" collapsed="false">
      <c r="A1560" s="0" t="s">
        <v>3818</v>
      </c>
      <c r="B1560" s="0" t="s">
        <v>854</v>
      </c>
      <c r="C1560" s="0" t="n">
        <v>1.25</v>
      </c>
    </row>
    <row r="1561" customFormat="false" ht="15" hidden="false" customHeight="false" outlineLevel="0" collapsed="false">
      <c r="A1561" s="0" t="s">
        <v>3819</v>
      </c>
      <c r="B1561" s="0" t="s">
        <v>216</v>
      </c>
      <c r="C1561" s="0" t="n">
        <v>1.25</v>
      </c>
    </row>
    <row r="1562" customFormat="false" ht="15" hidden="false" customHeight="false" outlineLevel="0" collapsed="false">
      <c r="A1562" s="0" t="s">
        <v>3820</v>
      </c>
      <c r="B1562" s="0" t="s">
        <v>3821</v>
      </c>
      <c r="C1562" s="0" t="n">
        <v>2.95</v>
      </c>
    </row>
    <row r="1563" customFormat="false" ht="15" hidden="false" customHeight="false" outlineLevel="0" collapsed="false">
      <c r="A1563" s="0" t="s">
        <v>3822</v>
      </c>
      <c r="B1563" s="0" t="s">
        <v>327</v>
      </c>
      <c r="C1563" s="0" t="n">
        <v>4.25</v>
      </c>
    </row>
    <row r="1564" customFormat="false" ht="15" hidden="false" customHeight="false" outlineLevel="0" collapsed="false">
      <c r="A1564" s="0" t="s">
        <v>3823</v>
      </c>
      <c r="B1564" s="0" t="s">
        <v>3824</v>
      </c>
      <c r="C1564" s="0" t="n">
        <v>2.95</v>
      </c>
    </row>
    <row r="1565" customFormat="false" ht="15" hidden="false" customHeight="false" outlineLevel="0" collapsed="false">
      <c r="A1565" s="0" t="s">
        <v>3825</v>
      </c>
      <c r="B1565" s="0" t="s">
        <v>3826</v>
      </c>
      <c r="C1565" s="0" t="n">
        <v>3.75</v>
      </c>
    </row>
    <row r="1566" customFormat="false" ht="15" hidden="false" customHeight="false" outlineLevel="0" collapsed="false">
      <c r="A1566" s="0" t="s">
        <v>3827</v>
      </c>
      <c r="B1566" s="0" t="s">
        <v>3828</v>
      </c>
      <c r="C1566" s="0" t="n">
        <v>0.42</v>
      </c>
    </row>
    <row r="1567" customFormat="false" ht="15" hidden="false" customHeight="false" outlineLevel="0" collapsed="false">
      <c r="A1567" s="0" t="s">
        <v>3829</v>
      </c>
      <c r="B1567" s="0" t="s">
        <v>3830</v>
      </c>
      <c r="C1567" s="0" t="n">
        <v>0.43</v>
      </c>
    </row>
    <row r="1568" customFormat="false" ht="15" hidden="false" customHeight="false" outlineLevel="0" collapsed="false">
      <c r="A1568" s="0" t="s">
        <v>3831</v>
      </c>
      <c r="B1568" s="0" t="s">
        <v>3832</v>
      </c>
      <c r="C1568" s="0" t="n">
        <v>3.36</v>
      </c>
    </row>
    <row r="1569" customFormat="false" ht="15" hidden="false" customHeight="false" outlineLevel="0" collapsed="false">
      <c r="A1569" s="0" t="s">
        <v>3833</v>
      </c>
      <c r="B1569" s="0" t="s">
        <v>3834</v>
      </c>
      <c r="C1569" s="0" t="n">
        <v>2.55</v>
      </c>
    </row>
    <row r="1570" customFormat="false" ht="15" hidden="false" customHeight="false" outlineLevel="0" collapsed="false">
      <c r="A1570" s="0" t="s">
        <v>3835</v>
      </c>
      <c r="B1570" s="0" t="s">
        <v>3836</v>
      </c>
      <c r="C1570" s="0" t="n">
        <v>4.95</v>
      </c>
    </row>
    <row r="1571" customFormat="false" ht="15" hidden="false" customHeight="false" outlineLevel="0" collapsed="false">
      <c r="A1571" s="0" t="s">
        <v>3837</v>
      </c>
      <c r="B1571" s="0" t="s">
        <v>855</v>
      </c>
      <c r="C1571" s="0" t="n">
        <v>1.25</v>
      </c>
    </row>
    <row r="1572" customFormat="false" ht="15" hidden="false" customHeight="false" outlineLevel="0" collapsed="false">
      <c r="A1572" s="0" t="s">
        <v>3838</v>
      </c>
      <c r="B1572" s="0" t="s">
        <v>3839</v>
      </c>
      <c r="C1572" s="0" t="n">
        <v>3.75</v>
      </c>
    </row>
    <row r="1573" customFormat="false" ht="15" hidden="false" customHeight="false" outlineLevel="0" collapsed="false">
      <c r="A1573" s="0" t="s">
        <v>3840</v>
      </c>
      <c r="B1573" s="0" t="s">
        <v>3841</v>
      </c>
      <c r="C1573" s="0" t="n">
        <v>3.81</v>
      </c>
    </row>
    <row r="1574" customFormat="false" ht="15" hidden="false" customHeight="false" outlineLevel="0" collapsed="false">
      <c r="A1574" s="0" t="s">
        <v>3842</v>
      </c>
      <c r="B1574" s="0" t="s">
        <v>3843</v>
      </c>
      <c r="C1574" s="0" t="n">
        <v>3.81</v>
      </c>
    </row>
    <row r="1575" customFormat="false" ht="15" hidden="false" customHeight="false" outlineLevel="0" collapsed="false">
      <c r="A1575" s="0" t="s">
        <v>3844</v>
      </c>
      <c r="B1575" s="0" t="s">
        <v>3845</v>
      </c>
      <c r="C1575" s="0" t="n">
        <v>2.95</v>
      </c>
    </row>
    <row r="1576" customFormat="false" ht="15" hidden="false" customHeight="false" outlineLevel="0" collapsed="false">
      <c r="A1576" s="0" t="s">
        <v>3846</v>
      </c>
      <c r="B1576" s="0" t="s">
        <v>3847</v>
      </c>
      <c r="C1576" s="0" t="n">
        <v>2.95</v>
      </c>
    </row>
    <row r="1577" customFormat="false" ht="15" hidden="false" customHeight="false" outlineLevel="0" collapsed="false">
      <c r="A1577" s="0" t="s">
        <v>3848</v>
      </c>
      <c r="B1577" s="0" t="s">
        <v>3849</v>
      </c>
      <c r="C1577" s="0" t="n">
        <v>2.96</v>
      </c>
    </row>
    <row r="1578" customFormat="false" ht="15" hidden="false" customHeight="false" outlineLevel="0" collapsed="false">
      <c r="A1578" s="0" t="s">
        <v>3850</v>
      </c>
      <c r="B1578" s="0" t="s">
        <v>3851</v>
      </c>
      <c r="C1578" s="0" t="n">
        <v>2.95</v>
      </c>
    </row>
    <row r="1579" customFormat="false" ht="15" hidden="false" customHeight="false" outlineLevel="0" collapsed="false">
      <c r="A1579" s="0" t="s">
        <v>3852</v>
      </c>
      <c r="B1579" s="0" t="s">
        <v>3853</v>
      </c>
      <c r="C1579" s="0" t="n">
        <v>8.5</v>
      </c>
    </row>
    <row r="1580" customFormat="false" ht="15" hidden="false" customHeight="false" outlineLevel="0" collapsed="false">
      <c r="A1580" s="0" t="s">
        <v>3854</v>
      </c>
      <c r="B1580" s="0" t="s">
        <v>3855</v>
      </c>
      <c r="C1580" s="0" t="n">
        <v>8.5</v>
      </c>
    </row>
    <row r="1581" customFormat="false" ht="15" hidden="false" customHeight="false" outlineLevel="0" collapsed="false">
      <c r="A1581" s="0" t="s">
        <v>3856</v>
      </c>
      <c r="B1581" s="0" t="s">
        <v>3857</v>
      </c>
      <c r="C1581" s="0" t="n">
        <v>8.5</v>
      </c>
    </row>
    <row r="1582" customFormat="false" ht="15" hidden="false" customHeight="false" outlineLevel="0" collapsed="false">
      <c r="A1582" s="0" t="s">
        <v>3858</v>
      </c>
      <c r="B1582" s="0" t="s">
        <v>3859</v>
      </c>
      <c r="C1582" s="0" t="n">
        <v>8.5</v>
      </c>
    </row>
    <row r="1583" customFormat="false" ht="15" hidden="false" customHeight="false" outlineLevel="0" collapsed="false">
      <c r="A1583" s="0" t="s">
        <v>3860</v>
      </c>
      <c r="B1583" s="0" t="s">
        <v>3861</v>
      </c>
      <c r="C1583" s="0" t="n">
        <v>3.95</v>
      </c>
    </row>
    <row r="1584" customFormat="false" ht="15" hidden="false" customHeight="false" outlineLevel="0" collapsed="false">
      <c r="A1584" s="0" t="s">
        <v>3862</v>
      </c>
      <c r="B1584" s="0" t="s">
        <v>3863</v>
      </c>
      <c r="C1584" s="0" t="n">
        <v>1.25</v>
      </c>
    </row>
    <row r="1585" customFormat="false" ht="15" hidden="false" customHeight="false" outlineLevel="0" collapsed="false">
      <c r="A1585" s="0" t="s">
        <v>3864</v>
      </c>
      <c r="B1585" s="0" t="s">
        <v>3865</v>
      </c>
      <c r="C1585" s="0" t="n">
        <v>1.25</v>
      </c>
    </row>
    <row r="1586" customFormat="false" ht="15" hidden="false" customHeight="false" outlineLevel="0" collapsed="false">
      <c r="A1586" s="0" t="s">
        <v>3866</v>
      </c>
      <c r="B1586" s="0" t="s">
        <v>3867</v>
      </c>
      <c r="C1586" s="0" t="n">
        <v>1.25</v>
      </c>
    </row>
    <row r="1587" customFormat="false" ht="15" hidden="false" customHeight="false" outlineLevel="0" collapsed="false">
      <c r="A1587" s="0" t="s">
        <v>3868</v>
      </c>
      <c r="B1587" s="0" t="s">
        <v>3869</v>
      </c>
      <c r="C1587" s="0" t="n">
        <v>16.95</v>
      </c>
    </row>
    <row r="1588" customFormat="false" ht="15" hidden="false" customHeight="false" outlineLevel="0" collapsed="false">
      <c r="A1588" s="0" t="s">
        <v>3870</v>
      </c>
      <c r="B1588" s="0" t="s">
        <v>3871</v>
      </c>
      <c r="C1588" s="0" t="n">
        <v>14.95</v>
      </c>
    </row>
    <row r="1589" customFormat="false" ht="15" hidden="false" customHeight="false" outlineLevel="0" collapsed="false">
      <c r="A1589" s="0" t="s">
        <v>3872</v>
      </c>
      <c r="B1589" s="0" t="s">
        <v>3873</v>
      </c>
      <c r="C1589" s="0" t="n">
        <v>14.95</v>
      </c>
    </row>
    <row r="1590" customFormat="false" ht="15" hidden="false" customHeight="false" outlineLevel="0" collapsed="false">
      <c r="A1590" s="0" t="s">
        <v>3874</v>
      </c>
      <c r="B1590" s="0" t="s">
        <v>3875</v>
      </c>
      <c r="C1590" s="0" t="n">
        <v>2.55</v>
      </c>
    </row>
    <row r="1591" customFormat="false" ht="15" hidden="false" customHeight="false" outlineLevel="0" collapsed="false">
      <c r="A1591" s="0" t="s">
        <v>3876</v>
      </c>
      <c r="B1591" s="0" t="s">
        <v>3877</v>
      </c>
      <c r="C1591" s="0" t="n">
        <v>1.65</v>
      </c>
    </row>
    <row r="1592" customFormat="false" ht="15" hidden="false" customHeight="false" outlineLevel="0" collapsed="false">
      <c r="A1592" s="0" t="s">
        <v>3878</v>
      </c>
      <c r="B1592" s="0" t="s">
        <v>3879</v>
      </c>
      <c r="C1592" s="0" t="n">
        <v>2.55</v>
      </c>
    </row>
    <row r="1593" customFormat="false" ht="15" hidden="false" customHeight="false" outlineLevel="0" collapsed="false">
      <c r="A1593" s="0" t="s">
        <v>3880</v>
      </c>
      <c r="B1593" s="0" t="s">
        <v>3881</v>
      </c>
      <c r="C1593" s="0" t="n">
        <v>1.65</v>
      </c>
    </row>
    <row r="1594" customFormat="false" ht="15" hidden="false" customHeight="false" outlineLevel="0" collapsed="false">
      <c r="A1594" s="0" t="s">
        <v>3882</v>
      </c>
      <c r="B1594" s="0" t="s">
        <v>3883</v>
      </c>
      <c r="C1594" s="0" t="n">
        <v>1.65</v>
      </c>
    </row>
    <row r="1595" customFormat="false" ht="15" hidden="false" customHeight="false" outlineLevel="0" collapsed="false">
      <c r="A1595" s="0" t="s">
        <v>3884</v>
      </c>
      <c r="B1595" s="0" t="s">
        <v>3885</v>
      </c>
      <c r="C1595" s="0" t="n">
        <v>8.5</v>
      </c>
    </row>
    <row r="1596" customFormat="false" ht="15" hidden="false" customHeight="false" outlineLevel="0" collapsed="false">
      <c r="A1596" s="0" t="s">
        <v>3886</v>
      </c>
      <c r="B1596" s="0" t="s">
        <v>3887</v>
      </c>
      <c r="C1596" s="0" t="n">
        <v>3.95</v>
      </c>
    </row>
    <row r="1597" customFormat="false" ht="15" hidden="false" customHeight="false" outlineLevel="0" collapsed="false">
      <c r="A1597" s="0" t="s">
        <v>3888</v>
      </c>
      <c r="B1597" s="0" t="s">
        <v>3889</v>
      </c>
      <c r="C1597" s="0" t="n">
        <v>2.1</v>
      </c>
    </row>
    <row r="1598" customFormat="false" ht="15" hidden="false" customHeight="false" outlineLevel="0" collapsed="false">
      <c r="A1598" s="0" t="s">
        <v>3890</v>
      </c>
      <c r="B1598" s="0" t="s">
        <v>3891</v>
      </c>
      <c r="C1598" s="0" t="n">
        <v>1.95</v>
      </c>
    </row>
    <row r="1599" customFormat="false" ht="15" hidden="false" customHeight="false" outlineLevel="0" collapsed="false">
      <c r="A1599" s="0" t="s">
        <v>3892</v>
      </c>
      <c r="B1599" s="0" t="s">
        <v>3893</v>
      </c>
      <c r="C1599" s="0" t="n">
        <v>0.85</v>
      </c>
    </row>
    <row r="1600" customFormat="false" ht="15" hidden="false" customHeight="false" outlineLevel="0" collapsed="false">
      <c r="A1600" s="0" t="s">
        <v>3894</v>
      </c>
      <c r="B1600" s="0" t="s">
        <v>3895</v>
      </c>
      <c r="C1600" s="0" t="n">
        <v>1.95</v>
      </c>
    </row>
    <row r="1601" customFormat="false" ht="15" hidden="false" customHeight="false" outlineLevel="0" collapsed="false">
      <c r="A1601" s="0" t="s">
        <v>3896</v>
      </c>
      <c r="B1601" s="0" t="s">
        <v>3897</v>
      </c>
      <c r="C1601" s="0" t="n">
        <v>2.95</v>
      </c>
    </row>
    <row r="1602" customFormat="false" ht="15" hidden="false" customHeight="false" outlineLevel="0" collapsed="false">
      <c r="A1602" s="0" t="s">
        <v>3898</v>
      </c>
      <c r="B1602" s="0" t="s">
        <v>3899</v>
      </c>
      <c r="C1602" s="0" t="n">
        <v>2.95</v>
      </c>
    </row>
    <row r="1603" customFormat="false" ht="15" hidden="false" customHeight="false" outlineLevel="0" collapsed="false">
      <c r="A1603" s="0" t="s">
        <v>3900</v>
      </c>
      <c r="B1603" s="0" t="s">
        <v>3901</v>
      </c>
      <c r="C1603" s="0" t="n">
        <v>2.95</v>
      </c>
    </row>
    <row r="1604" customFormat="false" ht="15" hidden="false" customHeight="false" outlineLevel="0" collapsed="false">
      <c r="A1604" s="0" t="s">
        <v>3902</v>
      </c>
      <c r="B1604" s="0" t="s">
        <v>3903</v>
      </c>
      <c r="C1604" s="0" t="n">
        <v>2.95</v>
      </c>
    </row>
    <row r="1605" customFormat="false" ht="15" hidden="false" customHeight="false" outlineLevel="0" collapsed="false">
      <c r="A1605" s="0" t="s">
        <v>3904</v>
      </c>
      <c r="B1605" s="0" t="s">
        <v>3905</v>
      </c>
      <c r="C1605" s="0" t="n">
        <v>2.95</v>
      </c>
    </row>
    <row r="1606" customFormat="false" ht="15" hidden="false" customHeight="false" outlineLevel="0" collapsed="false">
      <c r="A1606" s="0" t="s">
        <v>3906</v>
      </c>
      <c r="B1606" s="0" t="s">
        <v>3907</v>
      </c>
      <c r="C1606" s="0" t="n">
        <v>2.95</v>
      </c>
    </row>
    <row r="1607" customFormat="false" ht="15" hidden="false" customHeight="false" outlineLevel="0" collapsed="false">
      <c r="A1607" s="0" t="s">
        <v>3908</v>
      </c>
      <c r="B1607" s="0" t="s">
        <v>3909</v>
      </c>
      <c r="C1607" s="0" t="n">
        <v>1.25</v>
      </c>
    </row>
    <row r="1608" customFormat="false" ht="15" hidden="false" customHeight="false" outlineLevel="0" collapsed="false">
      <c r="A1608" s="0" t="s">
        <v>3910</v>
      </c>
      <c r="B1608" s="0" t="s">
        <v>3911</v>
      </c>
      <c r="C1608" s="0" t="n">
        <v>5.45</v>
      </c>
    </row>
    <row r="1609" customFormat="false" ht="15" hidden="false" customHeight="false" outlineLevel="0" collapsed="false">
      <c r="A1609" s="0" t="s">
        <v>3912</v>
      </c>
      <c r="B1609" s="0" t="s">
        <v>3913</v>
      </c>
      <c r="C1609" s="0" t="n">
        <v>4.95</v>
      </c>
    </row>
    <row r="1610" customFormat="false" ht="15" hidden="false" customHeight="false" outlineLevel="0" collapsed="false">
      <c r="A1610" s="0" t="s">
        <v>3914</v>
      </c>
      <c r="B1610" s="0" t="s">
        <v>3915</v>
      </c>
      <c r="C1610" s="0" t="n">
        <v>1.25</v>
      </c>
    </row>
    <row r="1611" customFormat="false" ht="15" hidden="false" customHeight="false" outlineLevel="0" collapsed="false">
      <c r="A1611" s="0" t="s">
        <v>3916</v>
      </c>
      <c r="B1611" s="0" t="s">
        <v>3917</v>
      </c>
      <c r="C1611" s="0" t="n">
        <v>2.55</v>
      </c>
    </row>
    <row r="1612" customFormat="false" ht="15" hidden="false" customHeight="false" outlineLevel="0" collapsed="false">
      <c r="A1612" s="0" t="s">
        <v>3918</v>
      </c>
      <c r="B1612" s="0" t="s">
        <v>3919</v>
      </c>
      <c r="C1612" s="0" t="n">
        <v>0.85</v>
      </c>
    </row>
    <row r="1613" customFormat="false" ht="15" hidden="false" customHeight="false" outlineLevel="0" collapsed="false">
      <c r="A1613" s="0" t="s">
        <v>3920</v>
      </c>
      <c r="B1613" s="0" t="s">
        <v>3921</v>
      </c>
      <c r="C1613" s="0" t="n">
        <v>0.85</v>
      </c>
    </row>
    <row r="1614" customFormat="false" ht="15" hidden="false" customHeight="false" outlineLevel="0" collapsed="false">
      <c r="A1614" s="0" t="s">
        <v>3922</v>
      </c>
      <c r="B1614" s="0" t="s">
        <v>3923</v>
      </c>
      <c r="C1614" s="0" t="n">
        <v>0.85</v>
      </c>
    </row>
    <row r="1615" customFormat="false" ht="15" hidden="false" customHeight="false" outlineLevel="0" collapsed="false">
      <c r="A1615" s="0" t="s">
        <v>3924</v>
      </c>
      <c r="B1615" s="0" t="s">
        <v>3925</v>
      </c>
      <c r="C1615" s="0" t="n">
        <v>1.95</v>
      </c>
    </row>
    <row r="1616" customFormat="false" ht="15" hidden="false" customHeight="false" outlineLevel="0" collapsed="false">
      <c r="A1616" s="0" t="s">
        <v>3926</v>
      </c>
      <c r="B1616" s="0" t="s">
        <v>3927</v>
      </c>
      <c r="C1616" s="0" t="n">
        <v>2.1</v>
      </c>
    </row>
    <row r="1617" customFormat="false" ht="15" hidden="false" customHeight="false" outlineLevel="0" collapsed="false">
      <c r="A1617" s="0" t="s">
        <v>3928</v>
      </c>
      <c r="B1617" s="0" t="s">
        <v>3929</v>
      </c>
      <c r="C1617" s="0" t="n">
        <v>3.75</v>
      </c>
    </row>
    <row r="1618" customFormat="false" ht="15" hidden="false" customHeight="false" outlineLevel="0" collapsed="false">
      <c r="A1618" s="0" t="s">
        <v>3930</v>
      </c>
      <c r="B1618" s="0" t="s">
        <v>3931</v>
      </c>
      <c r="C1618" s="0" t="n">
        <v>1.45</v>
      </c>
    </row>
    <row r="1619" customFormat="false" ht="15" hidden="false" customHeight="false" outlineLevel="0" collapsed="false">
      <c r="A1619" s="0" t="s">
        <v>3932</v>
      </c>
      <c r="B1619" s="0" t="s">
        <v>3933</v>
      </c>
      <c r="C1619" s="0" t="n">
        <v>3.75</v>
      </c>
    </row>
    <row r="1620" customFormat="false" ht="15" hidden="false" customHeight="false" outlineLevel="0" collapsed="false">
      <c r="A1620" s="0" t="s">
        <v>3934</v>
      </c>
      <c r="B1620" s="0" t="s">
        <v>3935</v>
      </c>
      <c r="C1620" s="0" t="n">
        <v>0.21</v>
      </c>
    </row>
    <row r="1621" customFormat="false" ht="15" hidden="false" customHeight="false" outlineLevel="0" collapsed="false">
      <c r="A1621" s="0" t="s">
        <v>3936</v>
      </c>
      <c r="B1621" s="0" t="s">
        <v>3937</v>
      </c>
      <c r="C1621" s="0" t="n">
        <v>7.5</v>
      </c>
    </row>
    <row r="1622" customFormat="false" ht="15" hidden="false" customHeight="false" outlineLevel="0" collapsed="false">
      <c r="A1622" s="0" t="s">
        <v>3938</v>
      </c>
      <c r="B1622" s="0" t="s">
        <v>3939</v>
      </c>
      <c r="C1622" s="0" t="n">
        <v>2.12</v>
      </c>
    </row>
    <row r="1623" customFormat="false" ht="15" hidden="false" customHeight="false" outlineLevel="0" collapsed="false">
      <c r="A1623" s="0" t="s">
        <v>3940</v>
      </c>
      <c r="B1623" s="0" t="s">
        <v>3941</v>
      </c>
      <c r="C1623" s="0" t="n">
        <v>6.75</v>
      </c>
    </row>
    <row r="1624" customFormat="false" ht="15" hidden="false" customHeight="false" outlineLevel="0" collapsed="false">
      <c r="A1624" s="0" t="s">
        <v>3942</v>
      </c>
      <c r="B1624" s="0" t="s">
        <v>3943</v>
      </c>
      <c r="C1624" s="0" t="n">
        <v>1.95</v>
      </c>
    </row>
    <row r="1625" customFormat="false" ht="15" hidden="false" customHeight="false" outlineLevel="0" collapsed="false">
      <c r="A1625" s="0" t="s">
        <v>3944</v>
      </c>
      <c r="B1625" s="0" t="s">
        <v>3945</v>
      </c>
      <c r="C1625" s="0" t="n">
        <v>2.1</v>
      </c>
    </row>
    <row r="1626" customFormat="false" ht="15" hidden="false" customHeight="false" outlineLevel="0" collapsed="false">
      <c r="A1626" s="0" t="s">
        <v>3946</v>
      </c>
      <c r="B1626" s="0" t="s">
        <v>3947</v>
      </c>
      <c r="C1626" s="0" t="n">
        <v>2.1</v>
      </c>
    </row>
    <row r="1627" customFormat="false" ht="15" hidden="false" customHeight="false" outlineLevel="0" collapsed="false">
      <c r="A1627" s="0" t="s">
        <v>3948</v>
      </c>
      <c r="B1627" s="0" t="s">
        <v>3949</v>
      </c>
      <c r="C1627" s="0" t="n">
        <v>4.95</v>
      </c>
    </row>
    <row r="1628" customFormat="false" ht="15" hidden="false" customHeight="false" outlineLevel="0" collapsed="false">
      <c r="A1628" s="0" t="s">
        <v>3950</v>
      </c>
      <c r="B1628" s="0" t="s">
        <v>3951</v>
      </c>
      <c r="C1628" s="0" t="n">
        <v>5.49</v>
      </c>
    </row>
    <row r="1629" customFormat="false" ht="15" hidden="false" customHeight="false" outlineLevel="0" collapsed="false">
      <c r="A1629" s="0" t="s">
        <v>3952</v>
      </c>
      <c r="B1629" s="0" t="s">
        <v>3953</v>
      </c>
      <c r="C1629" s="0" t="n">
        <v>1.25</v>
      </c>
    </row>
    <row r="1630" customFormat="false" ht="15" hidden="false" customHeight="false" outlineLevel="0" collapsed="false">
      <c r="A1630" s="0" t="s">
        <v>3954</v>
      </c>
      <c r="B1630" s="0" t="s">
        <v>732</v>
      </c>
      <c r="C1630" s="0" t="n">
        <v>6.95</v>
      </c>
    </row>
    <row r="1631" customFormat="false" ht="15" hidden="false" customHeight="false" outlineLevel="0" collapsed="false">
      <c r="A1631" s="0" t="s">
        <v>3955</v>
      </c>
      <c r="B1631" s="0" t="s">
        <v>3956</v>
      </c>
      <c r="C1631" s="0" t="n">
        <v>6.75</v>
      </c>
    </row>
    <row r="1632" customFormat="false" ht="15" hidden="false" customHeight="false" outlineLevel="0" collapsed="false">
      <c r="A1632" s="0" t="s">
        <v>3957</v>
      </c>
      <c r="B1632" s="0" t="s">
        <v>3958</v>
      </c>
      <c r="C1632" s="0" t="n">
        <v>3.95</v>
      </c>
    </row>
    <row r="1633" customFormat="false" ht="15" hidden="false" customHeight="false" outlineLevel="0" collapsed="false">
      <c r="A1633" s="0" t="s">
        <v>3959</v>
      </c>
      <c r="B1633" s="0" t="s">
        <v>3960</v>
      </c>
      <c r="C1633" s="0" t="n">
        <v>9.95</v>
      </c>
    </row>
    <row r="1634" customFormat="false" ht="15" hidden="false" customHeight="false" outlineLevel="0" collapsed="false">
      <c r="A1634" s="0" t="s">
        <v>3961</v>
      </c>
      <c r="B1634" s="0" t="s">
        <v>3962</v>
      </c>
      <c r="C1634" s="0" t="n">
        <v>5.51</v>
      </c>
    </row>
    <row r="1635" customFormat="false" ht="15" hidden="false" customHeight="false" outlineLevel="0" collapsed="false">
      <c r="A1635" s="0" t="s">
        <v>3963</v>
      </c>
      <c r="B1635" s="0" t="s">
        <v>3964</v>
      </c>
      <c r="C1635" s="0" t="n">
        <v>4.24</v>
      </c>
    </row>
    <row r="1636" customFormat="false" ht="15" hidden="false" customHeight="false" outlineLevel="0" collapsed="false">
      <c r="A1636" s="0" t="s">
        <v>3965</v>
      </c>
      <c r="B1636" s="0" t="s">
        <v>3966</v>
      </c>
      <c r="C1636" s="0" t="n">
        <v>0.85</v>
      </c>
    </row>
    <row r="1637" customFormat="false" ht="15" hidden="false" customHeight="false" outlineLevel="0" collapsed="false">
      <c r="A1637" s="0" t="s">
        <v>3967</v>
      </c>
      <c r="B1637" s="0" t="s">
        <v>3968</v>
      </c>
      <c r="C1637" s="0" t="n">
        <v>1.95</v>
      </c>
    </row>
    <row r="1638" customFormat="false" ht="15" hidden="false" customHeight="false" outlineLevel="0" collapsed="false">
      <c r="A1638" s="0" t="s">
        <v>3969</v>
      </c>
      <c r="B1638" s="0" t="s">
        <v>731</v>
      </c>
      <c r="C1638" s="0" t="n">
        <v>2.1</v>
      </c>
    </row>
    <row r="1639" customFormat="false" ht="15" hidden="false" customHeight="false" outlineLevel="0" collapsed="false">
      <c r="A1639" s="0" t="s">
        <v>3970</v>
      </c>
      <c r="B1639" s="0" t="s">
        <v>3971</v>
      </c>
      <c r="C1639" s="0" t="n">
        <v>0.19</v>
      </c>
    </row>
    <row r="1640" customFormat="false" ht="15" hidden="false" customHeight="false" outlineLevel="0" collapsed="false">
      <c r="A1640" s="0" t="s">
        <v>3972</v>
      </c>
      <c r="B1640" s="0" t="s">
        <v>3973</v>
      </c>
      <c r="C1640" s="0" t="n">
        <v>2.1</v>
      </c>
    </row>
    <row r="1641" customFormat="false" ht="15" hidden="false" customHeight="false" outlineLevel="0" collapsed="false">
      <c r="A1641" s="0" t="s">
        <v>3974</v>
      </c>
      <c r="B1641" s="0" t="s">
        <v>3975</v>
      </c>
      <c r="C1641" s="0" t="n">
        <v>4.25</v>
      </c>
    </row>
    <row r="1642" customFormat="false" ht="15" hidden="false" customHeight="false" outlineLevel="0" collapsed="false">
      <c r="A1642" s="0" t="s">
        <v>3976</v>
      </c>
      <c r="B1642" s="0" t="s">
        <v>3977</v>
      </c>
      <c r="C1642" s="0" t="n">
        <v>3.75</v>
      </c>
    </row>
    <row r="1643" customFormat="false" ht="15" hidden="false" customHeight="false" outlineLevel="0" collapsed="false">
      <c r="A1643" s="0" t="s">
        <v>3978</v>
      </c>
      <c r="B1643" s="0" t="s">
        <v>3979</v>
      </c>
      <c r="C1643" s="0" t="n">
        <v>2.95</v>
      </c>
    </row>
    <row r="1644" customFormat="false" ht="15" hidden="false" customHeight="false" outlineLevel="0" collapsed="false">
      <c r="A1644" s="0" t="s">
        <v>3980</v>
      </c>
      <c r="B1644" s="0" t="s">
        <v>3981</v>
      </c>
      <c r="C1644" s="0" t="n">
        <v>3.75</v>
      </c>
    </row>
    <row r="1645" customFormat="false" ht="15" hidden="false" customHeight="false" outlineLevel="0" collapsed="false">
      <c r="A1645" s="0" t="s">
        <v>3982</v>
      </c>
      <c r="B1645" s="0" t="s">
        <v>3983</v>
      </c>
      <c r="C1645" s="0" t="n">
        <v>4.65</v>
      </c>
    </row>
    <row r="1646" customFormat="false" ht="15" hidden="false" customHeight="false" outlineLevel="0" collapsed="false">
      <c r="A1646" s="0" t="s">
        <v>3984</v>
      </c>
      <c r="B1646" s="0" t="s">
        <v>3985</v>
      </c>
      <c r="C1646" s="0" t="n">
        <v>2.95</v>
      </c>
    </row>
    <row r="1647" customFormat="false" ht="15" hidden="false" customHeight="false" outlineLevel="0" collapsed="false">
      <c r="A1647" s="0" t="s">
        <v>3986</v>
      </c>
      <c r="B1647" s="0" t="s">
        <v>3987</v>
      </c>
      <c r="C1647" s="0" t="n">
        <v>8.5</v>
      </c>
    </row>
    <row r="1648" customFormat="false" ht="15" hidden="false" customHeight="false" outlineLevel="0" collapsed="false">
      <c r="A1648" s="0" t="s">
        <v>3988</v>
      </c>
      <c r="B1648" s="0" t="s">
        <v>3989</v>
      </c>
      <c r="C1648" s="0" t="n">
        <v>10.17</v>
      </c>
    </row>
    <row r="1649" customFormat="false" ht="15" hidden="false" customHeight="false" outlineLevel="0" collapsed="false">
      <c r="A1649" s="0" t="s">
        <v>3990</v>
      </c>
      <c r="B1649" s="0" t="s">
        <v>3991</v>
      </c>
      <c r="C1649" s="0" t="n">
        <v>5.95</v>
      </c>
    </row>
    <row r="1650" customFormat="false" ht="15" hidden="false" customHeight="false" outlineLevel="0" collapsed="false">
      <c r="A1650" s="0" t="s">
        <v>3992</v>
      </c>
      <c r="B1650" s="0" t="s">
        <v>761</v>
      </c>
      <c r="C1650" s="0" t="n">
        <v>1.45</v>
      </c>
    </row>
    <row r="1651" customFormat="false" ht="15" hidden="false" customHeight="false" outlineLevel="0" collapsed="false">
      <c r="A1651" s="0" t="s">
        <v>3993</v>
      </c>
      <c r="B1651" s="0" t="s">
        <v>3994</v>
      </c>
      <c r="C1651" s="0" t="n">
        <v>5.91</v>
      </c>
    </row>
    <row r="1652" customFormat="false" ht="15" hidden="false" customHeight="false" outlineLevel="0" collapsed="false">
      <c r="A1652" s="0" t="s">
        <v>3995</v>
      </c>
      <c r="B1652" s="0" t="s">
        <v>95</v>
      </c>
      <c r="C1652" s="0" t="n">
        <v>3.75</v>
      </c>
    </row>
    <row r="1653" customFormat="false" ht="15" hidden="false" customHeight="false" outlineLevel="0" collapsed="false">
      <c r="A1653" s="0" t="s">
        <v>3996</v>
      </c>
      <c r="B1653" s="0" t="s">
        <v>3997</v>
      </c>
      <c r="C1653" s="0" t="n">
        <v>12.75</v>
      </c>
    </row>
    <row r="1654" customFormat="false" ht="15" hidden="false" customHeight="false" outlineLevel="0" collapsed="false">
      <c r="A1654" s="0" t="s">
        <v>3998</v>
      </c>
      <c r="B1654" s="0" t="s">
        <v>815</v>
      </c>
      <c r="C1654" s="0" t="n">
        <v>0.85</v>
      </c>
    </row>
    <row r="1655" customFormat="false" ht="15" hidden="false" customHeight="false" outlineLevel="0" collapsed="false">
      <c r="A1655" s="0" t="s">
        <v>3999</v>
      </c>
      <c r="B1655" s="0" t="s">
        <v>4000</v>
      </c>
      <c r="C1655" s="0" t="n">
        <v>4.65</v>
      </c>
    </row>
    <row r="1656" customFormat="false" ht="15" hidden="false" customHeight="false" outlineLevel="0" collapsed="false">
      <c r="A1656" s="0" t="s">
        <v>4001</v>
      </c>
      <c r="B1656" s="0" t="s">
        <v>4002</v>
      </c>
      <c r="C1656" s="0" t="n">
        <v>4.65</v>
      </c>
    </row>
    <row r="1657" customFormat="false" ht="15" hidden="false" customHeight="false" outlineLevel="0" collapsed="false">
      <c r="A1657" s="0" t="s">
        <v>4003</v>
      </c>
      <c r="B1657" s="0" t="s">
        <v>4004</v>
      </c>
      <c r="C1657" s="0" t="n">
        <v>10.17</v>
      </c>
    </row>
    <row r="1658" customFormat="false" ht="15" hidden="false" customHeight="false" outlineLevel="0" collapsed="false">
      <c r="A1658" s="0" t="s">
        <v>4005</v>
      </c>
      <c r="B1658" s="0" t="s">
        <v>4006</v>
      </c>
      <c r="C1658" s="0" t="n">
        <v>1.95</v>
      </c>
    </row>
    <row r="1659" customFormat="false" ht="15" hidden="false" customHeight="false" outlineLevel="0" collapsed="false">
      <c r="A1659" s="0" t="s">
        <v>4007</v>
      </c>
      <c r="B1659" s="0" t="s">
        <v>4008</v>
      </c>
      <c r="C1659" s="0" t="n">
        <v>2.95</v>
      </c>
    </row>
    <row r="1660" customFormat="false" ht="15" hidden="false" customHeight="false" outlineLevel="0" collapsed="false">
      <c r="A1660" s="0" t="s">
        <v>4009</v>
      </c>
      <c r="B1660" s="0" t="s">
        <v>4010</v>
      </c>
      <c r="C1660" s="0" t="n">
        <v>6.75</v>
      </c>
    </row>
    <row r="1661" customFormat="false" ht="15" hidden="false" customHeight="false" outlineLevel="0" collapsed="false">
      <c r="A1661" s="0" t="s">
        <v>4011</v>
      </c>
      <c r="B1661" s="0" t="s">
        <v>4012</v>
      </c>
      <c r="C1661" s="0" t="n">
        <v>4.25</v>
      </c>
    </row>
    <row r="1662" customFormat="false" ht="15" hidden="false" customHeight="false" outlineLevel="0" collapsed="false">
      <c r="A1662" s="0" t="s">
        <v>4013</v>
      </c>
      <c r="B1662" s="0" t="s">
        <v>4014</v>
      </c>
      <c r="C1662" s="0" t="n">
        <v>4.95</v>
      </c>
    </row>
    <row r="1663" customFormat="false" ht="15" hidden="false" customHeight="false" outlineLevel="0" collapsed="false">
      <c r="A1663" s="0" t="s">
        <v>4015</v>
      </c>
      <c r="B1663" s="0" t="s">
        <v>4016</v>
      </c>
      <c r="C1663" s="0" t="n">
        <v>2.96</v>
      </c>
    </row>
    <row r="1664" customFormat="false" ht="15" hidden="false" customHeight="false" outlineLevel="0" collapsed="false">
      <c r="A1664" s="0" t="s">
        <v>4017</v>
      </c>
      <c r="B1664" s="0" t="s">
        <v>4018</v>
      </c>
      <c r="C1664" s="0" t="n">
        <v>4.95</v>
      </c>
    </row>
    <row r="1665" customFormat="false" ht="15" hidden="false" customHeight="false" outlineLevel="0" collapsed="false">
      <c r="A1665" s="0" t="s">
        <v>4019</v>
      </c>
      <c r="B1665" s="0" t="s">
        <v>4020</v>
      </c>
      <c r="C1665" s="0" t="n">
        <v>1.25</v>
      </c>
    </row>
    <row r="1666" customFormat="false" ht="15" hidden="false" customHeight="false" outlineLevel="0" collapsed="false">
      <c r="A1666" s="0" t="s">
        <v>4021</v>
      </c>
      <c r="B1666" s="0" t="s">
        <v>4022</v>
      </c>
      <c r="C1666" s="0" t="n">
        <v>3.39</v>
      </c>
    </row>
    <row r="1667" customFormat="false" ht="15" hidden="false" customHeight="false" outlineLevel="0" collapsed="false">
      <c r="A1667" s="0" t="s">
        <v>4023</v>
      </c>
      <c r="B1667" s="0" t="s">
        <v>4024</v>
      </c>
      <c r="C1667" s="0" t="n">
        <v>1.95</v>
      </c>
    </row>
    <row r="1668" customFormat="false" ht="15" hidden="false" customHeight="false" outlineLevel="0" collapsed="false">
      <c r="A1668" s="0" t="s">
        <v>4025</v>
      </c>
      <c r="B1668" s="0" t="s">
        <v>4026</v>
      </c>
      <c r="C1668" s="0" t="n">
        <v>2.96</v>
      </c>
    </row>
    <row r="1669" customFormat="false" ht="15" hidden="false" customHeight="false" outlineLevel="0" collapsed="false">
      <c r="A1669" s="0" t="s">
        <v>4027</v>
      </c>
      <c r="B1669" s="0" t="s">
        <v>4028</v>
      </c>
      <c r="C1669" s="0" t="n">
        <v>2.96</v>
      </c>
    </row>
    <row r="1670" customFormat="false" ht="15" hidden="false" customHeight="false" outlineLevel="0" collapsed="false">
      <c r="A1670" s="0" t="s">
        <v>4029</v>
      </c>
      <c r="B1670" s="0" t="s">
        <v>4030</v>
      </c>
      <c r="C1670" s="0" t="n">
        <v>2.11</v>
      </c>
    </row>
    <row r="1671" customFormat="false" ht="15" hidden="false" customHeight="false" outlineLevel="0" collapsed="false">
      <c r="A1671" s="0" t="s">
        <v>4031</v>
      </c>
      <c r="B1671" s="0" t="s">
        <v>4032</v>
      </c>
      <c r="C1671" s="0" t="n">
        <v>2.55</v>
      </c>
    </row>
    <row r="1672" customFormat="false" ht="15" hidden="false" customHeight="false" outlineLevel="0" collapsed="false">
      <c r="A1672" s="0" t="s">
        <v>4033</v>
      </c>
      <c r="B1672" s="0" t="s">
        <v>4034</v>
      </c>
      <c r="C1672" s="0" t="n">
        <v>1.65</v>
      </c>
    </row>
    <row r="1673" customFormat="false" ht="15" hidden="false" customHeight="false" outlineLevel="0" collapsed="false">
      <c r="A1673" s="0" t="s">
        <v>4035</v>
      </c>
      <c r="B1673" s="0" t="s">
        <v>4036</v>
      </c>
      <c r="C1673" s="0" t="n">
        <v>0.85</v>
      </c>
    </row>
    <row r="1674" customFormat="false" ht="15" hidden="false" customHeight="false" outlineLevel="0" collapsed="false">
      <c r="A1674" s="0" t="s">
        <v>4037</v>
      </c>
      <c r="B1674" s="0" t="s">
        <v>4038</v>
      </c>
      <c r="C1674" s="0" t="n">
        <v>3.75</v>
      </c>
    </row>
    <row r="1675" customFormat="false" ht="15" hidden="false" customHeight="false" outlineLevel="0" collapsed="false">
      <c r="A1675" s="0" t="s">
        <v>4039</v>
      </c>
      <c r="B1675" s="0" t="s">
        <v>4040</v>
      </c>
      <c r="C1675" s="0" t="n">
        <v>3.75</v>
      </c>
    </row>
    <row r="1676" customFormat="false" ht="15" hidden="false" customHeight="false" outlineLevel="0" collapsed="false">
      <c r="A1676" s="0" t="s">
        <v>4041</v>
      </c>
      <c r="B1676" s="0" t="s">
        <v>4042</v>
      </c>
      <c r="C1676" s="0" t="n">
        <v>3.75</v>
      </c>
    </row>
    <row r="1677" customFormat="false" ht="15" hidden="false" customHeight="false" outlineLevel="0" collapsed="false">
      <c r="A1677" s="0" t="s">
        <v>4043</v>
      </c>
      <c r="B1677" s="0" t="s">
        <v>4044</v>
      </c>
      <c r="C1677" s="0" t="n">
        <v>5.95</v>
      </c>
    </row>
    <row r="1678" customFormat="false" ht="15" hidden="false" customHeight="false" outlineLevel="0" collapsed="false">
      <c r="A1678" s="0" t="s">
        <v>4045</v>
      </c>
      <c r="B1678" s="0" t="s">
        <v>4046</v>
      </c>
      <c r="C1678" s="0" t="n">
        <v>1.65</v>
      </c>
    </row>
    <row r="1679" customFormat="false" ht="15" hidden="false" customHeight="false" outlineLevel="0" collapsed="false">
      <c r="A1679" s="0" t="s">
        <v>4047</v>
      </c>
      <c r="B1679" s="0" t="s">
        <v>4048</v>
      </c>
      <c r="C1679" s="0" t="n">
        <v>1.66</v>
      </c>
    </row>
    <row r="1680" customFormat="false" ht="15" hidden="false" customHeight="false" outlineLevel="0" collapsed="false">
      <c r="A1680" s="0" t="s">
        <v>4049</v>
      </c>
      <c r="B1680" s="0" t="s">
        <v>4050</v>
      </c>
      <c r="C1680" s="0" t="n">
        <v>7.62</v>
      </c>
    </row>
    <row r="1681" customFormat="false" ht="15" hidden="false" customHeight="false" outlineLevel="0" collapsed="false">
      <c r="A1681" s="0" t="s">
        <v>4051</v>
      </c>
      <c r="B1681" s="0" t="s">
        <v>4052</v>
      </c>
      <c r="C1681" s="0" t="n">
        <v>5.91</v>
      </c>
    </row>
    <row r="1682" customFormat="false" ht="15" hidden="false" customHeight="false" outlineLevel="0" collapsed="false">
      <c r="A1682" s="0" t="s">
        <v>4053</v>
      </c>
      <c r="B1682" s="0" t="s">
        <v>4054</v>
      </c>
      <c r="C1682" s="0" t="n">
        <v>1.25</v>
      </c>
    </row>
    <row r="1683" customFormat="false" ht="15" hidden="false" customHeight="false" outlineLevel="0" collapsed="false">
      <c r="A1683" s="0" t="s">
        <v>4055</v>
      </c>
      <c r="B1683" s="0" t="s">
        <v>4056</v>
      </c>
      <c r="C1683" s="0" t="n">
        <v>5.95</v>
      </c>
    </row>
    <row r="1684" customFormat="false" ht="15" hidden="false" customHeight="false" outlineLevel="0" collapsed="false">
      <c r="A1684" s="0" t="s">
        <v>4057</v>
      </c>
      <c r="B1684" s="0" t="s">
        <v>4058</v>
      </c>
      <c r="C1684" s="0" t="n">
        <v>2.55</v>
      </c>
    </row>
    <row r="1685" customFormat="false" ht="15" hidden="false" customHeight="false" outlineLevel="0" collapsed="false">
      <c r="A1685" s="0" t="s">
        <v>4059</v>
      </c>
      <c r="B1685" s="0" t="s">
        <v>4060</v>
      </c>
      <c r="C1685" s="0" t="n">
        <v>12</v>
      </c>
    </row>
    <row r="1686" customFormat="false" ht="15" hidden="false" customHeight="false" outlineLevel="0" collapsed="false">
      <c r="A1686" s="0" t="s">
        <v>4061</v>
      </c>
      <c r="B1686" s="0" t="s">
        <v>4062</v>
      </c>
      <c r="C1686" s="0" t="n">
        <v>79.95</v>
      </c>
    </row>
    <row r="1687" customFormat="false" ht="15" hidden="false" customHeight="false" outlineLevel="0" collapsed="false">
      <c r="A1687" s="0" t="s">
        <v>4063</v>
      </c>
      <c r="B1687" s="0" t="s">
        <v>4064</v>
      </c>
      <c r="C1687" s="0" t="n">
        <v>1.25</v>
      </c>
    </row>
    <row r="1688" customFormat="false" ht="15" hidden="false" customHeight="false" outlineLevel="0" collapsed="false">
      <c r="A1688" s="0" t="s">
        <v>4065</v>
      </c>
      <c r="B1688" s="0" t="s">
        <v>4066</v>
      </c>
      <c r="C1688" s="0" t="n">
        <v>0.85</v>
      </c>
    </row>
    <row r="1689" customFormat="false" ht="15" hidden="false" customHeight="false" outlineLevel="0" collapsed="false">
      <c r="A1689" s="0" t="s">
        <v>4067</v>
      </c>
      <c r="B1689" s="0" t="s">
        <v>4068</v>
      </c>
      <c r="C1689" s="0" t="n">
        <v>0.85</v>
      </c>
    </row>
    <row r="1690" customFormat="false" ht="15" hidden="false" customHeight="false" outlineLevel="0" collapsed="false">
      <c r="A1690" s="0" t="s">
        <v>4069</v>
      </c>
      <c r="B1690" s="0" t="s">
        <v>4070</v>
      </c>
      <c r="C1690" s="0" t="n">
        <v>4.24</v>
      </c>
    </row>
    <row r="1691" customFormat="false" ht="15" hidden="false" customHeight="false" outlineLevel="0" collapsed="false">
      <c r="A1691" s="0" t="s">
        <v>4071</v>
      </c>
      <c r="B1691" s="0" t="s">
        <v>4072</v>
      </c>
      <c r="C1691" s="0" t="n">
        <v>9.95</v>
      </c>
    </row>
    <row r="1692" customFormat="false" ht="15" hidden="false" customHeight="false" outlineLevel="0" collapsed="false">
      <c r="A1692" s="0" t="s">
        <v>4073</v>
      </c>
      <c r="B1692" s="0" t="s">
        <v>4074</v>
      </c>
      <c r="C1692" s="0" t="n">
        <v>3.81</v>
      </c>
    </row>
    <row r="1693" customFormat="false" ht="15" hidden="false" customHeight="false" outlineLevel="0" collapsed="false">
      <c r="A1693" s="0" t="s">
        <v>4075</v>
      </c>
      <c r="B1693" s="0" t="s">
        <v>4076</v>
      </c>
      <c r="C1693" s="0" t="n">
        <v>5.09</v>
      </c>
    </row>
    <row r="1694" customFormat="false" ht="15" hidden="false" customHeight="false" outlineLevel="0" collapsed="false">
      <c r="A1694" s="0" t="s">
        <v>4077</v>
      </c>
      <c r="B1694" s="0" t="s">
        <v>4078</v>
      </c>
      <c r="C1694" s="0" t="n">
        <v>5.51</v>
      </c>
    </row>
    <row r="1695" customFormat="false" ht="15" hidden="false" customHeight="false" outlineLevel="0" collapsed="false">
      <c r="A1695" s="0" t="s">
        <v>4079</v>
      </c>
      <c r="B1695" s="0" t="s">
        <v>4080</v>
      </c>
      <c r="C1695" s="0" t="n">
        <v>4.65</v>
      </c>
    </row>
    <row r="1696" customFormat="false" ht="15" hidden="false" customHeight="false" outlineLevel="0" collapsed="false">
      <c r="A1696" s="0" t="s">
        <v>4081</v>
      </c>
      <c r="B1696" s="0" t="s">
        <v>4082</v>
      </c>
      <c r="C1696" s="0" t="n">
        <v>8.47</v>
      </c>
    </row>
    <row r="1697" customFormat="false" ht="15" hidden="false" customHeight="false" outlineLevel="0" collapsed="false">
      <c r="A1697" s="0" t="s">
        <v>4083</v>
      </c>
      <c r="B1697" s="0" t="s">
        <v>4084</v>
      </c>
      <c r="C1697" s="0" t="n">
        <v>0.19</v>
      </c>
    </row>
    <row r="1698" customFormat="false" ht="15" hidden="false" customHeight="false" outlineLevel="0" collapsed="false">
      <c r="A1698" s="0" t="s">
        <v>4085</v>
      </c>
      <c r="B1698" s="0" t="s">
        <v>60</v>
      </c>
      <c r="C1698" s="0" t="n">
        <v>2.95</v>
      </c>
    </row>
    <row r="1699" customFormat="false" ht="15" hidden="false" customHeight="false" outlineLevel="0" collapsed="false">
      <c r="A1699" s="0" t="s">
        <v>4086</v>
      </c>
      <c r="B1699" s="0" t="s">
        <v>4087</v>
      </c>
      <c r="C1699" s="0" t="n">
        <v>1.65</v>
      </c>
    </row>
    <row r="1700" customFormat="false" ht="15" hidden="false" customHeight="false" outlineLevel="0" collapsed="false">
      <c r="A1700" s="0" t="s">
        <v>4088</v>
      </c>
      <c r="B1700" s="0" t="s">
        <v>4089</v>
      </c>
      <c r="C1700" s="0" t="n">
        <v>45.95</v>
      </c>
    </row>
    <row r="1701" customFormat="false" ht="15" hidden="false" customHeight="false" outlineLevel="0" collapsed="false">
      <c r="A1701" s="0" t="s">
        <v>4090</v>
      </c>
      <c r="B1701" s="0" t="s">
        <v>4091</v>
      </c>
      <c r="C1701" s="0" t="n">
        <v>3.36</v>
      </c>
    </row>
    <row r="1702" customFormat="false" ht="15" hidden="false" customHeight="false" outlineLevel="0" collapsed="false">
      <c r="A1702" s="0" t="s">
        <v>4092</v>
      </c>
      <c r="B1702" s="0" t="s">
        <v>4093</v>
      </c>
      <c r="C1702" s="0" t="n">
        <v>3.36</v>
      </c>
    </row>
    <row r="1703" customFormat="false" ht="15" hidden="false" customHeight="false" outlineLevel="0" collapsed="false">
      <c r="A1703" s="0" t="s">
        <v>4094</v>
      </c>
      <c r="B1703" s="0" t="s">
        <v>394</v>
      </c>
      <c r="C1703" s="0" t="n">
        <v>1.25</v>
      </c>
    </row>
    <row r="1704" customFormat="false" ht="15" hidden="false" customHeight="false" outlineLevel="0" collapsed="false">
      <c r="A1704" s="0" t="s">
        <v>4095</v>
      </c>
      <c r="B1704" s="0" t="s">
        <v>4096</v>
      </c>
      <c r="C1704" s="0" t="n">
        <v>0.85</v>
      </c>
    </row>
    <row r="1705" customFormat="false" ht="15" hidden="false" customHeight="false" outlineLevel="0" collapsed="false">
      <c r="A1705" s="0" t="s">
        <v>4097</v>
      </c>
      <c r="B1705" s="0" t="s">
        <v>385</v>
      </c>
      <c r="C1705" s="0" t="n">
        <v>1.69</v>
      </c>
    </row>
    <row r="1706" customFormat="false" ht="15" hidden="false" customHeight="false" outlineLevel="0" collapsed="false">
      <c r="A1706" s="0" t="s">
        <v>4098</v>
      </c>
      <c r="B1706" s="0" t="s">
        <v>4099</v>
      </c>
      <c r="C1706" s="0" t="n">
        <v>1.25</v>
      </c>
    </row>
    <row r="1707" customFormat="false" ht="15" hidden="false" customHeight="false" outlineLevel="0" collapsed="false">
      <c r="A1707" s="0" t="s">
        <v>4100</v>
      </c>
      <c r="B1707" s="0" t="s">
        <v>4101</v>
      </c>
      <c r="C1707" s="0" t="n">
        <v>2.96</v>
      </c>
    </row>
    <row r="1708" customFormat="false" ht="15" hidden="false" customHeight="false" outlineLevel="0" collapsed="false">
      <c r="A1708" s="0" t="s">
        <v>4102</v>
      </c>
      <c r="B1708" s="0" t="s">
        <v>4103</v>
      </c>
      <c r="C1708" s="0" t="n">
        <v>4.25</v>
      </c>
    </row>
    <row r="1709" customFormat="false" ht="15" hidden="false" customHeight="false" outlineLevel="0" collapsed="false">
      <c r="A1709" s="0" t="s">
        <v>4104</v>
      </c>
      <c r="B1709" s="0" t="s">
        <v>4105</v>
      </c>
      <c r="C1709" s="0" t="n">
        <v>4.24</v>
      </c>
    </row>
    <row r="1710" customFormat="false" ht="15" hidden="false" customHeight="false" outlineLevel="0" collapsed="false">
      <c r="A1710" s="0" t="s">
        <v>4106</v>
      </c>
      <c r="B1710" s="0" t="s">
        <v>4107</v>
      </c>
      <c r="C1710" s="0" t="n">
        <v>7.95</v>
      </c>
    </row>
    <row r="1711" customFormat="false" ht="15" hidden="false" customHeight="false" outlineLevel="0" collapsed="false">
      <c r="A1711" s="0" t="s">
        <v>4108</v>
      </c>
      <c r="B1711" s="0" t="s">
        <v>4109</v>
      </c>
      <c r="C1711" s="0" t="n">
        <v>3.75</v>
      </c>
    </row>
    <row r="1712" customFormat="false" ht="15" hidden="false" customHeight="false" outlineLevel="0" collapsed="false">
      <c r="A1712" s="0" t="s">
        <v>4110</v>
      </c>
      <c r="B1712" s="0" t="s">
        <v>4111</v>
      </c>
      <c r="C1712" s="0" t="n">
        <v>4.95</v>
      </c>
    </row>
    <row r="1713" customFormat="false" ht="15" hidden="false" customHeight="false" outlineLevel="0" collapsed="false">
      <c r="A1713" s="0" t="s">
        <v>4112</v>
      </c>
      <c r="B1713" s="0" t="s">
        <v>4113</v>
      </c>
      <c r="C1713" s="0" t="n">
        <v>1.65</v>
      </c>
    </row>
    <row r="1714" customFormat="false" ht="15" hidden="false" customHeight="false" outlineLevel="0" collapsed="false">
      <c r="A1714" s="0" t="s">
        <v>4114</v>
      </c>
      <c r="B1714" s="0" t="s">
        <v>4115</v>
      </c>
      <c r="C1714" s="0" t="n">
        <v>1.95</v>
      </c>
    </row>
    <row r="1715" customFormat="false" ht="15" hidden="false" customHeight="false" outlineLevel="0" collapsed="false">
      <c r="A1715" s="0" t="s">
        <v>4116</v>
      </c>
      <c r="B1715" s="0" t="s">
        <v>4117</v>
      </c>
      <c r="C1715" s="0" t="n">
        <v>0.85</v>
      </c>
    </row>
    <row r="1716" customFormat="false" ht="15" hidden="false" customHeight="false" outlineLevel="0" collapsed="false">
      <c r="A1716" s="0" t="s">
        <v>4118</v>
      </c>
      <c r="B1716" s="0" t="s">
        <v>4119</v>
      </c>
      <c r="C1716" s="0" t="n">
        <v>0.19</v>
      </c>
    </row>
    <row r="1717" customFormat="false" ht="15" hidden="false" customHeight="false" outlineLevel="0" collapsed="false">
      <c r="A1717" s="0" t="s">
        <v>4120</v>
      </c>
      <c r="B1717" s="0" t="s">
        <v>4121</v>
      </c>
      <c r="C1717" s="0" t="n">
        <v>0.19</v>
      </c>
    </row>
    <row r="1718" customFormat="false" ht="15" hidden="false" customHeight="false" outlineLevel="0" collapsed="false">
      <c r="A1718" s="0" t="s">
        <v>4122</v>
      </c>
      <c r="B1718" s="0" t="s">
        <v>4123</v>
      </c>
      <c r="C1718" s="0" t="n">
        <v>0.19</v>
      </c>
    </row>
    <row r="1719" customFormat="false" ht="15" hidden="false" customHeight="false" outlineLevel="0" collapsed="false">
      <c r="A1719" s="0" t="s">
        <v>4124</v>
      </c>
      <c r="B1719" s="0" t="s">
        <v>4125</v>
      </c>
      <c r="C1719" s="0" t="n">
        <v>0.84</v>
      </c>
    </row>
    <row r="1720" customFormat="false" ht="15" hidden="false" customHeight="false" outlineLevel="0" collapsed="false">
      <c r="A1720" s="0" t="s">
        <v>4126</v>
      </c>
      <c r="B1720" s="0" t="s">
        <v>4127</v>
      </c>
      <c r="C1720" s="0" t="n">
        <v>0.19</v>
      </c>
    </row>
    <row r="1721" customFormat="false" ht="15" hidden="false" customHeight="false" outlineLevel="0" collapsed="false">
      <c r="A1721" s="0" t="s">
        <v>4128</v>
      </c>
      <c r="B1721" s="0" t="s">
        <v>4129</v>
      </c>
      <c r="C1721" s="0" t="n">
        <v>0.42</v>
      </c>
    </row>
    <row r="1722" customFormat="false" ht="15" hidden="false" customHeight="false" outlineLevel="0" collapsed="false">
      <c r="A1722" s="0" t="s">
        <v>4130</v>
      </c>
      <c r="B1722" s="0" t="s">
        <v>4131</v>
      </c>
      <c r="C1722" s="0" t="n">
        <v>2.95</v>
      </c>
    </row>
    <row r="1723" customFormat="false" ht="15" hidden="false" customHeight="false" outlineLevel="0" collapsed="false">
      <c r="A1723" s="0" t="s">
        <v>4132</v>
      </c>
      <c r="B1723" s="0" t="s">
        <v>4133</v>
      </c>
      <c r="C1723" s="0" t="n">
        <v>3.75</v>
      </c>
    </row>
    <row r="1724" customFormat="false" ht="15" hidden="false" customHeight="false" outlineLevel="0" collapsed="false">
      <c r="A1724" s="0" t="s">
        <v>4134</v>
      </c>
      <c r="B1724" s="0" t="s">
        <v>4135</v>
      </c>
      <c r="C1724" s="0" t="n">
        <v>3.75</v>
      </c>
    </row>
    <row r="1725" customFormat="false" ht="15" hidden="false" customHeight="false" outlineLevel="0" collapsed="false">
      <c r="A1725" s="0" t="s">
        <v>4136</v>
      </c>
      <c r="B1725" s="0" t="s">
        <v>4137</v>
      </c>
      <c r="C1725" s="0" t="n">
        <v>0.85</v>
      </c>
    </row>
    <row r="1726" customFormat="false" ht="15" hidden="false" customHeight="false" outlineLevel="0" collapsed="false">
      <c r="A1726" s="0" t="s">
        <v>4138</v>
      </c>
      <c r="B1726" s="0" t="s">
        <v>852</v>
      </c>
      <c r="C1726" s="0" t="n">
        <v>1.25</v>
      </c>
    </row>
    <row r="1727" customFormat="false" ht="15" hidden="false" customHeight="false" outlineLevel="0" collapsed="false">
      <c r="A1727" s="0" t="s">
        <v>4139</v>
      </c>
      <c r="B1727" s="0" t="s">
        <v>4140</v>
      </c>
      <c r="C1727" s="0" t="n">
        <v>2.1</v>
      </c>
    </row>
    <row r="1728" customFormat="false" ht="15" hidden="false" customHeight="false" outlineLevel="0" collapsed="false">
      <c r="A1728" s="0" t="s">
        <v>4141</v>
      </c>
      <c r="B1728" s="0" t="s">
        <v>735</v>
      </c>
      <c r="C1728" s="0" t="n">
        <v>7.95</v>
      </c>
    </row>
    <row r="1729" customFormat="false" ht="15" hidden="false" customHeight="false" outlineLevel="0" collapsed="false">
      <c r="A1729" s="0" t="s">
        <v>4142</v>
      </c>
      <c r="B1729" s="0" t="s">
        <v>4143</v>
      </c>
      <c r="C1729" s="0" t="n">
        <v>7.95</v>
      </c>
    </row>
    <row r="1730" customFormat="false" ht="15" hidden="false" customHeight="false" outlineLevel="0" collapsed="false">
      <c r="A1730" s="0" t="s">
        <v>4144</v>
      </c>
      <c r="B1730" s="0" t="s">
        <v>4145</v>
      </c>
      <c r="C1730" s="0" t="n">
        <v>1.25</v>
      </c>
    </row>
    <row r="1731" customFormat="false" ht="15" hidden="false" customHeight="false" outlineLevel="0" collapsed="false">
      <c r="A1731" s="0" t="s">
        <v>4146</v>
      </c>
      <c r="B1731" s="0" t="s">
        <v>519</v>
      </c>
      <c r="C1731" s="0" t="n">
        <v>2.55</v>
      </c>
    </row>
    <row r="1732" customFormat="false" ht="15" hidden="false" customHeight="false" outlineLevel="0" collapsed="false">
      <c r="A1732" s="0" t="s">
        <v>4147</v>
      </c>
      <c r="B1732" s="0" t="s">
        <v>4148</v>
      </c>
      <c r="C1732" s="0" t="n">
        <v>5.17</v>
      </c>
    </row>
    <row r="1733" customFormat="false" ht="15" hidden="false" customHeight="false" outlineLevel="0" collapsed="false">
      <c r="A1733" s="0" t="s">
        <v>4149</v>
      </c>
      <c r="B1733" s="0" t="s">
        <v>4150</v>
      </c>
      <c r="C1733" s="0" t="n">
        <v>7.65</v>
      </c>
    </row>
    <row r="1734" customFormat="false" ht="15" hidden="false" customHeight="false" outlineLevel="0" collapsed="false">
      <c r="A1734" s="0" t="s">
        <v>4151</v>
      </c>
      <c r="B1734" s="0" t="s">
        <v>4152</v>
      </c>
      <c r="C1734" s="0" t="n">
        <v>1.25</v>
      </c>
    </row>
    <row r="1735" customFormat="false" ht="15" hidden="false" customHeight="false" outlineLevel="0" collapsed="false">
      <c r="A1735" s="0" t="s">
        <v>4153</v>
      </c>
      <c r="B1735" s="0" t="s">
        <v>4154</v>
      </c>
      <c r="C1735" s="0" t="n">
        <v>13.57</v>
      </c>
    </row>
    <row r="1736" customFormat="false" ht="15" hidden="false" customHeight="false" outlineLevel="0" collapsed="false">
      <c r="A1736" s="0" t="s">
        <v>4155</v>
      </c>
      <c r="B1736" s="0" t="s">
        <v>4156</v>
      </c>
      <c r="C1736" s="0" t="n">
        <v>0.65</v>
      </c>
    </row>
    <row r="1737" customFormat="false" ht="15" hidden="false" customHeight="false" outlineLevel="0" collapsed="false">
      <c r="A1737" s="0" t="s">
        <v>4157</v>
      </c>
      <c r="B1737" s="0" t="s">
        <v>4158</v>
      </c>
      <c r="C1737" s="0" t="n">
        <v>49.95</v>
      </c>
    </row>
    <row r="1738" customFormat="false" ht="15" hidden="false" customHeight="false" outlineLevel="0" collapsed="false">
      <c r="A1738" s="0" t="s">
        <v>4159</v>
      </c>
      <c r="B1738" s="0" t="s">
        <v>4160</v>
      </c>
      <c r="C1738" s="0" t="n">
        <v>3.49</v>
      </c>
    </row>
    <row r="1739" customFormat="false" ht="15" hidden="false" customHeight="false" outlineLevel="0" collapsed="false">
      <c r="A1739" s="0" t="s">
        <v>4161</v>
      </c>
      <c r="B1739" s="0" t="s">
        <v>4162</v>
      </c>
      <c r="C1739" s="0" t="n">
        <v>3.49</v>
      </c>
    </row>
    <row r="1740" customFormat="false" ht="15" hidden="false" customHeight="false" outlineLevel="0" collapsed="false">
      <c r="A1740" s="0" t="s">
        <v>4163</v>
      </c>
      <c r="B1740" s="0" t="s">
        <v>4164</v>
      </c>
      <c r="C1740" s="0" t="n">
        <v>4.25</v>
      </c>
    </row>
    <row r="1741" customFormat="false" ht="15" hidden="false" customHeight="false" outlineLevel="0" collapsed="false">
      <c r="A1741" s="0" t="s">
        <v>4165</v>
      </c>
      <c r="B1741" s="0" t="s">
        <v>4166</v>
      </c>
      <c r="C1741" s="0" t="n">
        <v>3.49</v>
      </c>
    </row>
    <row r="1742" customFormat="false" ht="15" hidden="false" customHeight="false" outlineLevel="0" collapsed="false">
      <c r="A1742" s="0" t="s">
        <v>4167</v>
      </c>
      <c r="B1742" s="0" t="s">
        <v>203</v>
      </c>
      <c r="C1742" s="0" t="n">
        <v>2.1</v>
      </c>
    </row>
    <row r="1743" customFormat="false" ht="15" hidden="false" customHeight="false" outlineLevel="0" collapsed="false">
      <c r="A1743" s="0" t="s">
        <v>4168</v>
      </c>
      <c r="B1743" s="0" t="s">
        <v>4169</v>
      </c>
      <c r="C1743" s="0" t="n">
        <v>4.21</v>
      </c>
    </row>
    <row r="1744" customFormat="false" ht="15" hidden="false" customHeight="false" outlineLevel="0" collapsed="false">
      <c r="A1744" s="0" t="s">
        <v>4170</v>
      </c>
      <c r="B1744" s="0" t="s">
        <v>4171</v>
      </c>
      <c r="C1744" s="0" t="n">
        <v>4.21</v>
      </c>
    </row>
    <row r="1745" customFormat="false" ht="15" hidden="false" customHeight="false" outlineLevel="0" collapsed="false">
      <c r="A1745" s="0" t="s">
        <v>4172</v>
      </c>
      <c r="B1745" s="0" t="s">
        <v>109</v>
      </c>
      <c r="C1745" s="0" t="n">
        <v>2.1</v>
      </c>
    </row>
    <row r="1746" customFormat="false" ht="15" hidden="false" customHeight="false" outlineLevel="0" collapsed="false">
      <c r="A1746" s="0" t="s">
        <v>4173</v>
      </c>
      <c r="B1746" s="0" t="s">
        <v>303</v>
      </c>
      <c r="C1746" s="0" t="n">
        <v>2.1</v>
      </c>
    </row>
    <row r="1747" customFormat="false" ht="15" hidden="false" customHeight="false" outlineLevel="0" collapsed="false">
      <c r="A1747" s="0" t="s">
        <v>4174</v>
      </c>
      <c r="B1747" s="0" t="s">
        <v>302</v>
      </c>
      <c r="C1747" s="0" t="n">
        <v>2.1</v>
      </c>
    </row>
    <row r="1748" customFormat="false" ht="15" hidden="false" customHeight="false" outlineLevel="0" collapsed="false">
      <c r="A1748" s="0" t="s">
        <v>4175</v>
      </c>
      <c r="B1748" s="0" t="s">
        <v>315</v>
      </c>
      <c r="C1748" s="0" t="n">
        <v>2.1</v>
      </c>
    </row>
    <row r="1749" customFormat="false" ht="15" hidden="false" customHeight="false" outlineLevel="0" collapsed="false">
      <c r="A1749" s="0" t="s">
        <v>4176</v>
      </c>
      <c r="B1749" s="0" t="s">
        <v>4177</v>
      </c>
      <c r="C1749" s="0" t="n">
        <v>2.1</v>
      </c>
    </row>
    <row r="1750" customFormat="false" ht="15" hidden="false" customHeight="false" outlineLevel="0" collapsed="false">
      <c r="A1750" s="0" t="s">
        <v>4178</v>
      </c>
      <c r="B1750" s="0" t="s">
        <v>881</v>
      </c>
      <c r="C1750" s="0" t="n">
        <v>2.1</v>
      </c>
    </row>
    <row r="1751" customFormat="false" ht="15" hidden="false" customHeight="false" outlineLevel="0" collapsed="false">
      <c r="A1751" s="0" t="s">
        <v>4179</v>
      </c>
      <c r="B1751" s="0" t="s">
        <v>4180</v>
      </c>
      <c r="C1751" s="0" t="n">
        <v>2.57</v>
      </c>
    </row>
    <row r="1752" customFormat="false" ht="15" hidden="false" customHeight="false" outlineLevel="0" collapsed="false">
      <c r="A1752" s="0" t="s">
        <v>4181</v>
      </c>
      <c r="B1752" s="0" t="s">
        <v>4182</v>
      </c>
      <c r="C1752" s="0" t="n">
        <v>2.95</v>
      </c>
    </row>
    <row r="1753" customFormat="false" ht="15" hidden="false" customHeight="false" outlineLevel="0" collapsed="false">
      <c r="A1753" s="0" t="s">
        <v>4183</v>
      </c>
      <c r="B1753" s="0" t="s">
        <v>4184</v>
      </c>
      <c r="C1753" s="0" t="n">
        <v>2.55</v>
      </c>
    </row>
    <row r="1754" customFormat="false" ht="15" hidden="false" customHeight="false" outlineLevel="0" collapsed="false">
      <c r="A1754" s="0" t="s">
        <v>4185</v>
      </c>
      <c r="B1754" s="0" t="s">
        <v>4186</v>
      </c>
      <c r="C1754" s="0" t="n">
        <v>0.85</v>
      </c>
    </row>
    <row r="1755" customFormat="false" ht="15" hidden="false" customHeight="false" outlineLevel="0" collapsed="false">
      <c r="A1755" s="0" t="s">
        <v>4187</v>
      </c>
      <c r="B1755" s="0" t="s">
        <v>4188</v>
      </c>
      <c r="C1755" s="0" t="n">
        <v>2.1</v>
      </c>
    </row>
    <row r="1756" customFormat="false" ht="15" hidden="false" customHeight="false" outlineLevel="0" collapsed="false">
      <c r="A1756" s="0" t="s">
        <v>4189</v>
      </c>
      <c r="B1756" s="0" t="s">
        <v>4190</v>
      </c>
      <c r="C1756" s="0" t="n">
        <v>0.38</v>
      </c>
    </row>
    <row r="1757" customFormat="false" ht="15" hidden="false" customHeight="false" outlineLevel="0" collapsed="false">
      <c r="A1757" s="0" t="s">
        <v>4191</v>
      </c>
      <c r="B1757" s="0" t="s">
        <v>4192</v>
      </c>
      <c r="C1757" s="0" t="n">
        <v>0.38</v>
      </c>
    </row>
    <row r="1758" customFormat="false" ht="15" hidden="false" customHeight="false" outlineLevel="0" collapsed="false">
      <c r="A1758" s="0" t="s">
        <v>4193</v>
      </c>
      <c r="B1758" s="0" t="s">
        <v>4194</v>
      </c>
      <c r="C1758" s="0" t="n">
        <v>0.38</v>
      </c>
    </row>
    <row r="1759" customFormat="false" ht="15" hidden="false" customHeight="false" outlineLevel="0" collapsed="false">
      <c r="A1759" s="0" t="s">
        <v>4195</v>
      </c>
      <c r="B1759" s="0" t="s">
        <v>4196</v>
      </c>
      <c r="C1759" s="0" t="n">
        <v>1.65</v>
      </c>
    </row>
    <row r="1760" customFormat="false" ht="15" hidden="false" customHeight="false" outlineLevel="0" collapsed="false">
      <c r="A1760" s="0" t="s">
        <v>4197</v>
      </c>
      <c r="B1760" s="0" t="s">
        <v>4198</v>
      </c>
      <c r="C1760" s="0" t="n">
        <v>2.1</v>
      </c>
    </row>
    <row r="1761" customFormat="false" ht="15" hidden="false" customHeight="false" outlineLevel="0" collapsed="false">
      <c r="A1761" s="0" t="s">
        <v>4199</v>
      </c>
      <c r="B1761" s="0" t="s">
        <v>4200</v>
      </c>
      <c r="C1761" s="0" t="n">
        <v>1.25</v>
      </c>
    </row>
    <row r="1762" customFormat="false" ht="15" hidden="false" customHeight="false" outlineLevel="0" collapsed="false">
      <c r="A1762" s="0" t="s">
        <v>4201</v>
      </c>
      <c r="B1762" s="0" t="s">
        <v>4202</v>
      </c>
      <c r="C1762" s="0" t="n">
        <v>0.85</v>
      </c>
    </row>
    <row r="1763" customFormat="false" ht="15" hidden="false" customHeight="false" outlineLevel="0" collapsed="false">
      <c r="A1763" s="0" t="s">
        <v>4203</v>
      </c>
      <c r="B1763" s="0" t="s">
        <v>875</v>
      </c>
      <c r="C1763" s="0" t="n">
        <v>0.85</v>
      </c>
    </row>
    <row r="1764" customFormat="false" ht="15" hidden="false" customHeight="false" outlineLevel="0" collapsed="false">
      <c r="A1764" s="0" t="s">
        <v>4204</v>
      </c>
      <c r="B1764" s="0" t="s">
        <v>4205</v>
      </c>
      <c r="C1764" s="0" t="n">
        <v>4.25</v>
      </c>
    </row>
    <row r="1765" customFormat="false" ht="15" hidden="false" customHeight="false" outlineLevel="0" collapsed="false">
      <c r="A1765" s="0" t="s">
        <v>4206</v>
      </c>
      <c r="B1765" s="0" t="s">
        <v>4207</v>
      </c>
      <c r="C1765" s="0" t="n">
        <v>2.95</v>
      </c>
    </row>
    <row r="1766" customFormat="false" ht="15" hidden="false" customHeight="false" outlineLevel="0" collapsed="false">
      <c r="A1766" s="0" t="s">
        <v>4208</v>
      </c>
      <c r="B1766" s="0" t="s">
        <v>4209</v>
      </c>
      <c r="C1766" s="0" t="n">
        <v>7.95</v>
      </c>
    </row>
    <row r="1767" customFormat="false" ht="15" hidden="false" customHeight="false" outlineLevel="0" collapsed="false">
      <c r="A1767" s="0" t="s">
        <v>4210</v>
      </c>
      <c r="B1767" s="0" t="s">
        <v>620</v>
      </c>
      <c r="C1767" s="0" t="n">
        <v>1.65</v>
      </c>
    </row>
    <row r="1768" customFormat="false" ht="15" hidden="false" customHeight="false" outlineLevel="0" collapsed="false">
      <c r="A1768" s="0" t="s">
        <v>4211</v>
      </c>
      <c r="B1768" s="0" t="s">
        <v>414</v>
      </c>
      <c r="C1768" s="0" t="n">
        <v>1.65</v>
      </c>
    </row>
    <row r="1769" customFormat="false" ht="15" hidden="false" customHeight="false" outlineLevel="0" collapsed="false">
      <c r="A1769" s="0" t="s">
        <v>4212</v>
      </c>
      <c r="B1769" s="0" t="s">
        <v>4213</v>
      </c>
      <c r="C1769" s="0" t="n">
        <v>1.65</v>
      </c>
    </row>
    <row r="1770" customFormat="false" ht="15" hidden="false" customHeight="false" outlineLevel="0" collapsed="false">
      <c r="A1770" s="0" t="s">
        <v>4214</v>
      </c>
      <c r="B1770" s="0" t="s">
        <v>4215</v>
      </c>
      <c r="C1770" s="0" t="n">
        <v>1.69</v>
      </c>
    </row>
    <row r="1771" customFormat="false" ht="15" hidden="false" customHeight="false" outlineLevel="0" collapsed="false">
      <c r="A1771" s="0" t="s">
        <v>4216</v>
      </c>
      <c r="B1771" s="0" t="s">
        <v>4217</v>
      </c>
      <c r="C1771" s="0" t="n">
        <v>0.85</v>
      </c>
    </row>
    <row r="1772" customFormat="false" ht="15" hidden="false" customHeight="false" outlineLevel="0" collapsed="false">
      <c r="A1772" s="0" t="s">
        <v>4218</v>
      </c>
      <c r="B1772" s="0" t="s">
        <v>4219</v>
      </c>
      <c r="C1772" s="0" t="n">
        <v>0.65</v>
      </c>
    </row>
    <row r="1773" customFormat="false" ht="15" hidden="false" customHeight="false" outlineLevel="0" collapsed="false">
      <c r="A1773" s="0" t="s">
        <v>4220</v>
      </c>
      <c r="B1773" s="0" t="s">
        <v>4221</v>
      </c>
      <c r="C1773" s="0" t="n">
        <v>0.65</v>
      </c>
    </row>
    <row r="1774" customFormat="false" ht="15" hidden="false" customHeight="false" outlineLevel="0" collapsed="false">
      <c r="A1774" s="0" t="s">
        <v>4222</v>
      </c>
      <c r="B1774" s="0" t="s">
        <v>4223</v>
      </c>
      <c r="C1774" s="0" t="n">
        <v>0.42</v>
      </c>
    </row>
    <row r="1775" customFormat="false" ht="15" hidden="false" customHeight="false" outlineLevel="0" collapsed="false">
      <c r="A1775" s="0" t="s">
        <v>4224</v>
      </c>
      <c r="B1775" s="0" t="s">
        <v>4225</v>
      </c>
      <c r="C1775" s="0" t="n">
        <v>0.42</v>
      </c>
    </row>
    <row r="1776" customFormat="false" ht="15" hidden="false" customHeight="false" outlineLevel="0" collapsed="false">
      <c r="A1776" s="0" t="s">
        <v>4226</v>
      </c>
      <c r="B1776" s="0" t="s">
        <v>4227</v>
      </c>
      <c r="C1776" s="0" t="n">
        <v>0.42</v>
      </c>
    </row>
    <row r="1777" customFormat="false" ht="15" hidden="false" customHeight="false" outlineLevel="0" collapsed="false">
      <c r="A1777" s="0" t="s">
        <v>4228</v>
      </c>
      <c r="B1777" s="0" t="s">
        <v>4229</v>
      </c>
      <c r="C1777" s="0" t="n">
        <v>0.42</v>
      </c>
    </row>
    <row r="1778" customFormat="false" ht="15" hidden="false" customHeight="false" outlineLevel="0" collapsed="false">
      <c r="A1778" s="0" t="s">
        <v>4230</v>
      </c>
      <c r="B1778" s="0" t="s">
        <v>4231</v>
      </c>
      <c r="C1778" s="0" t="n">
        <v>0.19</v>
      </c>
    </row>
    <row r="1779" customFormat="false" ht="15" hidden="false" customHeight="false" outlineLevel="0" collapsed="false">
      <c r="A1779" s="0" t="s">
        <v>4232</v>
      </c>
      <c r="B1779" s="0" t="s">
        <v>4233</v>
      </c>
      <c r="C1779" s="0" t="n">
        <v>0.19</v>
      </c>
    </row>
    <row r="1780" customFormat="false" ht="15" hidden="false" customHeight="false" outlineLevel="0" collapsed="false">
      <c r="A1780" s="0" t="s">
        <v>4234</v>
      </c>
      <c r="B1780" s="0" t="s">
        <v>4235</v>
      </c>
      <c r="C1780" s="0" t="n">
        <v>0.19</v>
      </c>
    </row>
    <row r="1781" customFormat="false" ht="15" hidden="false" customHeight="false" outlineLevel="0" collapsed="false">
      <c r="A1781" s="0" t="s">
        <v>4236</v>
      </c>
      <c r="B1781" s="0" t="s">
        <v>4237</v>
      </c>
      <c r="C1781" s="0" t="n">
        <v>3.75</v>
      </c>
    </row>
    <row r="1782" customFormat="false" ht="15" hidden="false" customHeight="false" outlineLevel="0" collapsed="false">
      <c r="A1782" s="0" t="s">
        <v>4238</v>
      </c>
      <c r="B1782" s="0" t="s">
        <v>708</v>
      </c>
      <c r="C1782" s="0" t="n">
        <v>1.25</v>
      </c>
    </row>
    <row r="1783" customFormat="false" ht="15" hidden="false" customHeight="false" outlineLevel="0" collapsed="false">
      <c r="A1783" s="0" t="s">
        <v>4239</v>
      </c>
      <c r="B1783" s="0" t="s">
        <v>4240</v>
      </c>
      <c r="C1783" s="0" t="n">
        <v>7.78</v>
      </c>
    </row>
    <row r="1784" customFormat="false" ht="15" hidden="false" customHeight="false" outlineLevel="0" collapsed="false">
      <c r="A1784" s="0" t="s">
        <v>4241</v>
      </c>
      <c r="B1784" s="0" t="s">
        <v>4242</v>
      </c>
      <c r="C1784" s="0" t="n">
        <v>2.1</v>
      </c>
    </row>
    <row r="1785" customFormat="false" ht="15" hidden="false" customHeight="false" outlineLevel="0" collapsed="false">
      <c r="A1785" s="0" t="s">
        <v>4243</v>
      </c>
      <c r="B1785" s="0" t="s">
        <v>4244</v>
      </c>
      <c r="C1785" s="0" t="n">
        <v>16.98</v>
      </c>
    </row>
    <row r="1786" customFormat="false" ht="15" hidden="false" customHeight="false" outlineLevel="0" collapsed="false">
      <c r="A1786" s="0" t="s">
        <v>4245</v>
      </c>
      <c r="B1786" s="0" t="s">
        <v>4246</v>
      </c>
      <c r="C1786" s="0" t="n">
        <v>5.06</v>
      </c>
    </row>
    <row r="1787" customFormat="false" ht="15" hidden="false" customHeight="false" outlineLevel="0" collapsed="false">
      <c r="A1787" s="0" t="s">
        <v>4247</v>
      </c>
      <c r="B1787" s="0" t="s">
        <v>4248</v>
      </c>
      <c r="C1787" s="0" t="n">
        <v>1.25</v>
      </c>
    </row>
    <row r="1788" customFormat="false" ht="15" hidden="false" customHeight="false" outlineLevel="0" collapsed="false">
      <c r="A1788" s="0" t="s">
        <v>4249</v>
      </c>
      <c r="B1788" s="0" t="s">
        <v>4250</v>
      </c>
      <c r="C1788" s="0" t="n">
        <v>7.65</v>
      </c>
    </row>
    <row r="1789" customFormat="false" ht="15" hidden="false" customHeight="false" outlineLevel="0" collapsed="false">
      <c r="A1789" s="0" t="s">
        <v>4251</v>
      </c>
      <c r="B1789" s="0" t="s">
        <v>606</v>
      </c>
      <c r="C1789" s="0" t="n">
        <v>1.25</v>
      </c>
    </row>
    <row r="1790" customFormat="false" ht="15" hidden="false" customHeight="false" outlineLevel="0" collapsed="false">
      <c r="A1790" s="0" t="s">
        <v>4252</v>
      </c>
      <c r="B1790" s="0" t="s">
        <v>4253</v>
      </c>
      <c r="C1790" s="0" t="n">
        <v>0.65</v>
      </c>
    </row>
    <row r="1791" customFormat="false" ht="15" hidden="false" customHeight="false" outlineLevel="0" collapsed="false">
      <c r="A1791" s="0" t="s">
        <v>4254</v>
      </c>
      <c r="B1791" s="0" t="s">
        <v>4255</v>
      </c>
      <c r="C1791" s="0" t="n">
        <v>0.65</v>
      </c>
    </row>
    <row r="1792" customFormat="false" ht="15" hidden="false" customHeight="false" outlineLevel="0" collapsed="false">
      <c r="A1792" s="0" t="s">
        <v>4256</v>
      </c>
      <c r="B1792" s="0" t="s">
        <v>4257</v>
      </c>
      <c r="C1792" s="0" t="n">
        <v>0.85</v>
      </c>
    </row>
    <row r="1793" customFormat="false" ht="15" hidden="false" customHeight="false" outlineLevel="0" collapsed="false">
      <c r="A1793" s="0" t="s">
        <v>4258</v>
      </c>
      <c r="B1793" s="0" t="s">
        <v>4259</v>
      </c>
      <c r="C1793" s="0" t="n">
        <v>5.49</v>
      </c>
    </row>
    <row r="1794" customFormat="false" ht="15" hidden="false" customHeight="false" outlineLevel="0" collapsed="false">
      <c r="A1794" s="0" t="s">
        <v>4260</v>
      </c>
      <c r="B1794" s="0" t="s">
        <v>4261</v>
      </c>
      <c r="C1794" s="0" t="n">
        <v>1.65</v>
      </c>
    </row>
    <row r="1795" customFormat="false" ht="15" hidden="false" customHeight="false" outlineLevel="0" collapsed="false">
      <c r="A1795" s="0" t="s">
        <v>4262</v>
      </c>
      <c r="B1795" s="0" t="s">
        <v>4263</v>
      </c>
      <c r="C1795" s="0" t="n">
        <v>1.25</v>
      </c>
    </row>
    <row r="1796" customFormat="false" ht="15" hidden="false" customHeight="false" outlineLevel="0" collapsed="false">
      <c r="A1796" s="0" t="s">
        <v>4264</v>
      </c>
      <c r="B1796" s="0" t="s">
        <v>4265</v>
      </c>
      <c r="C1796" s="0" t="n">
        <v>2.95</v>
      </c>
    </row>
    <row r="1797" customFormat="false" ht="15" hidden="false" customHeight="false" outlineLevel="0" collapsed="false">
      <c r="A1797" s="0" t="s">
        <v>4266</v>
      </c>
      <c r="B1797" s="0" t="s">
        <v>4267</v>
      </c>
      <c r="C1797" s="0" t="n">
        <v>1.65</v>
      </c>
    </row>
    <row r="1798" customFormat="false" ht="15" hidden="false" customHeight="false" outlineLevel="0" collapsed="false">
      <c r="A1798" s="0" t="s">
        <v>4268</v>
      </c>
      <c r="B1798" s="0" t="s">
        <v>4269</v>
      </c>
      <c r="C1798" s="0" t="n">
        <v>1.25</v>
      </c>
    </row>
    <row r="1799" customFormat="false" ht="15" hidden="false" customHeight="false" outlineLevel="0" collapsed="false">
      <c r="A1799" s="0" t="s">
        <v>4270</v>
      </c>
      <c r="B1799" s="0" t="s">
        <v>4271</v>
      </c>
      <c r="C1799" s="0" t="n">
        <v>2.95</v>
      </c>
    </row>
    <row r="1800" customFormat="false" ht="15" hidden="false" customHeight="false" outlineLevel="0" collapsed="false">
      <c r="A1800" s="0" t="s">
        <v>4272</v>
      </c>
      <c r="B1800" s="0" t="s">
        <v>754</v>
      </c>
      <c r="C1800" s="0" t="n">
        <v>1.65</v>
      </c>
    </row>
    <row r="1801" customFormat="false" ht="15" hidden="false" customHeight="false" outlineLevel="0" collapsed="false">
      <c r="A1801" s="0" t="s">
        <v>4273</v>
      </c>
      <c r="B1801" s="0" t="s">
        <v>4274</v>
      </c>
      <c r="C1801" s="0" t="n">
        <v>3.43</v>
      </c>
    </row>
    <row r="1802" customFormat="false" ht="15" hidden="false" customHeight="false" outlineLevel="0" collapsed="false">
      <c r="A1802" s="0" t="s">
        <v>4275</v>
      </c>
      <c r="B1802" s="0" t="s">
        <v>4276</v>
      </c>
      <c r="C1802" s="0" t="n">
        <v>2.1</v>
      </c>
    </row>
    <row r="1803" customFormat="false" ht="15" hidden="false" customHeight="false" outlineLevel="0" collapsed="false">
      <c r="A1803" s="0" t="s">
        <v>4277</v>
      </c>
      <c r="B1803" s="0" t="s">
        <v>4278</v>
      </c>
      <c r="C1803" s="0" t="n">
        <v>1.69</v>
      </c>
    </row>
    <row r="1804" customFormat="false" ht="15" hidden="false" customHeight="false" outlineLevel="0" collapsed="false">
      <c r="A1804" s="0" t="s">
        <v>4279</v>
      </c>
      <c r="B1804" s="0" t="s">
        <v>4280</v>
      </c>
      <c r="C1804" s="0" t="n">
        <v>2.95</v>
      </c>
    </row>
    <row r="1805" customFormat="false" ht="15" hidden="false" customHeight="false" outlineLevel="0" collapsed="false">
      <c r="A1805" s="0" t="s">
        <v>4281</v>
      </c>
      <c r="B1805" s="0" t="s">
        <v>4282</v>
      </c>
      <c r="C1805" s="0" t="n">
        <v>1.45</v>
      </c>
    </row>
    <row r="1806" customFormat="false" ht="15" hidden="false" customHeight="false" outlineLevel="0" collapsed="false">
      <c r="A1806" s="0" t="s">
        <v>4281</v>
      </c>
      <c r="B1806" s="0" t="s">
        <v>4283</v>
      </c>
      <c r="C1806" s="0" t="n">
        <v>1.25</v>
      </c>
    </row>
    <row r="1807" customFormat="false" ht="15" hidden="false" customHeight="false" outlineLevel="0" collapsed="false">
      <c r="A1807" s="0" t="s">
        <v>4284</v>
      </c>
      <c r="B1807" s="0" t="s">
        <v>135</v>
      </c>
      <c r="C1807" s="0" t="n">
        <v>0.85</v>
      </c>
    </row>
    <row r="1808" customFormat="false" ht="15" hidden="false" customHeight="false" outlineLevel="0" collapsed="false">
      <c r="A1808" s="0" t="s">
        <v>4285</v>
      </c>
      <c r="B1808" s="0" t="s">
        <v>4286</v>
      </c>
      <c r="C1808" s="0" t="n">
        <v>0.65</v>
      </c>
    </row>
    <row r="1809" customFormat="false" ht="15" hidden="false" customHeight="false" outlineLevel="0" collapsed="false">
      <c r="A1809" s="0" t="s">
        <v>4287</v>
      </c>
      <c r="B1809" s="0" t="s">
        <v>4288</v>
      </c>
      <c r="C1809" s="0" t="n">
        <v>0.42</v>
      </c>
    </row>
    <row r="1810" customFormat="false" ht="15" hidden="false" customHeight="false" outlineLevel="0" collapsed="false">
      <c r="A1810" s="0" t="s">
        <v>4289</v>
      </c>
      <c r="B1810" s="0" t="s">
        <v>4290</v>
      </c>
      <c r="C1810" s="0" t="n">
        <v>0.85</v>
      </c>
    </row>
    <row r="1811" customFormat="false" ht="15" hidden="false" customHeight="false" outlineLevel="0" collapsed="false">
      <c r="A1811" s="0" t="s">
        <v>4291</v>
      </c>
      <c r="B1811" s="0" t="s">
        <v>4292</v>
      </c>
      <c r="C1811" s="0" t="n">
        <v>0.65</v>
      </c>
    </row>
    <row r="1812" customFormat="false" ht="15" hidden="false" customHeight="false" outlineLevel="0" collapsed="false">
      <c r="A1812" s="0" t="s">
        <v>4293</v>
      </c>
      <c r="B1812" s="0" t="s">
        <v>4294</v>
      </c>
      <c r="C1812" s="0" t="n">
        <v>0.29</v>
      </c>
    </row>
    <row r="1813" customFormat="false" ht="15" hidden="false" customHeight="false" outlineLevel="0" collapsed="false">
      <c r="A1813" s="0" t="s">
        <v>4295</v>
      </c>
      <c r="B1813" s="0" t="s">
        <v>4296</v>
      </c>
      <c r="C1813" s="0" t="n">
        <v>3.75</v>
      </c>
    </row>
    <row r="1814" customFormat="false" ht="15" hidden="false" customHeight="false" outlineLevel="0" collapsed="false">
      <c r="A1814" s="0" t="s">
        <v>4297</v>
      </c>
      <c r="B1814" s="0" t="s">
        <v>4298</v>
      </c>
      <c r="C1814" s="0" t="n">
        <v>1.69</v>
      </c>
    </row>
    <row r="1815" customFormat="false" ht="15" hidden="false" customHeight="false" outlineLevel="0" collapsed="false">
      <c r="A1815" s="0" t="s">
        <v>4299</v>
      </c>
      <c r="B1815" s="0" t="s">
        <v>4300</v>
      </c>
      <c r="C1815" s="0" t="n">
        <v>0.85</v>
      </c>
    </row>
    <row r="1816" customFormat="false" ht="15" hidden="false" customHeight="false" outlineLevel="0" collapsed="false">
      <c r="A1816" s="0" t="s">
        <v>4301</v>
      </c>
      <c r="B1816" s="0" t="s">
        <v>4302</v>
      </c>
      <c r="C1816" s="0" t="n">
        <v>1.65</v>
      </c>
    </row>
    <row r="1817" customFormat="false" ht="15" hidden="false" customHeight="false" outlineLevel="0" collapsed="false">
      <c r="A1817" s="0" t="s">
        <v>4303</v>
      </c>
      <c r="B1817" s="0" t="s">
        <v>4304</v>
      </c>
      <c r="C1817" s="0" t="n">
        <v>0.42</v>
      </c>
    </row>
    <row r="1818" customFormat="false" ht="15" hidden="false" customHeight="false" outlineLevel="0" collapsed="false">
      <c r="A1818" s="0" t="s">
        <v>4305</v>
      </c>
      <c r="B1818" s="0" t="s">
        <v>4306</v>
      </c>
      <c r="C1818" s="0" t="n">
        <v>0.84</v>
      </c>
    </row>
    <row r="1819" customFormat="false" ht="15" hidden="false" customHeight="false" outlineLevel="0" collapsed="false">
      <c r="A1819" s="0" t="s">
        <v>4307</v>
      </c>
      <c r="B1819" s="0" t="s">
        <v>4308</v>
      </c>
      <c r="C1819" s="0" t="n">
        <v>0.85</v>
      </c>
    </row>
    <row r="1820" customFormat="false" ht="15" hidden="false" customHeight="false" outlineLevel="0" collapsed="false">
      <c r="A1820" s="0" t="s">
        <v>4309</v>
      </c>
      <c r="B1820" s="0" t="s">
        <v>4310</v>
      </c>
      <c r="C1820" s="0" t="n">
        <v>1.25</v>
      </c>
    </row>
    <row r="1821" customFormat="false" ht="15" hidden="false" customHeight="false" outlineLevel="0" collapsed="false">
      <c r="A1821" s="0" t="s">
        <v>4311</v>
      </c>
      <c r="B1821" s="0" t="s">
        <v>4312</v>
      </c>
      <c r="C1821" s="0" t="n">
        <v>0.65</v>
      </c>
    </row>
    <row r="1822" customFormat="false" ht="15" hidden="false" customHeight="false" outlineLevel="0" collapsed="false">
      <c r="A1822" s="0" t="s">
        <v>4313</v>
      </c>
      <c r="B1822" s="0" t="s">
        <v>4314</v>
      </c>
      <c r="C1822" s="0" t="n">
        <v>0.65</v>
      </c>
    </row>
    <row r="1823" customFormat="false" ht="15" hidden="false" customHeight="false" outlineLevel="0" collapsed="false">
      <c r="A1823" s="0" t="s">
        <v>4315</v>
      </c>
      <c r="B1823" s="0" t="s">
        <v>4316</v>
      </c>
      <c r="C1823" s="0" t="n">
        <v>0.65</v>
      </c>
    </row>
    <row r="1824" customFormat="false" ht="15" hidden="false" customHeight="false" outlineLevel="0" collapsed="false">
      <c r="A1824" s="0" t="s">
        <v>4317</v>
      </c>
      <c r="B1824" s="0" t="s">
        <v>4318</v>
      </c>
      <c r="C1824" s="0" t="n">
        <v>0.65</v>
      </c>
    </row>
    <row r="1825" customFormat="false" ht="15" hidden="false" customHeight="false" outlineLevel="0" collapsed="false">
      <c r="A1825" s="0" t="s">
        <v>4319</v>
      </c>
      <c r="B1825" s="0" t="s">
        <v>4320</v>
      </c>
      <c r="C1825" s="0" t="n">
        <v>0.65</v>
      </c>
    </row>
    <row r="1826" customFormat="false" ht="15" hidden="false" customHeight="false" outlineLevel="0" collapsed="false">
      <c r="A1826" s="0" t="s">
        <v>4321</v>
      </c>
      <c r="B1826" s="0" t="s">
        <v>4322</v>
      </c>
      <c r="C1826" s="0" t="n">
        <v>0.65</v>
      </c>
    </row>
    <row r="1827" customFormat="false" ht="15" hidden="false" customHeight="false" outlineLevel="0" collapsed="false">
      <c r="A1827" s="0" t="s">
        <v>4323</v>
      </c>
      <c r="B1827" s="0" t="s">
        <v>4324</v>
      </c>
      <c r="C1827" s="0" t="n">
        <v>1.95</v>
      </c>
    </row>
    <row r="1828" customFormat="false" ht="15" hidden="false" customHeight="false" outlineLevel="0" collapsed="false">
      <c r="A1828" s="0" t="s">
        <v>4325</v>
      </c>
      <c r="B1828" s="0" t="s">
        <v>4326</v>
      </c>
      <c r="C1828" s="0" t="n">
        <v>1.65</v>
      </c>
    </row>
    <row r="1829" customFormat="false" ht="15" hidden="false" customHeight="false" outlineLevel="0" collapsed="false">
      <c r="A1829" s="0" t="s">
        <v>4327</v>
      </c>
      <c r="B1829" s="0" t="s">
        <v>4328</v>
      </c>
      <c r="C1829" s="0" t="n">
        <v>5.06</v>
      </c>
    </row>
    <row r="1830" customFormat="false" ht="15" hidden="false" customHeight="false" outlineLevel="0" collapsed="false">
      <c r="A1830" s="0" t="s">
        <v>4329</v>
      </c>
      <c r="B1830" s="0" t="s">
        <v>4330</v>
      </c>
      <c r="C1830" s="0" t="n">
        <v>3.75</v>
      </c>
    </row>
    <row r="1831" customFormat="false" ht="15" hidden="false" customHeight="false" outlineLevel="0" collapsed="false">
      <c r="A1831" s="0" t="s">
        <v>4331</v>
      </c>
      <c r="B1831" s="0" t="s">
        <v>4332</v>
      </c>
      <c r="C1831" s="0" t="n">
        <v>12.75</v>
      </c>
    </row>
    <row r="1832" customFormat="false" ht="15" hidden="false" customHeight="false" outlineLevel="0" collapsed="false">
      <c r="A1832" s="0" t="s">
        <v>4333</v>
      </c>
      <c r="B1832" s="0" t="s">
        <v>581</v>
      </c>
      <c r="C1832" s="0" t="n">
        <v>3.75</v>
      </c>
    </row>
    <row r="1833" customFormat="false" ht="15" hidden="false" customHeight="false" outlineLevel="0" collapsed="false">
      <c r="A1833" s="0" t="s">
        <v>4334</v>
      </c>
      <c r="B1833" s="0" t="s">
        <v>4335</v>
      </c>
      <c r="C1833" s="0" t="n">
        <v>0.85</v>
      </c>
    </row>
    <row r="1834" customFormat="false" ht="15" hidden="false" customHeight="false" outlineLevel="0" collapsed="false">
      <c r="A1834" s="0" t="s">
        <v>4336</v>
      </c>
      <c r="B1834" s="0" t="s">
        <v>4337</v>
      </c>
      <c r="C1834" s="0" t="n">
        <v>1.25</v>
      </c>
    </row>
    <row r="1835" customFormat="false" ht="15" hidden="false" customHeight="false" outlineLevel="0" collapsed="false">
      <c r="A1835" s="0" t="s">
        <v>4338</v>
      </c>
      <c r="B1835" s="0" t="s">
        <v>4339</v>
      </c>
      <c r="C1835" s="0" t="n">
        <v>5.95</v>
      </c>
    </row>
    <row r="1836" customFormat="false" ht="15" hidden="false" customHeight="false" outlineLevel="0" collapsed="false">
      <c r="A1836" s="0" t="s">
        <v>4340</v>
      </c>
      <c r="B1836" s="0" t="s">
        <v>4341</v>
      </c>
      <c r="C1836" s="0" t="n">
        <v>1.65</v>
      </c>
    </row>
    <row r="1837" customFormat="false" ht="15" hidden="false" customHeight="false" outlineLevel="0" collapsed="false">
      <c r="A1837" s="0" t="s">
        <v>4342</v>
      </c>
      <c r="B1837" s="0" t="s">
        <v>4343</v>
      </c>
      <c r="C1837" s="0" t="n">
        <v>4.95</v>
      </c>
    </row>
    <row r="1838" customFormat="false" ht="15" hidden="false" customHeight="false" outlineLevel="0" collapsed="false">
      <c r="A1838" s="0" t="s">
        <v>4344</v>
      </c>
      <c r="B1838" s="0" t="s">
        <v>4345</v>
      </c>
      <c r="C1838" s="0" t="n">
        <v>6.35</v>
      </c>
    </row>
    <row r="1839" customFormat="false" ht="15" hidden="false" customHeight="false" outlineLevel="0" collapsed="false">
      <c r="A1839" s="0" t="s">
        <v>4346</v>
      </c>
      <c r="B1839" s="0" t="s">
        <v>193</v>
      </c>
      <c r="C1839" s="0" t="n">
        <v>2.95</v>
      </c>
    </row>
    <row r="1840" customFormat="false" ht="15" hidden="false" customHeight="false" outlineLevel="0" collapsed="false">
      <c r="A1840" s="0" t="s">
        <v>4347</v>
      </c>
      <c r="B1840" s="0" t="s">
        <v>4348</v>
      </c>
      <c r="C1840" s="0" t="n">
        <v>1.25</v>
      </c>
    </row>
    <row r="1841" customFormat="false" ht="15" hidden="false" customHeight="false" outlineLevel="0" collapsed="false">
      <c r="A1841" s="0" t="s">
        <v>4349</v>
      </c>
      <c r="B1841" s="0" t="s">
        <v>4350</v>
      </c>
      <c r="C1841" s="0" t="n">
        <v>1.45</v>
      </c>
    </row>
    <row r="1842" customFormat="false" ht="15" hidden="false" customHeight="false" outlineLevel="0" collapsed="false">
      <c r="A1842" s="0" t="s">
        <v>4351</v>
      </c>
      <c r="B1842" s="0" t="s">
        <v>4352</v>
      </c>
      <c r="C1842" s="0" t="n">
        <v>0.85</v>
      </c>
    </row>
    <row r="1843" customFormat="false" ht="15" hidden="false" customHeight="false" outlineLevel="0" collapsed="false">
      <c r="A1843" s="0" t="s">
        <v>4353</v>
      </c>
      <c r="B1843" s="0" t="s">
        <v>4354</v>
      </c>
      <c r="C1843" s="0" t="n">
        <v>1.95</v>
      </c>
    </row>
    <row r="1844" customFormat="false" ht="15" hidden="false" customHeight="false" outlineLevel="0" collapsed="false">
      <c r="A1844" s="0" t="s">
        <v>4355</v>
      </c>
      <c r="B1844" s="0" t="s">
        <v>4356</v>
      </c>
      <c r="C1844" s="0" t="n">
        <v>1.65</v>
      </c>
    </row>
    <row r="1845" customFormat="false" ht="15" hidden="false" customHeight="false" outlineLevel="0" collapsed="false">
      <c r="A1845" s="0" t="s">
        <v>4357</v>
      </c>
      <c r="B1845" s="0" t="s">
        <v>4358</v>
      </c>
      <c r="C1845" s="0" t="n">
        <v>1.65</v>
      </c>
    </row>
    <row r="1846" customFormat="false" ht="15" hidden="false" customHeight="false" outlineLevel="0" collapsed="false">
      <c r="A1846" s="0" t="s">
        <v>4359</v>
      </c>
      <c r="B1846" s="0" t="s">
        <v>4360</v>
      </c>
      <c r="C1846" s="0" t="n">
        <v>2.1</v>
      </c>
    </row>
    <row r="1847" customFormat="false" ht="15" hidden="false" customHeight="false" outlineLevel="0" collapsed="false">
      <c r="A1847" s="0" t="s">
        <v>4361</v>
      </c>
      <c r="B1847" s="0" t="s">
        <v>4362</v>
      </c>
      <c r="C1847" s="0" t="n">
        <v>1.69</v>
      </c>
    </row>
    <row r="1848" customFormat="false" ht="15" hidden="false" customHeight="false" outlineLevel="0" collapsed="false">
      <c r="A1848" s="0" t="s">
        <v>4363</v>
      </c>
      <c r="B1848" s="0" t="s">
        <v>4364</v>
      </c>
      <c r="C1848" s="0" t="n">
        <v>4.65</v>
      </c>
    </row>
    <row r="1849" customFormat="false" ht="15" hidden="false" customHeight="false" outlineLevel="0" collapsed="false">
      <c r="A1849" s="0" t="s">
        <v>4365</v>
      </c>
      <c r="B1849" s="0" t="s">
        <v>851</v>
      </c>
      <c r="C1849" s="0" t="n">
        <v>4.65</v>
      </c>
    </row>
    <row r="1850" customFormat="false" ht="15" hidden="false" customHeight="false" outlineLevel="0" collapsed="false">
      <c r="A1850" s="0" t="s">
        <v>4366</v>
      </c>
      <c r="B1850" s="0" t="s">
        <v>471</v>
      </c>
      <c r="C1850" s="0" t="n">
        <v>3.95</v>
      </c>
    </row>
    <row r="1851" customFormat="false" ht="15" hidden="false" customHeight="false" outlineLevel="0" collapsed="false">
      <c r="A1851" s="0" t="s">
        <v>4367</v>
      </c>
      <c r="B1851" s="0" t="s">
        <v>4368</v>
      </c>
      <c r="C1851" s="0" t="n">
        <v>0.21</v>
      </c>
    </row>
    <row r="1852" customFormat="false" ht="15" hidden="false" customHeight="false" outlineLevel="0" collapsed="false">
      <c r="A1852" s="0" t="s">
        <v>4369</v>
      </c>
      <c r="B1852" s="0" t="s">
        <v>4370</v>
      </c>
      <c r="C1852" s="0" t="n">
        <v>2.1</v>
      </c>
    </row>
    <row r="1853" customFormat="false" ht="15" hidden="false" customHeight="false" outlineLevel="0" collapsed="false">
      <c r="A1853" s="0" t="s">
        <v>4371</v>
      </c>
      <c r="B1853" s="0" t="s">
        <v>4372</v>
      </c>
      <c r="C1853" s="0" t="n">
        <v>0.42</v>
      </c>
    </row>
    <row r="1854" customFormat="false" ht="15" hidden="false" customHeight="false" outlineLevel="0" collapsed="false">
      <c r="A1854" s="0" t="s">
        <v>4373</v>
      </c>
      <c r="B1854" s="0" t="s">
        <v>4374</v>
      </c>
      <c r="C1854" s="0" t="n">
        <v>4.3</v>
      </c>
    </row>
    <row r="1855" customFormat="false" ht="15" hidden="false" customHeight="false" outlineLevel="0" collapsed="false">
      <c r="A1855" s="0" t="s">
        <v>4375</v>
      </c>
      <c r="B1855" s="0" t="s">
        <v>4376</v>
      </c>
      <c r="C1855" s="0" t="n">
        <v>1.25</v>
      </c>
    </row>
    <row r="1856" customFormat="false" ht="15" hidden="false" customHeight="false" outlineLevel="0" collapsed="false">
      <c r="A1856" s="0" t="s">
        <v>4377</v>
      </c>
      <c r="B1856" s="0" t="s">
        <v>208</v>
      </c>
      <c r="C1856" s="0" t="n">
        <v>2.1</v>
      </c>
    </row>
    <row r="1857" customFormat="false" ht="15" hidden="false" customHeight="false" outlineLevel="0" collapsed="false">
      <c r="A1857" s="0" t="s">
        <v>4378</v>
      </c>
      <c r="B1857" s="0" t="s">
        <v>4379</v>
      </c>
      <c r="C1857" s="0" t="n">
        <v>7.95</v>
      </c>
    </row>
    <row r="1858" customFormat="false" ht="15" hidden="false" customHeight="false" outlineLevel="0" collapsed="false">
      <c r="A1858" s="0" t="s">
        <v>4380</v>
      </c>
      <c r="B1858" s="0" t="s">
        <v>4381</v>
      </c>
      <c r="C1858" s="0" t="n">
        <v>2.55</v>
      </c>
    </row>
    <row r="1859" customFormat="false" ht="15" hidden="false" customHeight="false" outlineLevel="0" collapsed="false">
      <c r="A1859" s="0" t="s">
        <v>4382</v>
      </c>
      <c r="B1859" s="0" t="s">
        <v>4383</v>
      </c>
      <c r="C1859" s="0" t="n">
        <v>0.42</v>
      </c>
    </row>
    <row r="1860" customFormat="false" ht="15" hidden="false" customHeight="false" outlineLevel="0" collapsed="false">
      <c r="A1860" s="0" t="s">
        <v>4384</v>
      </c>
      <c r="B1860" s="0" t="s">
        <v>4385</v>
      </c>
      <c r="C1860" s="0" t="n">
        <v>1.25</v>
      </c>
    </row>
    <row r="1861" customFormat="false" ht="15" hidden="false" customHeight="false" outlineLevel="0" collapsed="false">
      <c r="A1861" s="0" t="s">
        <v>4386</v>
      </c>
      <c r="B1861" s="0" t="s">
        <v>4387</v>
      </c>
      <c r="C1861" s="0" t="n">
        <v>0.29</v>
      </c>
    </row>
    <row r="1862" customFormat="false" ht="15" hidden="false" customHeight="false" outlineLevel="0" collapsed="false">
      <c r="A1862" s="0" t="s">
        <v>4388</v>
      </c>
      <c r="B1862" s="0" t="s">
        <v>4389</v>
      </c>
      <c r="C1862" s="0" t="n">
        <v>0.85</v>
      </c>
    </row>
    <row r="1863" customFormat="false" ht="15" hidden="false" customHeight="false" outlineLevel="0" collapsed="false">
      <c r="A1863" s="0" t="s">
        <v>4390</v>
      </c>
      <c r="B1863" s="0" t="s">
        <v>4391</v>
      </c>
      <c r="C1863" s="0" t="n">
        <v>0.29</v>
      </c>
    </row>
    <row r="1864" customFormat="false" ht="15" hidden="false" customHeight="false" outlineLevel="0" collapsed="false">
      <c r="A1864" s="0" t="s">
        <v>4392</v>
      </c>
      <c r="B1864" s="0" t="s">
        <v>4393</v>
      </c>
      <c r="C1864" s="0" t="n">
        <v>35.75</v>
      </c>
    </row>
    <row r="1865" customFormat="false" ht="15" hidden="false" customHeight="false" outlineLevel="0" collapsed="false">
      <c r="A1865" s="0" t="s">
        <v>4394</v>
      </c>
      <c r="B1865" s="0" t="s">
        <v>4395</v>
      </c>
      <c r="C1865" s="0" t="n">
        <v>1.65</v>
      </c>
    </row>
    <row r="1866" customFormat="false" ht="15" hidden="false" customHeight="false" outlineLevel="0" collapsed="false">
      <c r="A1866" s="0" t="s">
        <v>4396</v>
      </c>
      <c r="B1866" s="0" t="s">
        <v>4397</v>
      </c>
      <c r="C1866" s="0" t="n">
        <v>2.55</v>
      </c>
    </row>
    <row r="1867" customFormat="false" ht="15" hidden="false" customHeight="false" outlineLevel="0" collapsed="false">
      <c r="A1867" s="0" t="s">
        <v>4398</v>
      </c>
      <c r="B1867" s="0" t="s">
        <v>4399</v>
      </c>
      <c r="C1867" s="0" t="n">
        <v>5.95</v>
      </c>
    </row>
    <row r="1868" customFormat="false" ht="15" hidden="false" customHeight="false" outlineLevel="0" collapsed="false">
      <c r="A1868" s="0" t="s">
        <v>4400</v>
      </c>
      <c r="B1868" s="0" t="s">
        <v>4401</v>
      </c>
      <c r="C1868" s="0" t="n">
        <v>4.95</v>
      </c>
    </row>
    <row r="1869" customFormat="false" ht="15" hidden="false" customHeight="false" outlineLevel="0" collapsed="false">
      <c r="A1869" s="0" t="s">
        <v>4402</v>
      </c>
      <c r="B1869" s="0" t="s">
        <v>4403</v>
      </c>
      <c r="C1869" s="0" t="n">
        <v>2.55</v>
      </c>
    </row>
    <row r="1870" customFormat="false" ht="15" hidden="false" customHeight="false" outlineLevel="0" collapsed="false">
      <c r="A1870" s="0" t="s">
        <v>4404</v>
      </c>
      <c r="B1870" s="0" t="s">
        <v>319</v>
      </c>
      <c r="C1870" s="0" t="n">
        <v>0.85</v>
      </c>
    </row>
    <row r="1871" customFormat="false" ht="15" hidden="false" customHeight="false" outlineLevel="0" collapsed="false">
      <c r="A1871" s="0" t="s">
        <v>4405</v>
      </c>
      <c r="B1871" s="0" t="s">
        <v>4406</v>
      </c>
      <c r="C1871" s="0" t="n">
        <v>0.85</v>
      </c>
    </row>
    <row r="1872" customFormat="false" ht="15" hidden="false" customHeight="false" outlineLevel="0" collapsed="false">
      <c r="A1872" s="0" t="s">
        <v>4407</v>
      </c>
      <c r="B1872" s="0" t="s">
        <v>4408</v>
      </c>
      <c r="C1872" s="0" t="n">
        <v>0.85</v>
      </c>
    </row>
    <row r="1873" customFormat="false" ht="15" hidden="false" customHeight="false" outlineLevel="0" collapsed="false">
      <c r="A1873" s="0" t="s">
        <v>4409</v>
      </c>
      <c r="B1873" s="0" t="s">
        <v>4410</v>
      </c>
      <c r="C1873" s="0" t="n">
        <v>0.85</v>
      </c>
    </row>
    <row r="1874" customFormat="false" ht="15" hidden="false" customHeight="false" outlineLevel="0" collapsed="false">
      <c r="A1874" s="0" t="s">
        <v>4411</v>
      </c>
      <c r="B1874" s="0" t="s">
        <v>4412</v>
      </c>
      <c r="C1874" s="0" t="n">
        <v>0.85</v>
      </c>
    </row>
    <row r="1875" customFormat="false" ht="15" hidden="false" customHeight="false" outlineLevel="0" collapsed="false">
      <c r="A1875" s="0" t="s">
        <v>4413</v>
      </c>
      <c r="B1875" s="0" t="s">
        <v>4414</v>
      </c>
      <c r="C1875" s="0" t="n">
        <v>0.85</v>
      </c>
    </row>
    <row r="1876" customFormat="false" ht="15" hidden="false" customHeight="false" outlineLevel="0" collapsed="false">
      <c r="A1876" s="0" t="s">
        <v>4415</v>
      </c>
      <c r="B1876" s="0" t="s">
        <v>222</v>
      </c>
      <c r="C1876" s="0" t="n">
        <v>8.5</v>
      </c>
    </row>
    <row r="1877" customFormat="false" ht="15" hidden="false" customHeight="false" outlineLevel="0" collapsed="false">
      <c r="A1877" s="0" t="s">
        <v>4416</v>
      </c>
      <c r="B1877" s="0" t="s">
        <v>4417</v>
      </c>
      <c r="C1877" s="0" t="n">
        <v>1.65</v>
      </c>
    </row>
    <row r="1878" customFormat="false" ht="15" hidden="false" customHeight="false" outlineLevel="0" collapsed="false">
      <c r="A1878" s="0" t="s">
        <v>4418</v>
      </c>
      <c r="B1878" s="0" t="s">
        <v>4419</v>
      </c>
      <c r="C1878" s="0" t="n">
        <v>1.25</v>
      </c>
    </row>
    <row r="1879" customFormat="false" ht="15" hidden="false" customHeight="false" outlineLevel="0" collapsed="false">
      <c r="A1879" s="0" t="s">
        <v>4420</v>
      </c>
      <c r="B1879" s="0" t="s">
        <v>4421</v>
      </c>
      <c r="C1879" s="0" t="n">
        <v>0.55</v>
      </c>
    </row>
    <row r="1880" customFormat="false" ht="15" hidden="false" customHeight="false" outlineLevel="0" collapsed="false">
      <c r="A1880" s="0" t="s">
        <v>4422</v>
      </c>
      <c r="B1880" s="0" t="s">
        <v>4423</v>
      </c>
      <c r="C1880" s="0" t="n">
        <v>5.09</v>
      </c>
    </row>
    <row r="1881" customFormat="false" ht="15" hidden="false" customHeight="false" outlineLevel="0" collapsed="false">
      <c r="A1881" s="0" t="s">
        <v>4424</v>
      </c>
      <c r="B1881" s="0" t="s">
        <v>4425</v>
      </c>
      <c r="C1881" s="0" t="n">
        <v>5.09</v>
      </c>
    </row>
    <row r="1882" customFormat="false" ht="15" hidden="false" customHeight="false" outlineLevel="0" collapsed="false">
      <c r="A1882" s="0" t="s">
        <v>4426</v>
      </c>
      <c r="B1882" s="0" t="s">
        <v>4427</v>
      </c>
      <c r="C1882" s="0" t="n">
        <v>2.95</v>
      </c>
    </row>
    <row r="1883" customFormat="false" ht="15" hidden="false" customHeight="false" outlineLevel="0" collapsed="false">
      <c r="A1883" s="0" t="s">
        <v>4428</v>
      </c>
      <c r="B1883" s="0" t="s">
        <v>823</v>
      </c>
      <c r="C1883" s="0" t="n">
        <v>2.95</v>
      </c>
    </row>
    <row r="1884" customFormat="false" ht="15" hidden="false" customHeight="false" outlineLevel="0" collapsed="false">
      <c r="A1884" s="0" t="s">
        <v>4429</v>
      </c>
      <c r="B1884" s="0" t="s">
        <v>4430</v>
      </c>
      <c r="C1884" s="0" t="n">
        <v>1.25</v>
      </c>
    </row>
    <row r="1885" customFormat="false" ht="15" hidden="false" customHeight="false" outlineLevel="0" collapsed="false">
      <c r="A1885" s="0" t="s">
        <v>4431</v>
      </c>
      <c r="B1885" s="0" t="s">
        <v>4432</v>
      </c>
      <c r="C1885" s="0" t="n">
        <v>0.85</v>
      </c>
    </row>
    <row r="1886" customFormat="false" ht="15" hidden="false" customHeight="false" outlineLevel="0" collapsed="false">
      <c r="A1886" s="0" t="s">
        <v>4433</v>
      </c>
      <c r="B1886" s="0" t="s">
        <v>4434</v>
      </c>
      <c r="C1886" s="0" t="n">
        <v>2.59</v>
      </c>
    </row>
    <row r="1887" customFormat="false" ht="15" hidden="false" customHeight="false" outlineLevel="0" collapsed="false">
      <c r="A1887" s="0" t="s">
        <v>4435</v>
      </c>
      <c r="B1887" s="0" t="s">
        <v>4436</v>
      </c>
      <c r="C1887" s="0" t="n">
        <v>6.25</v>
      </c>
    </row>
    <row r="1888" customFormat="false" ht="15" hidden="false" customHeight="false" outlineLevel="0" collapsed="false">
      <c r="A1888" s="0" t="s">
        <v>4437</v>
      </c>
      <c r="B1888" s="0" t="s">
        <v>4438</v>
      </c>
      <c r="C1888" s="0" t="n">
        <v>5.95</v>
      </c>
    </row>
    <row r="1889" customFormat="false" ht="15" hidden="false" customHeight="false" outlineLevel="0" collapsed="false">
      <c r="A1889" s="0" t="s">
        <v>4439</v>
      </c>
      <c r="B1889" s="0" t="s">
        <v>4440</v>
      </c>
      <c r="C1889" s="0" t="n">
        <v>6.75</v>
      </c>
    </row>
    <row r="1890" customFormat="false" ht="15" hidden="false" customHeight="false" outlineLevel="0" collapsed="false">
      <c r="A1890" s="0" t="s">
        <v>4441</v>
      </c>
      <c r="B1890" s="0" t="s">
        <v>4442</v>
      </c>
      <c r="C1890" s="0" t="n">
        <v>0.06</v>
      </c>
    </row>
    <row r="1891" customFormat="false" ht="15" hidden="false" customHeight="false" outlineLevel="0" collapsed="false">
      <c r="A1891" s="0" t="s">
        <v>4443</v>
      </c>
      <c r="B1891" s="0" t="s">
        <v>4444</v>
      </c>
      <c r="C1891" s="0" t="n">
        <v>4.95</v>
      </c>
    </row>
    <row r="1892" customFormat="false" ht="15" hidden="false" customHeight="false" outlineLevel="0" collapsed="false">
      <c r="A1892" s="0" t="s">
        <v>4445</v>
      </c>
      <c r="B1892" s="0" t="s">
        <v>4446</v>
      </c>
      <c r="C1892" s="0" t="n">
        <v>5.09</v>
      </c>
    </row>
    <row r="1893" customFormat="false" ht="15" hidden="false" customHeight="false" outlineLevel="0" collapsed="false">
      <c r="A1893" s="0" t="s">
        <v>4447</v>
      </c>
      <c r="B1893" s="0" t="s">
        <v>4448</v>
      </c>
      <c r="C1893" s="0" t="n">
        <v>2.11</v>
      </c>
    </row>
    <row r="1894" customFormat="false" ht="15" hidden="false" customHeight="false" outlineLevel="0" collapsed="false">
      <c r="A1894" s="0" t="s">
        <v>4449</v>
      </c>
      <c r="B1894" s="0" t="s">
        <v>4450</v>
      </c>
      <c r="C1894" s="0" t="n">
        <v>3.75</v>
      </c>
    </row>
    <row r="1895" customFormat="false" ht="15" hidden="false" customHeight="false" outlineLevel="0" collapsed="false">
      <c r="A1895" s="0" t="s">
        <v>4451</v>
      </c>
      <c r="B1895" s="0" t="s">
        <v>4452</v>
      </c>
      <c r="C1895" s="0" t="n">
        <v>0.85</v>
      </c>
    </row>
    <row r="1896" customFormat="false" ht="15" hidden="false" customHeight="false" outlineLevel="0" collapsed="false">
      <c r="A1896" s="0" t="s">
        <v>4453</v>
      </c>
      <c r="B1896" s="0" t="s">
        <v>4454</v>
      </c>
      <c r="C1896" s="0" t="n">
        <v>0.85</v>
      </c>
    </row>
    <row r="1897" customFormat="false" ht="15" hidden="false" customHeight="false" outlineLevel="0" collapsed="false">
      <c r="A1897" s="0" t="s">
        <v>4455</v>
      </c>
      <c r="B1897" s="0" t="s">
        <v>565</v>
      </c>
      <c r="C1897" s="0" t="n">
        <v>1.45</v>
      </c>
    </row>
    <row r="1898" customFormat="false" ht="15" hidden="false" customHeight="false" outlineLevel="0" collapsed="false">
      <c r="A1898" s="0" t="s">
        <v>4456</v>
      </c>
      <c r="B1898" s="0" t="s">
        <v>567</v>
      </c>
      <c r="C1898" s="0" t="n">
        <v>4.25</v>
      </c>
    </row>
    <row r="1899" customFormat="false" ht="15" hidden="false" customHeight="false" outlineLevel="0" collapsed="false">
      <c r="A1899" s="0" t="s">
        <v>4457</v>
      </c>
      <c r="B1899" s="0" t="s">
        <v>4458</v>
      </c>
      <c r="C1899" s="0" t="n">
        <v>0.42</v>
      </c>
    </row>
    <row r="1900" customFormat="false" ht="15" hidden="false" customHeight="false" outlineLevel="0" collapsed="false">
      <c r="A1900" s="0" t="s">
        <v>4459</v>
      </c>
      <c r="B1900" s="0" t="s">
        <v>4460</v>
      </c>
      <c r="C1900" s="0" t="n">
        <v>2.95</v>
      </c>
    </row>
    <row r="1901" customFormat="false" ht="15" hidden="false" customHeight="false" outlineLevel="0" collapsed="false">
      <c r="A1901" s="0" t="s">
        <v>4461</v>
      </c>
      <c r="B1901" s="0" t="s">
        <v>4462</v>
      </c>
      <c r="C1901" s="0" t="n">
        <v>7.25</v>
      </c>
    </row>
    <row r="1902" customFormat="false" ht="15" hidden="false" customHeight="false" outlineLevel="0" collapsed="false">
      <c r="A1902" s="0" t="s">
        <v>4463</v>
      </c>
      <c r="B1902" s="0" t="s">
        <v>4464</v>
      </c>
      <c r="C1902" s="0" t="n">
        <v>4.95</v>
      </c>
    </row>
    <row r="1903" customFormat="false" ht="15" hidden="false" customHeight="false" outlineLevel="0" collapsed="false">
      <c r="A1903" s="0" t="s">
        <v>4465</v>
      </c>
      <c r="B1903" s="0" t="s">
        <v>4466</v>
      </c>
      <c r="C1903" s="0" t="n">
        <v>10.75</v>
      </c>
    </row>
    <row r="1904" customFormat="false" ht="15" hidden="false" customHeight="false" outlineLevel="0" collapsed="false">
      <c r="A1904" s="0" t="s">
        <v>4467</v>
      </c>
      <c r="B1904" s="0" t="s">
        <v>4468</v>
      </c>
      <c r="C1904" s="0" t="n">
        <v>7.95</v>
      </c>
    </row>
    <row r="1905" customFormat="false" ht="15" hidden="false" customHeight="false" outlineLevel="0" collapsed="false">
      <c r="A1905" s="0" t="s">
        <v>4469</v>
      </c>
      <c r="B1905" s="0" t="s">
        <v>4470</v>
      </c>
      <c r="C1905" s="0" t="n">
        <v>12.75</v>
      </c>
    </row>
    <row r="1906" customFormat="false" ht="15" hidden="false" customHeight="false" outlineLevel="0" collapsed="false">
      <c r="A1906" s="0" t="s">
        <v>4471</v>
      </c>
      <c r="B1906" s="0" t="s">
        <v>4472</v>
      </c>
      <c r="C1906" s="0" t="n">
        <v>5.95</v>
      </c>
    </row>
    <row r="1907" customFormat="false" ht="15" hidden="false" customHeight="false" outlineLevel="0" collapsed="false">
      <c r="A1907" s="0" t="s">
        <v>4473</v>
      </c>
      <c r="B1907" s="0" t="s">
        <v>4474</v>
      </c>
      <c r="C1907" s="0" t="n">
        <v>1.25</v>
      </c>
    </row>
    <row r="1908" customFormat="false" ht="15" hidden="false" customHeight="false" outlineLevel="0" collapsed="false">
      <c r="A1908" s="0" t="s">
        <v>4475</v>
      </c>
      <c r="B1908" s="0" t="s">
        <v>4476</v>
      </c>
      <c r="C1908" s="0" t="n">
        <v>0.29</v>
      </c>
    </row>
    <row r="1909" customFormat="false" ht="15" hidden="false" customHeight="false" outlineLevel="0" collapsed="false">
      <c r="A1909" s="0" t="s">
        <v>4477</v>
      </c>
      <c r="B1909" s="0" t="s">
        <v>4478</v>
      </c>
      <c r="C1909" s="0" t="n">
        <v>0.42</v>
      </c>
    </row>
    <row r="1910" customFormat="false" ht="15" hidden="false" customHeight="false" outlineLevel="0" collapsed="false">
      <c r="A1910" s="0" t="s">
        <v>4479</v>
      </c>
      <c r="B1910" s="0" t="s">
        <v>4480</v>
      </c>
      <c r="C1910" s="0" t="n">
        <v>0.65</v>
      </c>
    </row>
    <row r="1911" customFormat="false" ht="15" hidden="false" customHeight="false" outlineLevel="0" collapsed="false">
      <c r="A1911" s="0" t="s">
        <v>4481</v>
      </c>
      <c r="B1911" s="0" t="s">
        <v>4482</v>
      </c>
      <c r="C1911" s="0" t="n">
        <v>0.85</v>
      </c>
    </row>
    <row r="1912" customFormat="false" ht="15" hidden="false" customHeight="false" outlineLevel="0" collapsed="false">
      <c r="A1912" s="0" t="s">
        <v>4483</v>
      </c>
      <c r="B1912" s="0" t="s">
        <v>4484</v>
      </c>
      <c r="C1912" s="0" t="n">
        <v>0.85</v>
      </c>
    </row>
    <row r="1913" customFormat="false" ht="15" hidden="false" customHeight="false" outlineLevel="0" collapsed="false">
      <c r="A1913" s="0" t="s">
        <v>4485</v>
      </c>
      <c r="B1913" s="0" t="s">
        <v>4486</v>
      </c>
      <c r="C1913" s="0" t="n">
        <v>0.85</v>
      </c>
    </row>
    <row r="1914" customFormat="false" ht="15" hidden="false" customHeight="false" outlineLevel="0" collapsed="false">
      <c r="A1914" s="0" t="s">
        <v>4487</v>
      </c>
      <c r="B1914" s="0" t="s">
        <v>4488</v>
      </c>
      <c r="C1914" s="0" t="n">
        <v>1.25</v>
      </c>
    </row>
    <row r="1915" customFormat="false" ht="15" hidden="false" customHeight="false" outlineLevel="0" collapsed="false">
      <c r="A1915" s="0" t="s">
        <v>4489</v>
      </c>
      <c r="B1915" s="0" t="s">
        <v>4490</v>
      </c>
      <c r="C1915" s="0" t="n">
        <v>3.81</v>
      </c>
    </row>
    <row r="1916" customFormat="false" ht="15" hidden="false" customHeight="false" outlineLevel="0" collapsed="false">
      <c r="A1916" s="0" t="s">
        <v>4491</v>
      </c>
      <c r="B1916" s="0" t="s">
        <v>4492</v>
      </c>
      <c r="C1916" s="0" t="n">
        <v>5.94</v>
      </c>
    </row>
    <row r="1917" customFormat="false" ht="15" hidden="false" customHeight="false" outlineLevel="0" collapsed="false">
      <c r="A1917" s="0" t="s">
        <v>4493</v>
      </c>
      <c r="B1917" s="0" t="s">
        <v>4494</v>
      </c>
      <c r="C1917" s="0" t="n">
        <v>0.38</v>
      </c>
    </row>
    <row r="1918" customFormat="false" ht="15" hidden="false" customHeight="false" outlineLevel="0" collapsed="false">
      <c r="A1918" s="0" t="s">
        <v>4495</v>
      </c>
      <c r="B1918" s="0" t="s">
        <v>4496</v>
      </c>
      <c r="C1918" s="0" t="n">
        <v>2.95</v>
      </c>
    </row>
    <row r="1919" customFormat="false" ht="15" hidden="false" customHeight="false" outlineLevel="0" collapsed="false">
      <c r="A1919" s="0" t="s">
        <v>4497</v>
      </c>
      <c r="B1919" s="0" t="s">
        <v>4498</v>
      </c>
      <c r="C1919" s="0" t="n">
        <v>1.65</v>
      </c>
    </row>
    <row r="1920" customFormat="false" ht="15" hidden="false" customHeight="false" outlineLevel="0" collapsed="false">
      <c r="A1920" s="0" t="s">
        <v>4499</v>
      </c>
      <c r="B1920" s="0" t="s">
        <v>4500</v>
      </c>
      <c r="C1920" s="0" t="n">
        <v>1.65</v>
      </c>
    </row>
    <row r="1921" customFormat="false" ht="15" hidden="false" customHeight="false" outlineLevel="0" collapsed="false">
      <c r="A1921" s="0" t="s">
        <v>4501</v>
      </c>
      <c r="B1921" s="0" t="s">
        <v>4502</v>
      </c>
      <c r="C1921" s="0" t="n">
        <v>1.45</v>
      </c>
    </row>
    <row r="1922" customFormat="false" ht="15" hidden="false" customHeight="false" outlineLevel="0" collapsed="false">
      <c r="A1922" s="0" t="s">
        <v>4503</v>
      </c>
      <c r="B1922" s="0" t="s">
        <v>4504</v>
      </c>
      <c r="C1922" s="0" t="n">
        <v>0.85</v>
      </c>
    </row>
    <row r="1923" customFormat="false" ht="15" hidden="false" customHeight="false" outlineLevel="0" collapsed="false">
      <c r="A1923" s="0" t="s">
        <v>4505</v>
      </c>
      <c r="B1923" s="0" t="s">
        <v>4506</v>
      </c>
      <c r="C1923" s="0" t="n">
        <v>2.1</v>
      </c>
    </row>
    <row r="1924" customFormat="false" ht="15" hidden="false" customHeight="false" outlineLevel="0" collapsed="false">
      <c r="A1924" s="0" t="s">
        <v>4507</v>
      </c>
      <c r="B1924" s="0" t="s">
        <v>4508</v>
      </c>
      <c r="C1924" s="0" t="n">
        <v>9.95</v>
      </c>
    </row>
    <row r="1925" customFormat="false" ht="15" hidden="false" customHeight="false" outlineLevel="0" collapsed="false">
      <c r="A1925" s="0" t="s">
        <v>4509</v>
      </c>
      <c r="B1925" s="0" t="s">
        <v>4510</v>
      </c>
      <c r="C1925" s="0" t="n">
        <v>4.95</v>
      </c>
    </row>
    <row r="1926" customFormat="false" ht="15" hidden="false" customHeight="false" outlineLevel="0" collapsed="false">
      <c r="A1926" s="0" t="s">
        <v>4511</v>
      </c>
      <c r="B1926" s="0" t="s">
        <v>358</v>
      </c>
      <c r="C1926" s="0" t="n">
        <v>1.95</v>
      </c>
    </row>
    <row r="1927" customFormat="false" ht="15" hidden="false" customHeight="false" outlineLevel="0" collapsed="false">
      <c r="A1927" s="0" t="s">
        <v>4512</v>
      </c>
      <c r="B1927" s="0" t="s">
        <v>4513</v>
      </c>
      <c r="C1927" s="0" t="n">
        <v>2.95</v>
      </c>
    </row>
    <row r="1928" customFormat="false" ht="15" hidden="false" customHeight="false" outlineLevel="0" collapsed="false">
      <c r="A1928" s="0" t="s">
        <v>4514</v>
      </c>
      <c r="B1928" s="0" t="s">
        <v>4515</v>
      </c>
      <c r="C1928" s="0" t="n">
        <v>1.95</v>
      </c>
    </row>
    <row r="1929" customFormat="false" ht="15" hidden="false" customHeight="false" outlineLevel="0" collapsed="false">
      <c r="A1929" s="0" t="s">
        <v>4516</v>
      </c>
      <c r="B1929" s="0" t="s">
        <v>273</v>
      </c>
      <c r="C1929" s="0" t="n">
        <v>1.95</v>
      </c>
    </row>
    <row r="1930" customFormat="false" ht="15" hidden="false" customHeight="false" outlineLevel="0" collapsed="false">
      <c r="A1930" s="0" t="s">
        <v>4517</v>
      </c>
      <c r="B1930" s="0" t="s">
        <v>4518</v>
      </c>
      <c r="C1930" s="0" t="n">
        <v>1.95</v>
      </c>
    </row>
    <row r="1931" customFormat="false" ht="15" hidden="false" customHeight="false" outlineLevel="0" collapsed="false">
      <c r="A1931" s="0" t="s">
        <v>4519</v>
      </c>
      <c r="B1931" s="0" t="s">
        <v>275</v>
      </c>
      <c r="C1931" s="0" t="n">
        <v>1.95</v>
      </c>
    </row>
    <row r="1932" customFormat="false" ht="15" hidden="false" customHeight="false" outlineLevel="0" collapsed="false">
      <c r="A1932" s="0" t="s">
        <v>4520</v>
      </c>
      <c r="B1932" s="0" t="s">
        <v>87</v>
      </c>
      <c r="C1932" s="0" t="n">
        <v>1.95</v>
      </c>
    </row>
    <row r="1933" customFormat="false" ht="15" hidden="false" customHeight="false" outlineLevel="0" collapsed="false">
      <c r="A1933" s="0" t="s">
        <v>4521</v>
      </c>
      <c r="B1933" s="0" t="s">
        <v>4522</v>
      </c>
      <c r="C1933" s="0" t="n">
        <v>1.95</v>
      </c>
    </row>
    <row r="1934" customFormat="false" ht="15" hidden="false" customHeight="false" outlineLevel="0" collapsed="false">
      <c r="A1934" s="0" t="s">
        <v>4523</v>
      </c>
      <c r="B1934" s="0" t="s">
        <v>86</v>
      </c>
      <c r="C1934" s="0" t="n">
        <v>1.95</v>
      </c>
    </row>
    <row r="1935" customFormat="false" ht="15" hidden="false" customHeight="false" outlineLevel="0" collapsed="false">
      <c r="A1935" s="0" t="s">
        <v>4524</v>
      </c>
      <c r="B1935" s="0" t="s">
        <v>240</v>
      </c>
      <c r="C1935" s="0" t="n">
        <v>1.95</v>
      </c>
    </row>
    <row r="1936" customFormat="false" ht="15" hidden="false" customHeight="false" outlineLevel="0" collapsed="false">
      <c r="A1936" s="0" t="s">
        <v>4525</v>
      </c>
      <c r="B1936" s="0" t="s">
        <v>4526</v>
      </c>
      <c r="C1936" s="0" t="n">
        <v>1.95</v>
      </c>
    </row>
    <row r="1937" customFormat="false" ht="15" hidden="false" customHeight="false" outlineLevel="0" collapsed="false">
      <c r="A1937" s="0" t="s">
        <v>4527</v>
      </c>
      <c r="B1937" s="0" t="s">
        <v>103</v>
      </c>
      <c r="C1937" s="0" t="n">
        <v>1.95</v>
      </c>
    </row>
    <row r="1938" customFormat="false" ht="15" hidden="false" customHeight="false" outlineLevel="0" collapsed="false">
      <c r="A1938" s="0" t="s">
        <v>4528</v>
      </c>
      <c r="B1938" s="0" t="s">
        <v>4529</v>
      </c>
      <c r="C1938" s="0" t="n">
        <v>1.95</v>
      </c>
    </row>
    <row r="1939" customFormat="false" ht="15" hidden="false" customHeight="false" outlineLevel="0" collapsed="false">
      <c r="A1939" s="0" t="s">
        <v>4530</v>
      </c>
      <c r="B1939" s="0" t="s">
        <v>4531</v>
      </c>
      <c r="C1939" s="0" t="n">
        <v>1.95</v>
      </c>
    </row>
    <row r="1940" customFormat="false" ht="15" hidden="false" customHeight="false" outlineLevel="0" collapsed="false">
      <c r="A1940" s="0" t="s">
        <v>4532</v>
      </c>
      <c r="B1940" s="0" t="s">
        <v>511</v>
      </c>
      <c r="C1940" s="0" t="n">
        <v>1.95</v>
      </c>
    </row>
    <row r="1941" customFormat="false" ht="15" hidden="false" customHeight="false" outlineLevel="0" collapsed="false">
      <c r="A1941" s="0" t="s">
        <v>4533</v>
      </c>
      <c r="B1941" s="0" t="s">
        <v>231</v>
      </c>
      <c r="C1941" s="0" t="n">
        <v>1.25</v>
      </c>
    </row>
    <row r="1942" customFormat="false" ht="15" hidden="false" customHeight="false" outlineLevel="0" collapsed="false">
      <c r="A1942" s="0" t="s">
        <v>4534</v>
      </c>
      <c r="B1942" s="0" t="s">
        <v>4535</v>
      </c>
      <c r="C1942" s="0" t="n">
        <v>4.65</v>
      </c>
    </row>
    <row r="1943" customFormat="false" ht="15" hidden="false" customHeight="false" outlineLevel="0" collapsed="false">
      <c r="A1943" s="0" t="s">
        <v>4536</v>
      </c>
      <c r="B1943" s="0" t="s">
        <v>4537</v>
      </c>
      <c r="C1943" s="0" t="n">
        <v>1.69</v>
      </c>
    </row>
    <row r="1944" customFormat="false" ht="15" hidden="false" customHeight="false" outlineLevel="0" collapsed="false">
      <c r="A1944" s="0" t="s">
        <v>4538</v>
      </c>
      <c r="B1944" s="0" t="s">
        <v>4539</v>
      </c>
      <c r="C1944" s="0" t="n">
        <v>2.1</v>
      </c>
    </row>
    <row r="1945" customFormat="false" ht="15" hidden="false" customHeight="false" outlineLevel="0" collapsed="false">
      <c r="A1945" s="0" t="s">
        <v>4540</v>
      </c>
      <c r="B1945" s="0" t="s">
        <v>4541</v>
      </c>
      <c r="C1945" s="0" t="n">
        <v>1.45</v>
      </c>
    </row>
    <row r="1946" customFormat="false" ht="15" hidden="false" customHeight="false" outlineLevel="0" collapsed="false">
      <c r="A1946" s="0" t="s">
        <v>4542</v>
      </c>
      <c r="B1946" s="0" t="s">
        <v>4543</v>
      </c>
      <c r="C1946" s="0" t="n">
        <v>1.45</v>
      </c>
    </row>
    <row r="1947" customFormat="false" ht="15" hidden="false" customHeight="false" outlineLevel="0" collapsed="false">
      <c r="A1947" s="0" t="s">
        <v>4544</v>
      </c>
      <c r="B1947" s="0" t="s">
        <v>4545</v>
      </c>
      <c r="C1947" s="0" t="n">
        <v>12.75</v>
      </c>
    </row>
    <row r="1948" customFormat="false" ht="15" hidden="false" customHeight="false" outlineLevel="0" collapsed="false">
      <c r="A1948" s="0" t="s">
        <v>4546</v>
      </c>
      <c r="B1948" s="0" t="s">
        <v>4547</v>
      </c>
      <c r="C1948" s="0" t="n">
        <v>9.95</v>
      </c>
    </row>
    <row r="1949" customFormat="false" ht="15" hidden="false" customHeight="false" outlineLevel="0" collapsed="false">
      <c r="A1949" s="0" t="s">
        <v>4548</v>
      </c>
      <c r="B1949" s="0" t="s">
        <v>4549</v>
      </c>
      <c r="C1949" s="0" t="n">
        <v>0.65</v>
      </c>
    </row>
    <row r="1950" customFormat="false" ht="15" hidden="false" customHeight="false" outlineLevel="0" collapsed="false">
      <c r="A1950" s="0" t="s">
        <v>4550</v>
      </c>
      <c r="B1950" s="0" t="s">
        <v>4551</v>
      </c>
      <c r="C1950" s="0" t="n">
        <v>0.65</v>
      </c>
    </row>
    <row r="1951" customFormat="false" ht="15" hidden="false" customHeight="false" outlineLevel="0" collapsed="false">
      <c r="A1951" s="0" t="s">
        <v>4552</v>
      </c>
      <c r="B1951" s="0" t="s">
        <v>4553</v>
      </c>
      <c r="C1951" s="0" t="n">
        <v>0.65</v>
      </c>
    </row>
    <row r="1952" customFormat="false" ht="15" hidden="false" customHeight="false" outlineLevel="0" collapsed="false">
      <c r="A1952" s="0" t="s">
        <v>4554</v>
      </c>
      <c r="B1952" s="0" t="s">
        <v>4555</v>
      </c>
      <c r="C1952" s="0" t="n">
        <v>0.65</v>
      </c>
    </row>
    <row r="1953" customFormat="false" ht="15" hidden="false" customHeight="false" outlineLevel="0" collapsed="false">
      <c r="A1953" s="0" t="s">
        <v>4556</v>
      </c>
      <c r="B1953" s="0" t="s">
        <v>4557</v>
      </c>
      <c r="C1953" s="0" t="n">
        <v>12.72</v>
      </c>
    </row>
    <row r="1954" customFormat="false" ht="15" hidden="false" customHeight="false" outlineLevel="0" collapsed="false">
      <c r="A1954" s="0" t="s">
        <v>4558</v>
      </c>
      <c r="B1954" s="0" t="s">
        <v>4559</v>
      </c>
      <c r="C1954" s="0" t="n">
        <v>2.95</v>
      </c>
    </row>
    <row r="1955" customFormat="false" ht="15" hidden="false" customHeight="false" outlineLevel="0" collapsed="false">
      <c r="A1955" s="0" t="s">
        <v>4560</v>
      </c>
      <c r="B1955" s="0" t="s">
        <v>4561</v>
      </c>
      <c r="C1955" s="0" t="n">
        <v>0.85</v>
      </c>
    </row>
    <row r="1956" customFormat="false" ht="15" hidden="false" customHeight="false" outlineLevel="0" collapsed="false">
      <c r="A1956" s="0" t="s">
        <v>4562</v>
      </c>
      <c r="B1956" s="0" t="s">
        <v>4563</v>
      </c>
      <c r="C1956" s="0" t="n">
        <v>0.85</v>
      </c>
    </row>
    <row r="1957" customFormat="false" ht="15" hidden="false" customHeight="false" outlineLevel="0" collapsed="false">
      <c r="A1957" s="0" t="s">
        <v>4564</v>
      </c>
      <c r="B1957" s="0" t="s">
        <v>281</v>
      </c>
      <c r="C1957" s="0" t="n">
        <v>4.25</v>
      </c>
    </row>
    <row r="1958" customFormat="false" ht="15" hidden="false" customHeight="false" outlineLevel="0" collapsed="false">
      <c r="A1958" s="0" t="s">
        <v>4565</v>
      </c>
      <c r="B1958" s="0" t="s">
        <v>4566</v>
      </c>
      <c r="C1958" s="0" t="n">
        <v>1.25</v>
      </c>
    </row>
    <row r="1959" customFormat="false" ht="15" hidden="false" customHeight="false" outlineLevel="0" collapsed="false">
      <c r="A1959" s="0" t="s">
        <v>4567</v>
      </c>
      <c r="B1959" s="0" t="s">
        <v>4568</v>
      </c>
      <c r="C1959" s="0" t="n">
        <v>2.55</v>
      </c>
    </row>
    <row r="1960" customFormat="false" ht="15" hidden="false" customHeight="false" outlineLevel="0" collapsed="false">
      <c r="A1960" s="0" t="s">
        <v>4569</v>
      </c>
      <c r="B1960" s="0" t="s">
        <v>4570</v>
      </c>
      <c r="C1960" s="0" t="n">
        <v>1.25</v>
      </c>
    </row>
    <row r="1961" customFormat="false" ht="15" hidden="false" customHeight="false" outlineLevel="0" collapsed="false">
      <c r="A1961" s="0" t="s">
        <v>4571</v>
      </c>
      <c r="B1961" s="0" t="s">
        <v>4572</v>
      </c>
      <c r="C1961" s="0" t="n">
        <v>1.65</v>
      </c>
    </row>
    <row r="1962" customFormat="false" ht="15" hidden="false" customHeight="false" outlineLevel="0" collapsed="false">
      <c r="A1962" s="0" t="s">
        <v>4573</v>
      </c>
      <c r="B1962" s="0" t="s">
        <v>4574</v>
      </c>
      <c r="C1962" s="0" t="n">
        <v>2.95</v>
      </c>
    </row>
    <row r="1963" customFormat="false" ht="15" hidden="false" customHeight="false" outlineLevel="0" collapsed="false">
      <c r="A1963" s="0" t="s">
        <v>4575</v>
      </c>
      <c r="B1963" s="0" t="s">
        <v>4576</v>
      </c>
      <c r="C1963" s="0" t="n">
        <v>2.55</v>
      </c>
    </row>
    <row r="1964" customFormat="false" ht="15" hidden="false" customHeight="false" outlineLevel="0" collapsed="false">
      <c r="A1964" s="0" t="s">
        <v>4577</v>
      </c>
      <c r="B1964" s="0" t="s">
        <v>4578</v>
      </c>
      <c r="C1964" s="0" t="n">
        <v>5.95</v>
      </c>
    </row>
    <row r="1965" customFormat="false" ht="15" hidden="false" customHeight="false" outlineLevel="0" collapsed="false">
      <c r="A1965" s="0" t="s">
        <v>4579</v>
      </c>
      <c r="B1965" s="0" t="s">
        <v>4580</v>
      </c>
      <c r="C1965" s="0" t="n">
        <v>5.95</v>
      </c>
    </row>
    <row r="1966" customFormat="false" ht="15" hidden="false" customHeight="false" outlineLevel="0" collapsed="false">
      <c r="A1966" s="0" t="s">
        <v>4581</v>
      </c>
      <c r="B1966" s="0" t="s">
        <v>4582</v>
      </c>
      <c r="C1966" s="0" t="n">
        <v>0.55</v>
      </c>
    </row>
    <row r="1967" customFormat="false" ht="15" hidden="false" customHeight="false" outlineLevel="0" collapsed="false">
      <c r="A1967" s="0" t="s">
        <v>4583</v>
      </c>
      <c r="B1967" s="0" t="s">
        <v>4584</v>
      </c>
      <c r="C1967" s="0" t="n">
        <v>0.85</v>
      </c>
    </row>
    <row r="1968" customFormat="false" ht="15" hidden="false" customHeight="false" outlineLevel="0" collapsed="false">
      <c r="A1968" s="0" t="s">
        <v>4585</v>
      </c>
      <c r="B1968" s="0" t="s">
        <v>4586</v>
      </c>
      <c r="C1968" s="0" t="n">
        <v>0.21</v>
      </c>
    </row>
    <row r="1969" customFormat="false" ht="15" hidden="false" customHeight="false" outlineLevel="0" collapsed="false">
      <c r="A1969" s="0" t="s">
        <v>4587</v>
      </c>
      <c r="B1969" s="0" t="s">
        <v>4588</v>
      </c>
      <c r="C1969" s="0" t="n">
        <v>3.75</v>
      </c>
    </row>
    <row r="1970" customFormat="false" ht="15" hidden="false" customHeight="false" outlineLevel="0" collapsed="false">
      <c r="A1970" s="0" t="s">
        <v>4589</v>
      </c>
      <c r="B1970" s="0" t="s">
        <v>4590</v>
      </c>
      <c r="C1970" s="0" t="n">
        <v>1.65</v>
      </c>
    </row>
    <row r="1971" customFormat="false" ht="15" hidden="false" customHeight="false" outlineLevel="0" collapsed="false">
      <c r="A1971" s="0" t="s">
        <v>4591</v>
      </c>
      <c r="B1971" s="0" t="s">
        <v>4592</v>
      </c>
      <c r="C1971" s="0" t="n">
        <v>7.78</v>
      </c>
    </row>
    <row r="1972" customFormat="false" ht="15" hidden="false" customHeight="false" outlineLevel="0" collapsed="false">
      <c r="A1972" s="0" t="s">
        <v>4593</v>
      </c>
      <c r="B1972" s="0" t="s">
        <v>4594</v>
      </c>
      <c r="C1972" s="0" t="n">
        <v>3.75</v>
      </c>
    </row>
    <row r="1973" customFormat="false" ht="15" hidden="false" customHeight="false" outlineLevel="0" collapsed="false">
      <c r="A1973" s="0" t="s">
        <v>4595</v>
      </c>
      <c r="B1973" s="0" t="s">
        <v>4596</v>
      </c>
      <c r="C1973" s="0" t="n">
        <v>3.75</v>
      </c>
    </row>
    <row r="1974" customFormat="false" ht="15" hidden="false" customHeight="false" outlineLevel="0" collapsed="false">
      <c r="A1974" s="0" t="s">
        <v>4597</v>
      </c>
      <c r="B1974" s="0" t="s">
        <v>4598</v>
      </c>
      <c r="C1974" s="0" t="n">
        <v>1.25</v>
      </c>
    </row>
    <row r="1975" customFormat="false" ht="15" hidden="false" customHeight="false" outlineLevel="0" collapsed="false">
      <c r="A1975" s="0" t="s">
        <v>4599</v>
      </c>
      <c r="B1975" s="0" t="s">
        <v>4600</v>
      </c>
      <c r="C1975" s="0" t="n">
        <v>2.1</v>
      </c>
    </row>
    <row r="1976" customFormat="false" ht="15" hidden="false" customHeight="false" outlineLevel="0" collapsed="false">
      <c r="A1976" s="0" t="s">
        <v>4601</v>
      </c>
      <c r="B1976" s="0" t="s">
        <v>4602</v>
      </c>
      <c r="C1976" s="0" t="n">
        <v>2.55</v>
      </c>
    </row>
    <row r="1977" customFormat="false" ht="15" hidden="false" customHeight="false" outlineLevel="0" collapsed="false">
      <c r="A1977" s="0" t="s">
        <v>4603</v>
      </c>
      <c r="B1977" s="0" t="s">
        <v>4604</v>
      </c>
      <c r="C1977" s="0" t="n">
        <v>1.65</v>
      </c>
    </row>
    <row r="1978" customFormat="false" ht="15" hidden="false" customHeight="false" outlineLevel="0" collapsed="false">
      <c r="A1978" s="0" t="s">
        <v>4605</v>
      </c>
      <c r="B1978" s="0" t="s">
        <v>4606</v>
      </c>
      <c r="C1978" s="0" t="n">
        <v>2.55</v>
      </c>
    </row>
    <row r="1979" customFormat="false" ht="15" hidden="false" customHeight="false" outlineLevel="0" collapsed="false">
      <c r="A1979" s="0" t="s">
        <v>4607</v>
      </c>
      <c r="B1979" s="0" t="s">
        <v>4608</v>
      </c>
      <c r="C1979" s="0" t="n">
        <v>0.85</v>
      </c>
    </row>
    <row r="1980" customFormat="false" ht="15" hidden="false" customHeight="false" outlineLevel="0" collapsed="false">
      <c r="A1980" s="0" t="s">
        <v>4609</v>
      </c>
      <c r="B1980" s="0" t="s">
        <v>4610</v>
      </c>
      <c r="C1980" s="0" t="n">
        <v>0.42</v>
      </c>
    </row>
    <row r="1981" customFormat="false" ht="15" hidden="false" customHeight="false" outlineLevel="0" collapsed="false">
      <c r="A1981" s="0" t="s">
        <v>4611</v>
      </c>
      <c r="B1981" s="0" t="s">
        <v>4612</v>
      </c>
      <c r="C1981" s="0" t="n">
        <v>1.25</v>
      </c>
    </row>
    <row r="1982" customFormat="false" ht="15" hidden="false" customHeight="false" outlineLevel="0" collapsed="false">
      <c r="A1982" s="0" t="s">
        <v>4613</v>
      </c>
      <c r="B1982" s="0" t="s">
        <v>4614</v>
      </c>
      <c r="C1982" s="0" t="n">
        <v>3.75</v>
      </c>
    </row>
    <row r="1983" customFormat="false" ht="15" hidden="false" customHeight="false" outlineLevel="0" collapsed="false">
      <c r="A1983" s="0" t="s">
        <v>4615</v>
      </c>
      <c r="B1983" s="0" t="s">
        <v>813</v>
      </c>
      <c r="C1983" s="0" t="n">
        <v>4.95</v>
      </c>
    </row>
    <row r="1984" customFormat="false" ht="15" hidden="false" customHeight="false" outlineLevel="0" collapsed="false">
      <c r="A1984" s="0" t="s">
        <v>4616</v>
      </c>
      <c r="B1984" s="0" t="s">
        <v>4617</v>
      </c>
      <c r="C1984" s="0" t="n">
        <v>2.1</v>
      </c>
    </row>
    <row r="1985" customFormat="false" ht="15" hidden="false" customHeight="false" outlineLevel="0" collapsed="false">
      <c r="A1985" s="0" t="s">
        <v>4618</v>
      </c>
      <c r="B1985" s="0" t="s">
        <v>4619</v>
      </c>
      <c r="C1985" s="0" t="n">
        <v>2.1</v>
      </c>
    </row>
    <row r="1986" customFormat="false" ht="15" hidden="false" customHeight="false" outlineLevel="0" collapsed="false">
      <c r="A1986" s="0" t="s">
        <v>4620</v>
      </c>
      <c r="B1986" s="0" t="s">
        <v>4621</v>
      </c>
      <c r="C1986" s="0" t="n">
        <v>9.95</v>
      </c>
    </row>
    <row r="1987" customFormat="false" ht="15" hidden="false" customHeight="false" outlineLevel="0" collapsed="false">
      <c r="A1987" s="0" t="s">
        <v>4622</v>
      </c>
      <c r="B1987" s="0" t="s">
        <v>4623</v>
      </c>
      <c r="C1987" s="0" t="n">
        <v>9.95</v>
      </c>
    </row>
    <row r="1988" customFormat="false" ht="15" hidden="false" customHeight="false" outlineLevel="0" collapsed="false">
      <c r="A1988" s="0" t="s">
        <v>4624</v>
      </c>
      <c r="B1988" s="0" t="s">
        <v>4625</v>
      </c>
      <c r="C1988" s="0" t="n">
        <v>6.75</v>
      </c>
    </row>
    <row r="1989" customFormat="false" ht="15" hidden="false" customHeight="false" outlineLevel="0" collapsed="false">
      <c r="A1989" s="0" t="s">
        <v>4626</v>
      </c>
      <c r="B1989" s="0" t="s">
        <v>582</v>
      </c>
      <c r="C1989" s="0" t="n">
        <v>6.75</v>
      </c>
    </row>
    <row r="1990" customFormat="false" ht="15" hidden="false" customHeight="false" outlineLevel="0" collapsed="false">
      <c r="A1990" s="0" t="s">
        <v>4627</v>
      </c>
      <c r="B1990" s="0" t="s">
        <v>4628</v>
      </c>
      <c r="C1990" s="0" t="n">
        <v>5.45</v>
      </c>
    </row>
    <row r="1991" customFormat="false" ht="15" hidden="false" customHeight="false" outlineLevel="0" collapsed="false">
      <c r="A1991" s="0" t="s">
        <v>4629</v>
      </c>
      <c r="B1991" s="0" t="s">
        <v>860</v>
      </c>
      <c r="C1991" s="0" t="n">
        <v>0.85</v>
      </c>
    </row>
    <row r="1992" customFormat="false" ht="15" hidden="false" customHeight="false" outlineLevel="0" collapsed="false">
      <c r="A1992" s="0" t="s">
        <v>4630</v>
      </c>
      <c r="B1992" s="0" t="s">
        <v>4631</v>
      </c>
      <c r="C1992" s="0" t="n">
        <v>6.75</v>
      </c>
    </row>
    <row r="1993" customFormat="false" ht="15" hidden="false" customHeight="false" outlineLevel="0" collapsed="false">
      <c r="A1993" s="0" t="s">
        <v>4632</v>
      </c>
      <c r="B1993" s="0" t="s">
        <v>4633</v>
      </c>
      <c r="C1993" s="0" t="n">
        <v>1.25</v>
      </c>
    </row>
    <row r="1994" customFormat="false" ht="15" hidden="false" customHeight="false" outlineLevel="0" collapsed="false">
      <c r="A1994" s="0" t="s">
        <v>4634</v>
      </c>
      <c r="B1994" s="0" t="s">
        <v>4635</v>
      </c>
      <c r="C1994" s="0" t="n">
        <v>1.69</v>
      </c>
    </row>
    <row r="1995" customFormat="false" ht="15" hidden="false" customHeight="false" outlineLevel="0" collapsed="false">
      <c r="A1995" s="0" t="s">
        <v>4636</v>
      </c>
      <c r="B1995" s="0" t="s">
        <v>4637</v>
      </c>
      <c r="C1995" s="0" t="n">
        <v>16.95</v>
      </c>
    </row>
    <row r="1996" customFormat="false" ht="15" hidden="false" customHeight="false" outlineLevel="0" collapsed="false">
      <c r="A1996" s="0" t="s">
        <v>4638</v>
      </c>
      <c r="B1996" s="0" t="s">
        <v>4639</v>
      </c>
      <c r="C1996" s="0" t="n">
        <v>7.78</v>
      </c>
    </row>
    <row r="1997" customFormat="false" ht="15" hidden="false" customHeight="false" outlineLevel="0" collapsed="false">
      <c r="A1997" s="0" t="s">
        <v>4640</v>
      </c>
      <c r="B1997" s="0" t="s">
        <v>4641</v>
      </c>
      <c r="C1997" s="0" t="n">
        <v>0.3</v>
      </c>
    </row>
    <row r="1998" customFormat="false" ht="15" hidden="false" customHeight="false" outlineLevel="0" collapsed="false">
      <c r="A1998" s="0" t="s">
        <v>4642</v>
      </c>
      <c r="B1998" s="0" t="s">
        <v>4643</v>
      </c>
      <c r="C1998" s="0" t="n">
        <v>5.06</v>
      </c>
    </row>
    <row r="1999" customFormat="false" ht="15" hidden="false" customHeight="false" outlineLevel="0" collapsed="false">
      <c r="A1999" s="0" t="s">
        <v>4644</v>
      </c>
      <c r="B1999" s="0" t="s">
        <v>4645</v>
      </c>
      <c r="C1999" s="0" t="n">
        <v>2.1</v>
      </c>
    </row>
    <row r="2000" customFormat="false" ht="15" hidden="false" customHeight="false" outlineLevel="0" collapsed="false">
      <c r="A2000" s="0" t="s">
        <v>4646</v>
      </c>
      <c r="B2000" s="0" t="s">
        <v>4647</v>
      </c>
      <c r="C2000" s="0" t="n">
        <v>1.6</v>
      </c>
    </row>
    <row r="2001" customFormat="false" ht="15" hidden="false" customHeight="false" outlineLevel="0" collapsed="false">
      <c r="A2001" s="0" t="s">
        <v>4648</v>
      </c>
      <c r="B2001" s="0" t="s">
        <v>4649</v>
      </c>
      <c r="C2001" s="0" t="n">
        <v>0.65</v>
      </c>
    </row>
    <row r="2002" customFormat="false" ht="15" hidden="false" customHeight="false" outlineLevel="0" collapsed="false">
      <c r="A2002" s="0" t="s">
        <v>4650</v>
      </c>
      <c r="B2002" s="0" t="s">
        <v>4651</v>
      </c>
      <c r="C2002" s="0" t="n">
        <v>1.25</v>
      </c>
    </row>
    <row r="2003" customFormat="false" ht="15" hidden="false" customHeight="false" outlineLevel="0" collapsed="false">
      <c r="A2003" s="0" t="s">
        <v>4652</v>
      </c>
      <c r="B2003" s="0" t="s">
        <v>4653</v>
      </c>
      <c r="C2003" s="0" t="n">
        <v>1.65</v>
      </c>
    </row>
    <row r="2004" customFormat="false" ht="15" hidden="false" customHeight="false" outlineLevel="0" collapsed="false">
      <c r="A2004" s="0" t="s">
        <v>4654</v>
      </c>
      <c r="B2004" s="0" t="s">
        <v>4655</v>
      </c>
      <c r="C2004" s="0" t="n">
        <v>4.95</v>
      </c>
    </row>
    <row r="2005" customFormat="false" ht="15" hidden="false" customHeight="false" outlineLevel="0" collapsed="false">
      <c r="A2005" s="0" t="s">
        <v>4656</v>
      </c>
      <c r="B2005" s="0" t="s">
        <v>4657</v>
      </c>
      <c r="C2005" s="0" t="n">
        <v>1.69</v>
      </c>
    </row>
    <row r="2006" customFormat="false" ht="15" hidden="false" customHeight="false" outlineLevel="0" collapsed="false">
      <c r="A2006" s="0" t="s">
        <v>4658</v>
      </c>
      <c r="B2006" s="0" t="s">
        <v>4659</v>
      </c>
      <c r="C2006" s="0" t="n">
        <v>2.55</v>
      </c>
    </row>
    <row r="2007" customFormat="false" ht="15" hidden="false" customHeight="false" outlineLevel="0" collapsed="false">
      <c r="A2007" s="0" t="s">
        <v>4660</v>
      </c>
      <c r="B2007" s="0" t="s">
        <v>4661</v>
      </c>
      <c r="C2007" s="0" t="n">
        <v>2.1</v>
      </c>
    </row>
    <row r="2008" customFormat="false" ht="15" hidden="false" customHeight="false" outlineLevel="0" collapsed="false">
      <c r="A2008" s="0" t="s">
        <v>4662</v>
      </c>
      <c r="B2008" s="0" t="s">
        <v>4663</v>
      </c>
      <c r="C2008" s="0" t="n">
        <v>1.65</v>
      </c>
    </row>
    <row r="2009" customFormat="false" ht="15" hidden="false" customHeight="false" outlineLevel="0" collapsed="false">
      <c r="A2009" s="0" t="s">
        <v>4664</v>
      </c>
      <c r="B2009" s="0" t="s">
        <v>554</v>
      </c>
      <c r="C2009" s="0" t="n">
        <v>1.25</v>
      </c>
    </row>
    <row r="2010" customFormat="false" ht="15" hidden="false" customHeight="false" outlineLevel="0" collapsed="false">
      <c r="A2010" s="0" t="s">
        <v>4665</v>
      </c>
      <c r="B2010" s="0" t="s">
        <v>553</v>
      </c>
      <c r="C2010" s="0" t="n">
        <v>1.25</v>
      </c>
    </row>
    <row r="2011" customFormat="false" ht="15" hidden="false" customHeight="false" outlineLevel="0" collapsed="false">
      <c r="A2011" s="0" t="s">
        <v>4666</v>
      </c>
      <c r="B2011" s="0" t="s">
        <v>4667</v>
      </c>
      <c r="C2011" s="0" t="n">
        <v>2.1</v>
      </c>
    </row>
    <row r="2012" customFormat="false" ht="15" hidden="false" customHeight="false" outlineLevel="0" collapsed="false">
      <c r="A2012" s="0" t="s">
        <v>4668</v>
      </c>
      <c r="B2012" s="0" t="s">
        <v>4669</v>
      </c>
      <c r="C2012" s="0" t="n">
        <v>6.75</v>
      </c>
    </row>
    <row r="2013" customFormat="false" ht="15" hidden="false" customHeight="false" outlineLevel="0" collapsed="false">
      <c r="A2013" s="0" t="s">
        <v>4670</v>
      </c>
      <c r="B2013" s="0" t="s">
        <v>673</v>
      </c>
      <c r="C2013" s="0" t="n">
        <v>5.95</v>
      </c>
    </row>
    <row r="2014" customFormat="false" ht="15" hidden="false" customHeight="false" outlineLevel="0" collapsed="false">
      <c r="A2014" s="0" t="s">
        <v>4671</v>
      </c>
      <c r="B2014" s="0" t="s">
        <v>4672</v>
      </c>
      <c r="C2014" s="0" t="n">
        <v>2.1</v>
      </c>
    </row>
    <row r="2015" customFormat="false" ht="15" hidden="false" customHeight="false" outlineLevel="0" collapsed="false">
      <c r="A2015" s="0" t="s">
        <v>4673</v>
      </c>
      <c r="B2015" s="0" t="s">
        <v>4674</v>
      </c>
      <c r="C2015" s="0" t="n">
        <v>1.25</v>
      </c>
    </row>
    <row r="2016" customFormat="false" ht="15" hidden="false" customHeight="false" outlineLevel="0" collapsed="false">
      <c r="A2016" s="0" t="s">
        <v>4675</v>
      </c>
      <c r="B2016" s="0" t="s">
        <v>4676</v>
      </c>
      <c r="C2016" s="0" t="n">
        <v>5.17</v>
      </c>
    </row>
    <row r="2017" customFormat="false" ht="15" hidden="false" customHeight="false" outlineLevel="0" collapsed="false">
      <c r="A2017" s="0" t="s">
        <v>4677</v>
      </c>
      <c r="B2017" s="0" t="s">
        <v>4678</v>
      </c>
      <c r="C2017" s="0" t="n">
        <v>1.25</v>
      </c>
    </row>
    <row r="2018" customFormat="false" ht="15" hidden="false" customHeight="false" outlineLevel="0" collapsed="false">
      <c r="A2018" s="0" t="s">
        <v>4679</v>
      </c>
      <c r="B2018" s="0" t="s">
        <v>4680</v>
      </c>
      <c r="C2018" s="0" t="n">
        <v>5.95</v>
      </c>
    </row>
    <row r="2019" customFormat="false" ht="15" hidden="false" customHeight="false" outlineLevel="0" collapsed="false">
      <c r="A2019" s="0" t="s">
        <v>4681</v>
      </c>
      <c r="B2019" s="0" t="s">
        <v>4682</v>
      </c>
      <c r="C2019" s="0" t="n">
        <v>5.45</v>
      </c>
    </row>
    <row r="2020" customFormat="false" ht="15" hidden="false" customHeight="false" outlineLevel="0" collapsed="false">
      <c r="A2020" s="0" t="s">
        <v>4683</v>
      </c>
      <c r="B2020" s="0" t="s">
        <v>4684</v>
      </c>
      <c r="C2020" s="0" t="n">
        <v>3.75</v>
      </c>
    </row>
    <row r="2021" customFormat="false" ht="15" hidden="false" customHeight="false" outlineLevel="0" collapsed="false">
      <c r="A2021" s="0" t="s">
        <v>4685</v>
      </c>
      <c r="B2021" s="0" t="s">
        <v>4686</v>
      </c>
      <c r="C2021" s="0" t="n">
        <v>3.75</v>
      </c>
    </row>
    <row r="2022" customFormat="false" ht="15" hidden="false" customHeight="false" outlineLevel="0" collapsed="false">
      <c r="A2022" s="0" t="s">
        <v>4687</v>
      </c>
      <c r="B2022" s="0" t="s">
        <v>4688</v>
      </c>
      <c r="C2022" s="0" t="n">
        <v>5.06</v>
      </c>
    </row>
    <row r="2023" customFormat="false" ht="15" hidden="false" customHeight="false" outlineLevel="0" collapsed="false">
      <c r="A2023" s="0" t="s">
        <v>4689</v>
      </c>
      <c r="B2023" s="0" t="s">
        <v>4690</v>
      </c>
      <c r="C2023" s="0" t="n">
        <v>2.1</v>
      </c>
    </row>
    <row r="2024" customFormat="false" ht="15" hidden="false" customHeight="false" outlineLevel="0" collapsed="false">
      <c r="A2024" s="0" t="s">
        <v>4691</v>
      </c>
      <c r="B2024" s="0" t="s">
        <v>4692</v>
      </c>
      <c r="C2024" s="0" t="n">
        <v>2.12</v>
      </c>
    </row>
    <row r="2025" customFormat="false" ht="15" hidden="false" customHeight="false" outlineLevel="0" collapsed="false">
      <c r="A2025" s="0" t="s">
        <v>4693</v>
      </c>
      <c r="B2025" s="0" t="s">
        <v>556</v>
      </c>
      <c r="C2025" s="0" t="n">
        <v>1.25</v>
      </c>
    </row>
    <row r="2026" customFormat="false" ht="15" hidden="false" customHeight="false" outlineLevel="0" collapsed="false">
      <c r="A2026" s="0" t="s">
        <v>4694</v>
      </c>
      <c r="B2026" s="0" t="s">
        <v>4695</v>
      </c>
      <c r="C2026" s="0" t="n">
        <v>2.1</v>
      </c>
    </row>
    <row r="2027" customFormat="false" ht="15" hidden="false" customHeight="false" outlineLevel="0" collapsed="false">
      <c r="A2027" s="0" t="s">
        <v>4696</v>
      </c>
      <c r="B2027" s="0" t="s">
        <v>4697</v>
      </c>
      <c r="C2027" s="0" t="n">
        <v>11.95</v>
      </c>
    </row>
    <row r="2028" customFormat="false" ht="15" hidden="false" customHeight="false" outlineLevel="0" collapsed="false">
      <c r="A2028" s="0" t="s">
        <v>4698</v>
      </c>
      <c r="B2028" s="0" t="s">
        <v>4699</v>
      </c>
      <c r="C2028" s="0" t="n">
        <v>1.25</v>
      </c>
    </row>
    <row r="2029" customFormat="false" ht="15" hidden="false" customHeight="false" outlineLevel="0" collapsed="false">
      <c r="A2029" s="0" t="s">
        <v>4700</v>
      </c>
      <c r="B2029" s="0" t="s">
        <v>4701</v>
      </c>
      <c r="C2029" s="0" t="n">
        <v>1.25</v>
      </c>
    </row>
    <row r="2030" customFormat="false" ht="15" hidden="false" customHeight="false" outlineLevel="0" collapsed="false">
      <c r="A2030" s="0" t="s">
        <v>4702</v>
      </c>
      <c r="B2030" s="0" t="s">
        <v>4703</v>
      </c>
      <c r="C2030" s="0" t="n">
        <v>1.25</v>
      </c>
    </row>
    <row r="2031" customFormat="false" ht="15" hidden="false" customHeight="false" outlineLevel="0" collapsed="false">
      <c r="A2031" s="0" t="s">
        <v>4704</v>
      </c>
      <c r="B2031" s="0" t="s">
        <v>4705</v>
      </c>
      <c r="C2031" s="0" t="n">
        <v>0.29</v>
      </c>
    </row>
    <row r="2032" customFormat="false" ht="15" hidden="false" customHeight="false" outlineLevel="0" collapsed="false">
      <c r="A2032" s="0" t="s">
        <v>4706</v>
      </c>
      <c r="B2032" s="0" t="s">
        <v>320</v>
      </c>
      <c r="C2032" s="0" t="n">
        <v>1.25</v>
      </c>
    </row>
    <row r="2033" customFormat="false" ht="15" hidden="false" customHeight="false" outlineLevel="0" collapsed="false">
      <c r="A2033" s="0" t="s">
        <v>4707</v>
      </c>
      <c r="B2033" s="0" t="s">
        <v>4708</v>
      </c>
      <c r="C2033" s="0" t="n">
        <v>0.85</v>
      </c>
    </row>
    <row r="2034" customFormat="false" ht="15" hidden="false" customHeight="false" outlineLevel="0" collapsed="false">
      <c r="A2034" s="0" t="s">
        <v>4709</v>
      </c>
      <c r="B2034" s="0" t="s">
        <v>4710</v>
      </c>
      <c r="C2034" s="0" t="n">
        <v>8.95</v>
      </c>
    </row>
    <row r="2035" customFormat="false" ht="15" hidden="false" customHeight="false" outlineLevel="0" collapsed="false">
      <c r="A2035" s="0" t="s">
        <v>4711</v>
      </c>
      <c r="B2035" s="0" t="s">
        <v>4712</v>
      </c>
      <c r="C2035" s="0" t="n">
        <v>3.75</v>
      </c>
    </row>
    <row r="2036" customFormat="false" ht="15" hidden="false" customHeight="false" outlineLevel="0" collapsed="false">
      <c r="A2036" s="0" t="s">
        <v>4713</v>
      </c>
      <c r="B2036" s="0" t="s">
        <v>462</v>
      </c>
      <c r="C2036" s="0" t="n">
        <v>2.25</v>
      </c>
    </row>
    <row r="2037" customFormat="false" ht="15" hidden="false" customHeight="false" outlineLevel="0" collapsed="false">
      <c r="A2037" s="0" t="s">
        <v>4714</v>
      </c>
      <c r="B2037" s="0" t="s">
        <v>4715</v>
      </c>
      <c r="C2037" s="0" t="n">
        <v>1.25</v>
      </c>
    </row>
    <row r="2038" customFormat="false" ht="15" hidden="false" customHeight="false" outlineLevel="0" collapsed="false">
      <c r="A2038" s="0" t="s">
        <v>4716</v>
      </c>
      <c r="B2038" s="0" t="s">
        <v>4717</v>
      </c>
      <c r="C2038" s="0" t="n">
        <v>1.25</v>
      </c>
    </row>
    <row r="2039" customFormat="false" ht="15" hidden="false" customHeight="false" outlineLevel="0" collapsed="false">
      <c r="A2039" s="0" t="s">
        <v>4718</v>
      </c>
      <c r="B2039" s="0" t="s">
        <v>4719</v>
      </c>
      <c r="C2039" s="0" t="n">
        <v>1.25</v>
      </c>
    </row>
    <row r="2040" customFormat="false" ht="15" hidden="false" customHeight="false" outlineLevel="0" collapsed="false">
      <c r="A2040" s="0" t="s">
        <v>4720</v>
      </c>
      <c r="B2040" s="0" t="s">
        <v>4721</v>
      </c>
      <c r="C2040" s="0" t="n">
        <v>1.25</v>
      </c>
    </row>
    <row r="2041" customFormat="false" ht="15" hidden="false" customHeight="false" outlineLevel="0" collapsed="false">
      <c r="A2041" s="0" t="s">
        <v>4722</v>
      </c>
      <c r="B2041" s="0" t="s">
        <v>4723</v>
      </c>
      <c r="C2041" s="0" t="n">
        <v>1.25</v>
      </c>
    </row>
    <row r="2042" customFormat="false" ht="15" hidden="false" customHeight="false" outlineLevel="0" collapsed="false">
      <c r="A2042" s="0" t="s">
        <v>4724</v>
      </c>
      <c r="B2042" s="0" t="s">
        <v>4725</v>
      </c>
      <c r="C2042" s="0" t="n">
        <v>1.25</v>
      </c>
    </row>
    <row r="2043" customFormat="false" ht="15" hidden="false" customHeight="false" outlineLevel="0" collapsed="false">
      <c r="A2043" s="0" t="s">
        <v>4726</v>
      </c>
      <c r="B2043" s="0" t="s">
        <v>4727</v>
      </c>
      <c r="C2043" s="0" t="n">
        <v>1.25</v>
      </c>
    </row>
    <row r="2044" customFormat="false" ht="15" hidden="false" customHeight="false" outlineLevel="0" collapsed="false">
      <c r="A2044" s="0" t="s">
        <v>4728</v>
      </c>
      <c r="B2044" s="0" t="s">
        <v>4729</v>
      </c>
      <c r="C2044" s="0" t="n">
        <v>1.25</v>
      </c>
    </row>
    <row r="2045" customFormat="false" ht="15" hidden="false" customHeight="false" outlineLevel="0" collapsed="false">
      <c r="A2045" s="0" t="s">
        <v>4730</v>
      </c>
      <c r="B2045" s="0" t="s">
        <v>4731</v>
      </c>
      <c r="C2045" s="0" t="n">
        <v>1.25</v>
      </c>
    </row>
    <row r="2046" customFormat="false" ht="15" hidden="false" customHeight="false" outlineLevel="0" collapsed="false">
      <c r="A2046" s="0" t="s">
        <v>4732</v>
      </c>
      <c r="B2046" s="0" t="s">
        <v>4733</v>
      </c>
      <c r="C2046" s="0" t="n">
        <v>1.25</v>
      </c>
    </row>
    <row r="2047" customFormat="false" ht="15" hidden="false" customHeight="false" outlineLevel="0" collapsed="false">
      <c r="A2047" s="0" t="s">
        <v>4734</v>
      </c>
      <c r="B2047" s="0" t="s">
        <v>4735</v>
      </c>
      <c r="C2047" s="0" t="n">
        <v>1.25</v>
      </c>
    </row>
    <row r="2048" customFormat="false" ht="15" hidden="false" customHeight="false" outlineLevel="0" collapsed="false">
      <c r="A2048" s="0" t="s">
        <v>4736</v>
      </c>
      <c r="B2048" s="0" t="s">
        <v>4737</v>
      </c>
      <c r="C2048" s="0" t="n">
        <v>1.25</v>
      </c>
    </row>
    <row r="2049" customFormat="false" ht="15" hidden="false" customHeight="false" outlineLevel="0" collapsed="false">
      <c r="A2049" s="0" t="s">
        <v>4738</v>
      </c>
      <c r="B2049" s="0" t="s">
        <v>4739</v>
      </c>
      <c r="C2049" s="0" t="n">
        <v>1.25</v>
      </c>
    </row>
    <row r="2050" customFormat="false" ht="15" hidden="false" customHeight="false" outlineLevel="0" collapsed="false">
      <c r="A2050" s="0" t="s">
        <v>4740</v>
      </c>
      <c r="B2050" s="0" t="s">
        <v>4741</v>
      </c>
      <c r="C2050" s="0" t="n">
        <v>1.25</v>
      </c>
    </row>
    <row r="2051" customFormat="false" ht="15" hidden="false" customHeight="false" outlineLevel="0" collapsed="false">
      <c r="A2051" s="0" t="s">
        <v>4742</v>
      </c>
      <c r="B2051" s="0" t="s">
        <v>4743</v>
      </c>
      <c r="C2051" s="0" t="n">
        <v>1.25</v>
      </c>
    </row>
    <row r="2052" customFormat="false" ht="15" hidden="false" customHeight="false" outlineLevel="0" collapsed="false">
      <c r="A2052" s="0" t="s">
        <v>4744</v>
      </c>
      <c r="B2052" s="0" t="s">
        <v>4745</v>
      </c>
      <c r="C2052" s="0" t="n">
        <v>1.25</v>
      </c>
    </row>
    <row r="2053" customFormat="false" ht="15" hidden="false" customHeight="false" outlineLevel="0" collapsed="false">
      <c r="A2053" s="0" t="s">
        <v>4746</v>
      </c>
      <c r="B2053" s="0" t="s">
        <v>4747</v>
      </c>
      <c r="C2053" s="0" t="n">
        <v>1.25</v>
      </c>
    </row>
    <row r="2054" customFormat="false" ht="15" hidden="false" customHeight="false" outlineLevel="0" collapsed="false">
      <c r="A2054" s="0" t="s">
        <v>4748</v>
      </c>
      <c r="B2054" s="0" t="s">
        <v>4749</v>
      </c>
      <c r="C2054" s="0" t="n">
        <v>1.25</v>
      </c>
    </row>
    <row r="2055" customFormat="false" ht="15" hidden="false" customHeight="false" outlineLevel="0" collapsed="false">
      <c r="A2055" s="0" t="s">
        <v>4750</v>
      </c>
      <c r="B2055" s="0" t="s">
        <v>4751</v>
      </c>
      <c r="C2055" s="0" t="n">
        <v>1.25</v>
      </c>
    </row>
    <row r="2056" customFormat="false" ht="15" hidden="false" customHeight="false" outlineLevel="0" collapsed="false">
      <c r="A2056" s="0" t="s">
        <v>4752</v>
      </c>
      <c r="B2056" s="0" t="s">
        <v>4753</v>
      </c>
      <c r="C2056" s="0" t="n">
        <v>1.25</v>
      </c>
    </row>
    <row r="2057" customFormat="false" ht="15" hidden="false" customHeight="false" outlineLevel="0" collapsed="false">
      <c r="A2057" s="0" t="s">
        <v>4754</v>
      </c>
      <c r="B2057" s="0" t="s">
        <v>4755</v>
      </c>
      <c r="C2057" s="0" t="n">
        <v>1.25</v>
      </c>
    </row>
    <row r="2058" customFormat="false" ht="15" hidden="false" customHeight="false" outlineLevel="0" collapsed="false">
      <c r="A2058" s="0" t="s">
        <v>4756</v>
      </c>
      <c r="B2058" s="0" t="s">
        <v>4757</v>
      </c>
      <c r="C2058" s="0" t="n">
        <v>1.25</v>
      </c>
    </row>
    <row r="2059" customFormat="false" ht="15" hidden="false" customHeight="false" outlineLevel="0" collapsed="false">
      <c r="A2059" s="0" t="s">
        <v>4758</v>
      </c>
      <c r="B2059" s="0" t="s">
        <v>4759</v>
      </c>
      <c r="C2059" s="0" t="n">
        <v>1.25</v>
      </c>
    </row>
    <row r="2060" customFormat="false" ht="15" hidden="false" customHeight="false" outlineLevel="0" collapsed="false">
      <c r="A2060" s="0" t="s">
        <v>4760</v>
      </c>
      <c r="B2060" s="0" t="s">
        <v>4761</v>
      </c>
      <c r="C2060" s="0" t="n">
        <v>0.85</v>
      </c>
    </row>
    <row r="2061" customFormat="false" ht="15" hidden="false" customHeight="false" outlineLevel="0" collapsed="false">
      <c r="A2061" s="0" t="s">
        <v>4762</v>
      </c>
      <c r="B2061" s="0" t="s">
        <v>4763</v>
      </c>
      <c r="C2061" s="0" t="n">
        <v>0.16</v>
      </c>
    </row>
    <row r="2062" customFormat="false" ht="15" hidden="false" customHeight="false" outlineLevel="0" collapsed="false">
      <c r="A2062" s="0" t="s">
        <v>4764</v>
      </c>
      <c r="B2062" s="0" t="s">
        <v>4765</v>
      </c>
      <c r="C2062" s="0" t="n">
        <v>21.95</v>
      </c>
    </row>
    <row r="2063" customFormat="false" ht="15" hidden="false" customHeight="false" outlineLevel="0" collapsed="false">
      <c r="A2063" s="0" t="s">
        <v>4766</v>
      </c>
      <c r="B2063" s="0" t="s">
        <v>4767</v>
      </c>
      <c r="C2063" s="0" t="n">
        <v>0.85</v>
      </c>
    </row>
    <row r="2064" customFormat="false" ht="15" hidden="false" customHeight="false" outlineLevel="0" collapsed="false">
      <c r="A2064" s="0" t="s">
        <v>4768</v>
      </c>
      <c r="B2064" s="0" t="s">
        <v>4769</v>
      </c>
      <c r="C2064" s="0" t="n">
        <v>2.1</v>
      </c>
    </row>
    <row r="2065" customFormat="false" ht="15" hidden="false" customHeight="false" outlineLevel="0" collapsed="false">
      <c r="A2065" s="0" t="s">
        <v>4770</v>
      </c>
      <c r="B2065" s="0" t="s">
        <v>4771</v>
      </c>
      <c r="C2065" s="0" t="n">
        <v>4.25</v>
      </c>
    </row>
    <row r="2066" customFormat="false" ht="15" hidden="false" customHeight="false" outlineLevel="0" collapsed="false">
      <c r="A2066" s="0" t="s">
        <v>4772</v>
      </c>
      <c r="B2066" s="0" t="s">
        <v>4773</v>
      </c>
      <c r="C2066" s="0" t="n">
        <v>6.75</v>
      </c>
    </row>
    <row r="2067" customFormat="false" ht="15" hidden="false" customHeight="false" outlineLevel="0" collapsed="false">
      <c r="A2067" s="0" t="s">
        <v>4774</v>
      </c>
      <c r="B2067" s="0" t="s">
        <v>4775</v>
      </c>
      <c r="C2067" s="0" t="n">
        <v>0.38</v>
      </c>
    </row>
    <row r="2068" customFormat="false" ht="15" hidden="false" customHeight="false" outlineLevel="0" collapsed="false">
      <c r="A2068" s="0" t="s">
        <v>4776</v>
      </c>
      <c r="B2068" s="0" t="s">
        <v>4777</v>
      </c>
      <c r="C2068" s="0" t="n">
        <v>5.09</v>
      </c>
    </row>
    <row r="2069" customFormat="false" ht="15" hidden="false" customHeight="false" outlineLevel="0" collapsed="false">
      <c r="A2069" s="0" t="s">
        <v>4778</v>
      </c>
      <c r="B2069" s="0" t="s">
        <v>4779</v>
      </c>
      <c r="C2069" s="0" t="n">
        <v>4.95</v>
      </c>
    </row>
    <row r="2070" customFormat="false" ht="15" hidden="false" customHeight="false" outlineLevel="0" collapsed="false">
      <c r="A2070" s="0" t="s">
        <v>4780</v>
      </c>
      <c r="B2070" s="0" t="s">
        <v>4781</v>
      </c>
      <c r="C2070" s="0" t="n">
        <v>4.21</v>
      </c>
    </row>
    <row r="2071" customFormat="false" ht="15" hidden="false" customHeight="false" outlineLevel="0" collapsed="false">
      <c r="A2071" s="0" t="s">
        <v>4782</v>
      </c>
      <c r="B2071" s="0" t="s">
        <v>4783</v>
      </c>
      <c r="C2071" s="0" t="n">
        <v>1.25</v>
      </c>
    </row>
    <row r="2072" customFormat="false" ht="15" hidden="false" customHeight="false" outlineLevel="0" collapsed="false">
      <c r="A2072" s="0" t="s">
        <v>4784</v>
      </c>
      <c r="B2072" s="0" t="s">
        <v>4785</v>
      </c>
      <c r="C2072" s="0" t="n">
        <v>2.95</v>
      </c>
    </row>
    <row r="2073" customFormat="false" ht="15" hidden="false" customHeight="false" outlineLevel="0" collapsed="false">
      <c r="A2073" s="0" t="s">
        <v>4786</v>
      </c>
      <c r="B2073" s="0" t="s">
        <v>4787</v>
      </c>
      <c r="C2073" s="0" t="n">
        <v>0.42</v>
      </c>
    </row>
    <row r="2074" customFormat="false" ht="15" hidden="false" customHeight="false" outlineLevel="0" collapsed="false">
      <c r="A2074" s="0" t="s">
        <v>4788</v>
      </c>
      <c r="B2074" s="0" t="s">
        <v>4789</v>
      </c>
      <c r="C2074" s="0" t="n">
        <v>0.21</v>
      </c>
    </row>
    <row r="2075" customFormat="false" ht="15" hidden="false" customHeight="false" outlineLevel="0" collapsed="false">
      <c r="A2075" s="0" t="s">
        <v>4790</v>
      </c>
      <c r="B2075" s="0" t="s">
        <v>4791</v>
      </c>
      <c r="C2075" s="0" t="n">
        <v>1.65</v>
      </c>
    </row>
    <row r="2076" customFormat="false" ht="15" hidden="false" customHeight="false" outlineLevel="0" collapsed="false">
      <c r="A2076" s="0" t="s">
        <v>4792</v>
      </c>
      <c r="B2076" s="0" t="s">
        <v>4793</v>
      </c>
      <c r="C2076" s="0" t="n">
        <v>4.95</v>
      </c>
    </row>
    <row r="2077" customFormat="false" ht="15" hidden="false" customHeight="false" outlineLevel="0" collapsed="false">
      <c r="A2077" s="0" t="s">
        <v>4794</v>
      </c>
      <c r="B2077" s="0" t="s">
        <v>4795</v>
      </c>
      <c r="C2077" s="0" t="n">
        <v>5.09</v>
      </c>
    </row>
    <row r="2078" customFormat="false" ht="15" hidden="false" customHeight="false" outlineLevel="0" collapsed="false">
      <c r="A2078" s="0" t="s">
        <v>4796</v>
      </c>
      <c r="B2078" s="0" t="s">
        <v>4797</v>
      </c>
      <c r="C2078" s="0" t="n">
        <v>4.95</v>
      </c>
    </row>
    <row r="2079" customFormat="false" ht="15" hidden="false" customHeight="false" outlineLevel="0" collapsed="false">
      <c r="A2079" s="0" t="s">
        <v>4798</v>
      </c>
      <c r="B2079" s="0" t="s">
        <v>4799</v>
      </c>
      <c r="C2079" s="0" t="n">
        <v>2.95</v>
      </c>
    </row>
    <row r="2080" customFormat="false" ht="15" hidden="false" customHeight="false" outlineLevel="0" collapsed="false">
      <c r="A2080" s="0" t="s">
        <v>4800</v>
      </c>
      <c r="B2080" s="0" t="s">
        <v>4801</v>
      </c>
      <c r="C2080" s="0" t="n">
        <v>0.42</v>
      </c>
    </row>
    <row r="2081" customFormat="false" ht="15" hidden="false" customHeight="false" outlineLevel="0" collapsed="false">
      <c r="A2081" s="0" t="s">
        <v>4802</v>
      </c>
      <c r="B2081" s="0" t="s">
        <v>4803</v>
      </c>
      <c r="C2081" s="0" t="n">
        <v>0.42</v>
      </c>
    </row>
    <row r="2082" customFormat="false" ht="15" hidden="false" customHeight="false" outlineLevel="0" collapsed="false">
      <c r="A2082" s="0" t="s">
        <v>4804</v>
      </c>
      <c r="B2082" s="0" t="s">
        <v>89</v>
      </c>
      <c r="C2082" s="0" t="n">
        <v>0.42</v>
      </c>
    </row>
    <row r="2083" customFormat="false" ht="15" hidden="false" customHeight="false" outlineLevel="0" collapsed="false">
      <c r="A2083" s="0" t="s">
        <v>4805</v>
      </c>
      <c r="B2083" s="0" t="s">
        <v>4806</v>
      </c>
      <c r="C2083" s="0" t="n">
        <v>1.06</v>
      </c>
    </row>
    <row r="2084" customFormat="false" ht="15" hidden="false" customHeight="false" outlineLevel="0" collapsed="false">
      <c r="A2084" s="0" t="s">
        <v>4807</v>
      </c>
      <c r="B2084" s="0" t="s">
        <v>4808</v>
      </c>
      <c r="C2084" s="0" t="n">
        <v>2.55</v>
      </c>
    </row>
    <row r="2085" customFormat="false" ht="15" hidden="false" customHeight="false" outlineLevel="0" collapsed="false">
      <c r="A2085" s="0" t="s">
        <v>4809</v>
      </c>
      <c r="B2085" s="0" t="s">
        <v>4810</v>
      </c>
      <c r="C2085" s="0" t="n">
        <v>2.55</v>
      </c>
    </row>
    <row r="2086" customFormat="false" ht="15" hidden="false" customHeight="false" outlineLevel="0" collapsed="false">
      <c r="A2086" s="0" t="s">
        <v>4811</v>
      </c>
      <c r="B2086" s="0" t="s">
        <v>4812</v>
      </c>
      <c r="C2086" s="0" t="n">
        <v>2.1</v>
      </c>
    </row>
    <row r="2087" customFormat="false" ht="15" hidden="false" customHeight="false" outlineLevel="0" collapsed="false">
      <c r="A2087" s="0" t="s">
        <v>4813</v>
      </c>
      <c r="B2087" s="0" t="s">
        <v>463</v>
      </c>
      <c r="C2087" s="0" t="n">
        <v>2.25</v>
      </c>
    </row>
    <row r="2088" customFormat="false" ht="15" hidden="false" customHeight="false" outlineLevel="0" collapsed="false">
      <c r="A2088" s="0" t="s">
        <v>4814</v>
      </c>
      <c r="B2088" s="0" t="s">
        <v>4815</v>
      </c>
      <c r="C2088" s="0" t="n">
        <v>12.75</v>
      </c>
    </row>
    <row r="2089" customFormat="false" ht="15" hidden="false" customHeight="false" outlineLevel="0" collapsed="false">
      <c r="A2089" s="0" t="s">
        <v>4816</v>
      </c>
      <c r="B2089" s="0" t="s">
        <v>4817</v>
      </c>
      <c r="C2089" s="0" t="n">
        <v>1.65</v>
      </c>
    </row>
    <row r="2090" customFormat="false" ht="15" hidden="false" customHeight="false" outlineLevel="0" collapsed="false">
      <c r="A2090" s="0" t="s">
        <v>4818</v>
      </c>
      <c r="B2090" s="0" t="s">
        <v>4819</v>
      </c>
      <c r="C2090" s="0" t="n">
        <v>9.95</v>
      </c>
    </row>
    <row r="2091" customFormat="false" ht="15" hidden="false" customHeight="false" outlineLevel="0" collapsed="false">
      <c r="A2091" s="0" t="s">
        <v>4820</v>
      </c>
      <c r="B2091" s="0" t="s">
        <v>4821</v>
      </c>
      <c r="C2091" s="0" t="n">
        <v>17.35</v>
      </c>
    </row>
    <row r="2092" customFormat="false" ht="15" hidden="false" customHeight="false" outlineLevel="0" collapsed="false">
      <c r="A2092" s="0" t="s">
        <v>4822</v>
      </c>
      <c r="B2092" s="0" t="s">
        <v>4823</v>
      </c>
      <c r="C2092" s="0" t="n">
        <v>5.95</v>
      </c>
    </row>
    <row r="2093" customFormat="false" ht="15" hidden="false" customHeight="false" outlineLevel="0" collapsed="false">
      <c r="A2093" s="0" t="s">
        <v>4824</v>
      </c>
      <c r="B2093" s="0" t="s">
        <v>4825</v>
      </c>
      <c r="C2093" s="0" t="n">
        <v>1.65</v>
      </c>
    </row>
    <row r="2094" customFormat="false" ht="15" hidden="false" customHeight="false" outlineLevel="0" collapsed="false">
      <c r="A2094" s="0" t="s">
        <v>4826</v>
      </c>
      <c r="B2094" s="0" t="s">
        <v>4827</v>
      </c>
      <c r="C2094" s="0" t="n">
        <v>4.25</v>
      </c>
    </row>
    <row r="2095" customFormat="false" ht="15" hidden="false" customHeight="false" outlineLevel="0" collapsed="false">
      <c r="A2095" s="0" t="s">
        <v>4828</v>
      </c>
      <c r="B2095" s="0" t="s">
        <v>342</v>
      </c>
      <c r="C2095" s="0" t="n">
        <v>1.65</v>
      </c>
    </row>
    <row r="2096" customFormat="false" ht="15" hidden="false" customHeight="false" outlineLevel="0" collapsed="false">
      <c r="A2096" s="0" t="s">
        <v>4829</v>
      </c>
      <c r="B2096" s="0" t="s">
        <v>4830</v>
      </c>
      <c r="C2096" s="0" t="n">
        <v>1.65</v>
      </c>
    </row>
    <row r="2097" customFormat="false" ht="15" hidden="false" customHeight="false" outlineLevel="0" collapsed="false">
      <c r="A2097" s="0" t="s">
        <v>4831</v>
      </c>
      <c r="B2097" s="0" t="s">
        <v>4832</v>
      </c>
      <c r="C2097" s="0" t="n">
        <v>1.45</v>
      </c>
    </row>
    <row r="2098" customFormat="false" ht="15" hidden="false" customHeight="false" outlineLevel="0" collapsed="false">
      <c r="A2098" s="0" t="s">
        <v>4833</v>
      </c>
      <c r="B2098" s="0" t="s">
        <v>4834</v>
      </c>
      <c r="C2098" s="0" t="n">
        <v>12.75</v>
      </c>
    </row>
    <row r="2099" customFormat="false" ht="15" hidden="false" customHeight="false" outlineLevel="0" collapsed="false">
      <c r="A2099" s="0" t="s">
        <v>4835</v>
      </c>
      <c r="B2099" s="0" t="s">
        <v>4836</v>
      </c>
      <c r="C2099" s="0" t="n">
        <v>0.21</v>
      </c>
    </row>
    <row r="2100" customFormat="false" ht="15" hidden="false" customHeight="false" outlineLevel="0" collapsed="false">
      <c r="A2100" s="0" t="s">
        <v>4837</v>
      </c>
      <c r="B2100" s="0" t="s">
        <v>758</v>
      </c>
      <c r="C2100" s="0" t="n">
        <v>0.85</v>
      </c>
    </row>
    <row r="2101" customFormat="false" ht="15" hidden="false" customHeight="false" outlineLevel="0" collapsed="false">
      <c r="A2101" s="0" t="s">
        <v>4838</v>
      </c>
      <c r="B2101" s="0" t="s">
        <v>4839</v>
      </c>
      <c r="C2101" s="0" t="n">
        <v>0.85</v>
      </c>
    </row>
    <row r="2102" customFormat="false" ht="15" hidden="false" customHeight="false" outlineLevel="0" collapsed="false">
      <c r="A2102" s="0" t="s">
        <v>4840</v>
      </c>
      <c r="B2102" s="0" t="s">
        <v>496</v>
      </c>
      <c r="C2102" s="0" t="n">
        <v>1.65</v>
      </c>
    </row>
    <row r="2103" customFormat="false" ht="15" hidden="false" customHeight="false" outlineLevel="0" collapsed="false">
      <c r="A2103" s="0" t="s">
        <v>4841</v>
      </c>
      <c r="B2103" s="0" t="s">
        <v>467</v>
      </c>
      <c r="C2103" s="0" t="n">
        <v>1.65</v>
      </c>
    </row>
    <row r="2104" customFormat="false" ht="15" hidden="false" customHeight="false" outlineLevel="0" collapsed="false">
      <c r="A2104" s="0" t="s">
        <v>4842</v>
      </c>
      <c r="B2104" s="0" t="s">
        <v>123</v>
      </c>
      <c r="C2104" s="0" t="n">
        <v>1.65</v>
      </c>
    </row>
    <row r="2105" customFormat="false" ht="15" hidden="false" customHeight="false" outlineLevel="0" collapsed="false">
      <c r="A2105" s="0" t="s">
        <v>4843</v>
      </c>
      <c r="B2105" s="0" t="s">
        <v>615</v>
      </c>
      <c r="C2105" s="0" t="n">
        <v>1.65</v>
      </c>
    </row>
    <row r="2106" customFormat="false" ht="15" hidden="false" customHeight="false" outlineLevel="0" collapsed="false">
      <c r="A2106" s="0" t="s">
        <v>4844</v>
      </c>
      <c r="B2106" s="0" t="s">
        <v>466</v>
      </c>
      <c r="C2106" s="0" t="n">
        <v>1.65</v>
      </c>
    </row>
    <row r="2107" customFormat="false" ht="15" hidden="false" customHeight="false" outlineLevel="0" collapsed="false">
      <c r="A2107" s="0" t="s">
        <v>4845</v>
      </c>
      <c r="B2107" s="0" t="s">
        <v>507</v>
      </c>
      <c r="C2107" s="0" t="n">
        <v>1.65</v>
      </c>
    </row>
    <row r="2108" customFormat="false" ht="15" hidden="false" customHeight="false" outlineLevel="0" collapsed="false">
      <c r="A2108" s="0" t="s">
        <v>4846</v>
      </c>
      <c r="B2108" s="0" t="s">
        <v>4847</v>
      </c>
      <c r="C2108" s="0" t="n">
        <v>1.65</v>
      </c>
    </row>
    <row r="2109" customFormat="false" ht="15" hidden="false" customHeight="false" outlineLevel="0" collapsed="false">
      <c r="A2109" s="0" t="s">
        <v>4848</v>
      </c>
      <c r="B2109" s="0" t="s">
        <v>122</v>
      </c>
      <c r="C2109" s="0" t="n">
        <v>1.65</v>
      </c>
    </row>
    <row r="2110" customFormat="false" ht="15" hidden="false" customHeight="false" outlineLevel="0" collapsed="false">
      <c r="A2110" s="0" t="s">
        <v>4849</v>
      </c>
      <c r="B2110" s="0" t="s">
        <v>4850</v>
      </c>
      <c r="C2110" s="0" t="n">
        <v>1.95</v>
      </c>
    </row>
    <row r="2111" customFormat="false" ht="15" hidden="false" customHeight="false" outlineLevel="0" collapsed="false">
      <c r="A2111" s="0" t="s">
        <v>4851</v>
      </c>
      <c r="B2111" s="0" t="s">
        <v>4852</v>
      </c>
      <c r="C2111" s="0" t="n">
        <v>2.55</v>
      </c>
    </row>
    <row r="2112" customFormat="false" ht="15" hidden="false" customHeight="false" outlineLevel="0" collapsed="false">
      <c r="A2112" s="0" t="s">
        <v>4853</v>
      </c>
      <c r="B2112" s="0" t="s">
        <v>262</v>
      </c>
      <c r="C2112" s="0" t="n">
        <v>2.55</v>
      </c>
    </row>
    <row r="2113" customFormat="false" ht="15" hidden="false" customHeight="false" outlineLevel="0" collapsed="false">
      <c r="A2113" s="0" t="s">
        <v>4854</v>
      </c>
      <c r="B2113" s="0" t="s">
        <v>4855</v>
      </c>
      <c r="C2113" s="0" t="n">
        <v>1.25</v>
      </c>
    </row>
    <row r="2114" customFormat="false" ht="15" hidden="false" customHeight="false" outlineLevel="0" collapsed="false">
      <c r="A2114" s="0" t="s">
        <v>4856</v>
      </c>
      <c r="B2114" s="0" t="s">
        <v>4857</v>
      </c>
      <c r="C2114" s="0" t="n">
        <v>4.25</v>
      </c>
    </row>
    <row r="2115" customFormat="false" ht="15" hidden="false" customHeight="false" outlineLevel="0" collapsed="false">
      <c r="A2115" s="0" t="s">
        <v>4858</v>
      </c>
      <c r="B2115" s="0" t="s">
        <v>4859</v>
      </c>
      <c r="C2115" s="0" t="n">
        <v>5.95</v>
      </c>
    </row>
    <row r="2116" customFormat="false" ht="15" hidden="false" customHeight="false" outlineLevel="0" collapsed="false">
      <c r="A2116" s="0" t="s">
        <v>4860</v>
      </c>
      <c r="B2116" s="0" t="s">
        <v>4861</v>
      </c>
      <c r="C2116" s="0" t="n">
        <v>14.95</v>
      </c>
    </row>
    <row r="2117" customFormat="false" ht="15" hidden="false" customHeight="false" outlineLevel="0" collapsed="false">
      <c r="A2117" s="0" t="s">
        <v>4862</v>
      </c>
      <c r="B2117" s="0" t="s">
        <v>4863</v>
      </c>
      <c r="C2117" s="0" t="n">
        <v>2.95</v>
      </c>
    </row>
    <row r="2118" customFormat="false" ht="15" hidden="false" customHeight="false" outlineLevel="0" collapsed="false">
      <c r="A2118" s="0" t="s">
        <v>4864</v>
      </c>
      <c r="B2118" s="0" t="s">
        <v>4865</v>
      </c>
      <c r="C2118" s="0" t="n">
        <v>3.75</v>
      </c>
    </row>
    <row r="2119" customFormat="false" ht="15" hidden="false" customHeight="false" outlineLevel="0" collapsed="false">
      <c r="A2119" s="0" t="s">
        <v>4866</v>
      </c>
      <c r="B2119" s="0" t="s">
        <v>4867</v>
      </c>
      <c r="C2119" s="0" t="n">
        <v>2.55</v>
      </c>
    </row>
    <row r="2120" customFormat="false" ht="15" hidden="false" customHeight="false" outlineLevel="0" collapsed="false">
      <c r="A2120" s="0" t="s">
        <v>4868</v>
      </c>
      <c r="B2120" s="0" t="s">
        <v>4869</v>
      </c>
      <c r="C2120" s="0" t="n">
        <v>1.25</v>
      </c>
    </row>
    <row r="2121" customFormat="false" ht="15" hidden="false" customHeight="false" outlineLevel="0" collapsed="false">
      <c r="A2121" s="0" t="s">
        <v>4870</v>
      </c>
      <c r="B2121" s="0" t="s">
        <v>4871</v>
      </c>
      <c r="C2121" s="0" t="n">
        <v>0.42</v>
      </c>
    </row>
    <row r="2122" customFormat="false" ht="15" hidden="false" customHeight="false" outlineLevel="0" collapsed="false">
      <c r="A2122" s="0" t="s">
        <v>4872</v>
      </c>
      <c r="B2122" s="0" t="s">
        <v>4873</v>
      </c>
      <c r="C2122" s="0" t="n">
        <v>0.42</v>
      </c>
    </row>
    <row r="2123" customFormat="false" ht="15" hidden="false" customHeight="false" outlineLevel="0" collapsed="false">
      <c r="A2123" s="0" t="s">
        <v>4874</v>
      </c>
      <c r="B2123" s="0" t="s">
        <v>4875</v>
      </c>
      <c r="C2123" s="0" t="n">
        <v>0.42</v>
      </c>
    </row>
    <row r="2124" customFormat="false" ht="15" hidden="false" customHeight="false" outlineLevel="0" collapsed="false">
      <c r="A2124" s="0" t="s">
        <v>4876</v>
      </c>
      <c r="B2124" s="0" t="s">
        <v>4877</v>
      </c>
      <c r="C2124" s="0" t="n">
        <v>0.42</v>
      </c>
    </row>
    <row r="2125" customFormat="false" ht="15" hidden="false" customHeight="false" outlineLevel="0" collapsed="false">
      <c r="A2125" s="0" t="s">
        <v>4878</v>
      </c>
      <c r="B2125" s="0" t="s">
        <v>4879</v>
      </c>
      <c r="C2125" s="0" t="n">
        <v>0.42</v>
      </c>
    </row>
    <row r="2126" customFormat="false" ht="15" hidden="false" customHeight="false" outlineLevel="0" collapsed="false">
      <c r="A2126" s="0" t="s">
        <v>4880</v>
      </c>
      <c r="B2126" s="0" t="s">
        <v>4881</v>
      </c>
      <c r="C2126" s="0" t="n">
        <v>0.42</v>
      </c>
    </row>
    <row r="2127" customFormat="false" ht="15" hidden="false" customHeight="false" outlineLevel="0" collapsed="false">
      <c r="A2127" s="0" t="s">
        <v>4882</v>
      </c>
      <c r="B2127" s="0" t="s">
        <v>4883</v>
      </c>
      <c r="C2127" s="0" t="n">
        <v>0.42</v>
      </c>
    </row>
    <row r="2128" customFormat="false" ht="15" hidden="false" customHeight="false" outlineLevel="0" collapsed="false">
      <c r="A2128" s="0" t="s">
        <v>4884</v>
      </c>
      <c r="B2128" s="0" t="s">
        <v>4885</v>
      </c>
      <c r="C2128" s="0" t="n">
        <v>0.42</v>
      </c>
    </row>
    <row r="2129" customFormat="false" ht="15" hidden="false" customHeight="false" outlineLevel="0" collapsed="false">
      <c r="A2129" s="0" t="s">
        <v>4886</v>
      </c>
      <c r="B2129" s="0" t="s">
        <v>4887</v>
      </c>
      <c r="C2129" s="0" t="n">
        <v>0.42</v>
      </c>
    </row>
    <row r="2130" customFormat="false" ht="15" hidden="false" customHeight="false" outlineLevel="0" collapsed="false">
      <c r="A2130" s="0" t="s">
        <v>4888</v>
      </c>
      <c r="B2130" s="0" t="s">
        <v>4889</v>
      </c>
      <c r="C2130" s="0" t="n">
        <v>2.55</v>
      </c>
    </row>
    <row r="2131" customFormat="false" ht="15" hidden="false" customHeight="false" outlineLevel="0" collapsed="false">
      <c r="A2131" s="0" t="s">
        <v>4890</v>
      </c>
      <c r="B2131" s="0" t="s">
        <v>721</v>
      </c>
      <c r="C2131" s="0" t="n">
        <v>2.55</v>
      </c>
    </row>
    <row r="2132" customFormat="false" ht="15" hidden="false" customHeight="false" outlineLevel="0" collapsed="false">
      <c r="A2132" s="0" t="s">
        <v>4891</v>
      </c>
      <c r="B2132" s="0" t="s">
        <v>796</v>
      </c>
      <c r="C2132" s="0" t="n">
        <v>0.85</v>
      </c>
    </row>
    <row r="2133" customFormat="false" ht="15" hidden="false" customHeight="false" outlineLevel="0" collapsed="false">
      <c r="A2133" s="0" t="s">
        <v>4892</v>
      </c>
      <c r="B2133" s="0" t="s">
        <v>189</v>
      </c>
      <c r="C2133" s="0" t="n">
        <v>1.25</v>
      </c>
    </row>
    <row r="2134" customFormat="false" ht="15" hidden="false" customHeight="false" outlineLevel="0" collapsed="false">
      <c r="A2134" s="0" t="s">
        <v>4893</v>
      </c>
      <c r="B2134" s="0" t="s">
        <v>187</v>
      </c>
      <c r="C2134" s="0" t="n">
        <v>1.25</v>
      </c>
    </row>
    <row r="2135" customFormat="false" ht="15" hidden="false" customHeight="false" outlineLevel="0" collapsed="false">
      <c r="A2135" s="0" t="s">
        <v>4894</v>
      </c>
      <c r="B2135" s="0" t="s">
        <v>188</v>
      </c>
      <c r="C2135" s="0" t="n">
        <v>1.25</v>
      </c>
    </row>
    <row r="2136" customFormat="false" ht="15" hidden="false" customHeight="false" outlineLevel="0" collapsed="false">
      <c r="A2136" s="0" t="s">
        <v>4895</v>
      </c>
      <c r="B2136" s="0" t="s">
        <v>38</v>
      </c>
      <c r="C2136" s="0" t="n">
        <v>1.25</v>
      </c>
    </row>
    <row r="2137" customFormat="false" ht="15" hidden="false" customHeight="false" outlineLevel="0" collapsed="false">
      <c r="A2137" s="0" t="s">
        <v>4896</v>
      </c>
      <c r="B2137" s="0" t="s">
        <v>186</v>
      </c>
      <c r="C2137" s="0" t="n">
        <v>1.25</v>
      </c>
    </row>
    <row r="2138" customFormat="false" ht="15" hidden="false" customHeight="false" outlineLevel="0" collapsed="false">
      <c r="A2138" s="0" t="s">
        <v>4897</v>
      </c>
      <c r="B2138" s="0" t="s">
        <v>185</v>
      </c>
      <c r="C2138" s="0" t="n">
        <v>1.25</v>
      </c>
    </row>
    <row r="2139" customFormat="false" ht="15" hidden="false" customHeight="false" outlineLevel="0" collapsed="false">
      <c r="A2139" s="0" t="s">
        <v>4898</v>
      </c>
      <c r="B2139" s="0" t="s">
        <v>819</v>
      </c>
      <c r="C2139" s="0" t="n">
        <v>2.95</v>
      </c>
    </row>
    <row r="2140" customFormat="false" ht="15" hidden="false" customHeight="false" outlineLevel="0" collapsed="false">
      <c r="A2140" s="0" t="s">
        <v>4899</v>
      </c>
      <c r="B2140" s="0" t="s">
        <v>820</v>
      </c>
      <c r="C2140" s="0" t="n">
        <v>2.95</v>
      </c>
    </row>
    <row r="2141" customFormat="false" ht="15" hidden="false" customHeight="false" outlineLevel="0" collapsed="false">
      <c r="A2141" s="0" t="s">
        <v>4900</v>
      </c>
      <c r="B2141" s="0" t="s">
        <v>821</v>
      </c>
      <c r="C2141" s="0" t="n">
        <v>2.95</v>
      </c>
    </row>
    <row r="2142" customFormat="false" ht="15" hidden="false" customHeight="false" outlineLevel="0" collapsed="false">
      <c r="A2142" s="0" t="s">
        <v>4901</v>
      </c>
      <c r="B2142" s="0" t="s">
        <v>4902</v>
      </c>
      <c r="C2142" s="0" t="n">
        <v>2.1</v>
      </c>
    </row>
    <row r="2143" customFormat="false" ht="15" hidden="false" customHeight="false" outlineLevel="0" collapsed="false">
      <c r="A2143" s="0" t="s">
        <v>4903</v>
      </c>
      <c r="B2143" s="0" t="s">
        <v>4904</v>
      </c>
      <c r="C2143" s="0" t="n">
        <v>3.95</v>
      </c>
    </row>
    <row r="2144" customFormat="false" ht="15" hidden="false" customHeight="false" outlineLevel="0" collapsed="false">
      <c r="A2144" s="0" t="s">
        <v>4905</v>
      </c>
      <c r="B2144" s="0" t="s">
        <v>4906</v>
      </c>
      <c r="C2144" s="0" t="n">
        <v>19.95</v>
      </c>
    </row>
    <row r="2145" customFormat="false" ht="15" hidden="false" customHeight="false" outlineLevel="0" collapsed="false">
      <c r="A2145" s="0" t="s">
        <v>4907</v>
      </c>
      <c r="B2145" s="0" t="s">
        <v>4908</v>
      </c>
      <c r="C2145" s="0" t="n">
        <v>5.95</v>
      </c>
    </row>
    <row r="2146" customFormat="false" ht="15" hidden="false" customHeight="false" outlineLevel="0" collapsed="false">
      <c r="A2146" s="0" t="s">
        <v>4909</v>
      </c>
      <c r="B2146" s="0" t="s">
        <v>4910</v>
      </c>
      <c r="C2146" s="0" t="n">
        <v>4.21</v>
      </c>
    </row>
    <row r="2147" customFormat="false" ht="15" hidden="false" customHeight="false" outlineLevel="0" collapsed="false">
      <c r="A2147" s="0" t="s">
        <v>4911</v>
      </c>
      <c r="B2147" s="0" t="s">
        <v>4912</v>
      </c>
      <c r="C2147" s="0" t="n">
        <v>4.21</v>
      </c>
    </row>
    <row r="2148" customFormat="false" ht="15" hidden="false" customHeight="false" outlineLevel="0" collapsed="false">
      <c r="A2148" s="0" t="s">
        <v>4913</v>
      </c>
      <c r="B2148" s="0" t="s">
        <v>4914</v>
      </c>
      <c r="C2148" s="0" t="n">
        <v>2.95</v>
      </c>
    </row>
    <row r="2149" customFormat="false" ht="15" hidden="false" customHeight="false" outlineLevel="0" collapsed="false">
      <c r="A2149" s="0" t="s">
        <v>4915</v>
      </c>
      <c r="B2149" s="0" t="s">
        <v>4916</v>
      </c>
      <c r="C2149" s="0" t="n">
        <v>2.95</v>
      </c>
    </row>
    <row r="2150" customFormat="false" ht="15" hidden="false" customHeight="false" outlineLevel="0" collapsed="false">
      <c r="A2150" s="0" t="s">
        <v>4917</v>
      </c>
      <c r="B2150" s="0" t="s">
        <v>4918</v>
      </c>
      <c r="C2150" s="0" t="n">
        <v>2.95</v>
      </c>
    </row>
    <row r="2151" customFormat="false" ht="15" hidden="false" customHeight="false" outlineLevel="0" collapsed="false">
      <c r="A2151" s="0" t="s">
        <v>4919</v>
      </c>
      <c r="B2151" s="0" t="s">
        <v>4920</v>
      </c>
      <c r="C2151" s="0" t="n">
        <v>39.95</v>
      </c>
    </row>
    <row r="2152" customFormat="false" ht="15" hidden="false" customHeight="false" outlineLevel="0" collapsed="false">
      <c r="A2152" s="0" t="s">
        <v>4921</v>
      </c>
      <c r="B2152" s="0" t="s">
        <v>4922</v>
      </c>
      <c r="C2152" s="0" t="n">
        <v>14.95</v>
      </c>
    </row>
    <row r="2153" customFormat="false" ht="15" hidden="false" customHeight="false" outlineLevel="0" collapsed="false">
      <c r="A2153" s="0" t="s">
        <v>4923</v>
      </c>
      <c r="B2153" s="0" t="s">
        <v>4924</v>
      </c>
      <c r="C2153" s="0" t="n">
        <v>0.5</v>
      </c>
    </row>
    <row r="2154" customFormat="false" ht="15" hidden="false" customHeight="false" outlineLevel="0" collapsed="false">
      <c r="A2154" s="0" t="s">
        <v>4925</v>
      </c>
      <c r="B2154" s="0" t="s">
        <v>4926</v>
      </c>
      <c r="C2154" s="0" t="n">
        <v>2.95</v>
      </c>
    </row>
    <row r="2155" customFormat="false" ht="15" hidden="false" customHeight="false" outlineLevel="0" collapsed="false">
      <c r="A2155" s="0" t="s">
        <v>4927</v>
      </c>
      <c r="B2155" s="0" t="s">
        <v>4928</v>
      </c>
      <c r="C2155" s="0" t="n">
        <v>2.95</v>
      </c>
    </row>
    <row r="2156" customFormat="false" ht="15" hidden="false" customHeight="false" outlineLevel="0" collapsed="false">
      <c r="A2156" s="0" t="s">
        <v>4929</v>
      </c>
      <c r="B2156" s="0" t="s">
        <v>4930</v>
      </c>
      <c r="C2156" s="0" t="n">
        <v>1.69</v>
      </c>
    </row>
    <row r="2157" customFormat="false" ht="15" hidden="false" customHeight="false" outlineLevel="0" collapsed="false">
      <c r="A2157" s="0" t="s">
        <v>4931</v>
      </c>
      <c r="B2157" s="0" t="s">
        <v>886</v>
      </c>
      <c r="C2157" s="0" t="n">
        <v>4.95</v>
      </c>
    </row>
    <row r="2158" customFormat="false" ht="15" hidden="false" customHeight="false" outlineLevel="0" collapsed="false">
      <c r="A2158" s="0" t="s">
        <v>4932</v>
      </c>
      <c r="B2158" s="0" t="s">
        <v>4933</v>
      </c>
      <c r="C2158" s="0" t="n">
        <v>4.95</v>
      </c>
    </row>
    <row r="2159" customFormat="false" ht="15" hidden="false" customHeight="false" outlineLevel="0" collapsed="false">
      <c r="A2159" s="0" t="s">
        <v>4934</v>
      </c>
      <c r="B2159" s="0" t="s">
        <v>4935</v>
      </c>
      <c r="C2159" s="0" t="n">
        <v>2.95</v>
      </c>
    </row>
    <row r="2160" customFormat="false" ht="15" hidden="false" customHeight="false" outlineLevel="0" collapsed="false">
      <c r="A2160" s="0" t="s">
        <v>4936</v>
      </c>
      <c r="B2160" s="0" t="s">
        <v>4937</v>
      </c>
      <c r="C2160" s="0" t="n">
        <v>0.42</v>
      </c>
    </row>
    <row r="2161" customFormat="false" ht="15" hidden="false" customHeight="false" outlineLevel="0" collapsed="false">
      <c r="A2161" s="0" t="s">
        <v>4938</v>
      </c>
      <c r="B2161" s="0" t="s">
        <v>194</v>
      </c>
      <c r="C2161" s="0" t="n">
        <v>0.85</v>
      </c>
    </row>
    <row r="2162" customFormat="false" ht="15" hidden="false" customHeight="false" outlineLevel="0" collapsed="false">
      <c r="A2162" s="0" t="s">
        <v>4939</v>
      </c>
      <c r="B2162" s="0" t="s">
        <v>4940</v>
      </c>
      <c r="C2162" s="0" t="n">
        <v>12.75</v>
      </c>
    </row>
    <row r="2163" customFormat="false" ht="15" hidden="false" customHeight="false" outlineLevel="0" collapsed="false">
      <c r="A2163" s="0" t="s">
        <v>4941</v>
      </c>
      <c r="B2163" s="0" t="s">
        <v>4942</v>
      </c>
      <c r="C2163" s="0" t="n">
        <v>1.95</v>
      </c>
    </row>
    <row r="2164" customFormat="false" ht="15" hidden="false" customHeight="false" outlineLevel="0" collapsed="false">
      <c r="A2164" s="0" t="s">
        <v>4943</v>
      </c>
      <c r="B2164" s="0" t="s">
        <v>4944</v>
      </c>
      <c r="C2164" s="0" t="n">
        <v>1.66</v>
      </c>
    </row>
    <row r="2165" customFormat="false" ht="15" hidden="false" customHeight="false" outlineLevel="0" collapsed="false">
      <c r="A2165" s="0" t="s">
        <v>4945</v>
      </c>
      <c r="B2165" s="0" t="s">
        <v>4946</v>
      </c>
      <c r="C2165" s="0" t="n">
        <v>8.5</v>
      </c>
    </row>
    <row r="2166" customFormat="false" ht="15" hidden="false" customHeight="false" outlineLevel="0" collapsed="false">
      <c r="A2166" s="0" t="s">
        <v>4947</v>
      </c>
      <c r="B2166" s="0" t="s">
        <v>4948</v>
      </c>
      <c r="C2166" s="0" t="n">
        <v>1.25</v>
      </c>
    </row>
    <row r="2167" customFormat="false" ht="15" hidden="false" customHeight="false" outlineLevel="0" collapsed="false">
      <c r="A2167" s="0" t="s">
        <v>4949</v>
      </c>
      <c r="B2167" s="0" t="s">
        <v>190</v>
      </c>
      <c r="C2167" s="0" t="n">
        <v>2.95</v>
      </c>
    </row>
    <row r="2168" customFormat="false" ht="15" hidden="false" customHeight="false" outlineLevel="0" collapsed="false">
      <c r="A2168" s="0" t="s">
        <v>4950</v>
      </c>
      <c r="B2168" s="0" t="s">
        <v>4951</v>
      </c>
      <c r="C2168" s="0" t="n">
        <v>2.95</v>
      </c>
    </row>
    <row r="2169" customFormat="false" ht="15" hidden="false" customHeight="false" outlineLevel="0" collapsed="false">
      <c r="A2169" s="0" t="s">
        <v>4952</v>
      </c>
      <c r="B2169" s="0" t="s">
        <v>4953</v>
      </c>
      <c r="C2169" s="0" t="n">
        <v>2.95</v>
      </c>
    </row>
    <row r="2170" customFormat="false" ht="15" hidden="false" customHeight="false" outlineLevel="0" collapsed="false">
      <c r="A2170" s="0" t="s">
        <v>4954</v>
      </c>
      <c r="B2170" s="0" t="s">
        <v>4955</v>
      </c>
      <c r="C2170" s="0" t="n">
        <v>2.1</v>
      </c>
    </row>
    <row r="2171" customFormat="false" ht="15" hidden="false" customHeight="false" outlineLevel="0" collapsed="false">
      <c r="A2171" s="0" t="s">
        <v>4956</v>
      </c>
      <c r="B2171" s="0" t="s">
        <v>206</v>
      </c>
      <c r="C2171" s="0" t="n">
        <v>2.95</v>
      </c>
    </row>
    <row r="2172" customFormat="false" ht="15" hidden="false" customHeight="false" outlineLevel="0" collapsed="false">
      <c r="A2172" s="0" t="s">
        <v>4957</v>
      </c>
      <c r="B2172" s="0" t="s">
        <v>4958</v>
      </c>
      <c r="C2172" s="0" t="n">
        <v>1.25</v>
      </c>
    </row>
    <row r="2173" customFormat="false" ht="15" hidden="false" customHeight="false" outlineLevel="0" collapsed="false">
      <c r="A2173" s="0" t="s">
        <v>4957</v>
      </c>
      <c r="B2173" s="0" t="s">
        <v>4959</v>
      </c>
      <c r="C2173" s="0" t="n">
        <v>2.51</v>
      </c>
    </row>
    <row r="2174" customFormat="false" ht="15" hidden="false" customHeight="false" outlineLevel="0" collapsed="false">
      <c r="A2174" s="0" t="s">
        <v>4957</v>
      </c>
      <c r="B2174" s="0" t="s">
        <v>4960</v>
      </c>
      <c r="C2174" s="0" t="n">
        <v>2.51</v>
      </c>
    </row>
    <row r="2175" customFormat="false" ht="15" hidden="false" customHeight="false" outlineLevel="0" collapsed="false">
      <c r="A2175" s="0" t="s">
        <v>4961</v>
      </c>
      <c r="B2175" s="0" t="s">
        <v>4962</v>
      </c>
      <c r="C2175" s="0" t="n">
        <v>1.69</v>
      </c>
    </row>
    <row r="2176" customFormat="false" ht="15" hidden="false" customHeight="false" outlineLevel="0" collapsed="false">
      <c r="A2176" s="0" t="s">
        <v>4963</v>
      </c>
      <c r="B2176" s="0" t="s">
        <v>4964</v>
      </c>
      <c r="C2176" s="0" t="n">
        <v>49.95</v>
      </c>
    </row>
    <row r="2177" customFormat="false" ht="15" hidden="false" customHeight="false" outlineLevel="0" collapsed="false">
      <c r="A2177" s="0" t="s">
        <v>4965</v>
      </c>
      <c r="B2177" s="0" t="s">
        <v>4966</v>
      </c>
      <c r="C2177" s="0" t="n">
        <v>2.55</v>
      </c>
    </row>
    <row r="2178" customFormat="false" ht="15" hidden="false" customHeight="false" outlineLevel="0" collapsed="false">
      <c r="A2178" s="0" t="s">
        <v>4967</v>
      </c>
      <c r="B2178" s="0" t="s">
        <v>4968</v>
      </c>
      <c r="C2178" s="0" t="n">
        <v>5.95</v>
      </c>
    </row>
    <row r="2179" customFormat="false" ht="15" hidden="false" customHeight="false" outlineLevel="0" collapsed="false">
      <c r="A2179" s="0" t="s">
        <v>4969</v>
      </c>
      <c r="B2179" s="0" t="s">
        <v>4970</v>
      </c>
      <c r="C2179" s="0" t="n">
        <v>2.96</v>
      </c>
    </row>
    <row r="2180" customFormat="false" ht="15" hidden="false" customHeight="false" outlineLevel="0" collapsed="false">
      <c r="A2180" s="0" t="s">
        <v>4971</v>
      </c>
      <c r="B2180" s="0" t="s">
        <v>4972</v>
      </c>
      <c r="C2180" s="0" t="n">
        <v>10.2</v>
      </c>
    </row>
    <row r="2181" customFormat="false" ht="15" hidden="false" customHeight="false" outlineLevel="0" collapsed="false">
      <c r="A2181" s="0" t="s">
        <v>4973</v>
      </c>
      <c r="B2181" s="0" t="s">
        <v>4974</v>
      </c>
      <c r="C2181" s="0" t="n">
        <v>8.95</v>
      </c>
    </row>
    <row r="2182" customFormat="false" ht="15" hidden="false" customHeight="false" outlineLevel="0" collapsed="false">
      <c r="A2182" s="0" t="s">
        <v>4975</v>
      </c>
      <c r="B2182" s="0" t="s">
        <v>4976</v>
      </c>
      <c r="C2182" s="0" t="n">
        <v>3.81</v>
      </c>
    </row>
    <row r="2183" customFormat="false" ht="15" hidden="false" customHeight="false" outlineLevel="0" collapsed="false">
      <c r="A2183" s="0" t="s">
        <v>4977</v>
      </c>
      <c r="B2183" s="0" t="s">
        <v>4978</v>
      </c>
      <c r="C2183" s="0" t="n">
        <v>3.81</v>
      </c>
    </row>
    <row r="2184" customFormat="false" ht="15" hidden="false" customHeight="false" outlineLevel="0" collapsed="false">
      <c r="A2184" s="0" t="s">
        <v>4979</v>
      </c>
      <c r="B2184" s="0" t="s">
        <v>4980</v>
      </c>
      <c r="C2184" s="0" t="n">
        <v>2.95</v>
      </c>
    </row>
    <row r="2185" customFormat="false" ht="15" hidden="false" customHeight="false" outlineLevel="0" collapsed="false">
      <c r="A2185" s="0" t="s">
        <v>4981</v>
      </c>
      <c r="B2185" s="0" t="s">
        <v>4982</v>
      </c>
      <c r="C2185" s="0" t="n">
        <v>6.95</v>
      </c>
    </row>
    <row r="2186" customFormat="false" ht="15" hidden="false" customHeight="false" outlineLevel="0" collapsed="false">
      <c r="A2186" s="0" t="s">
        <v>4983</v>
      </c>
      <c r="B2186" s="0" t="s">
        <v>4984</v>
      </c>
      <c r="C2186" s="0" t="n">
        <v>3.75</v>
      </c>
    </row>
    <row r="2187" customFormat="false" ht="15" hidden="false" customHeight="false" outlineLevel="0" collapsed="false">
      <c r="A2187" s="0" t="s">
        <v>4985</v>
      </c>
      <c r="B2187" s="0" t="s">
        <v>4986</v>
      </c>
      <c r="C2187" s="0" t="n">
        <v>3.75</v>
      </c>
    </row>
    <row r="2188" customFormat="false" ht="15" hidden="false" customHeight="false" outlineLevel="0" collapsed="false">
      <c r="A2188" s="0" t="s">
        <v>4987</v>
      </c>
      <c r="B2188" s="0" t="s">
        <v>734</v>
      </c>
      <c r="C2188" s="0" t="n">
        <v>3.75</v>
      </c>
    </row>
    <row r="2189" customFormat="false" ht="15" hidden="false" customHeight="false" outlineLevel="0" collapsed="false">
      <c r="A2189" s="0" t="s">
        <v>4988</v>
      </c>
      <c r="B2189" s="0" t="s">
        <v>4989</v>
      </c>
      <c r="C2189" s="0" t="n">
        <v>4.95</v>
      </c>
    </row>
    <row r="2190" customFormat="false" ht="15" hidden="false" customHeight="false" outlineLevel="0" collapsed="false">
      <c r="A2190" s="0" t="s">
        <v>4990</v>
      </c>
      <c r="B2190" s="0" t="s">
        <v>4991</v>
      </c>
      <c r="C2190" s="0" t="n">
        <v>1.65</v>
      </c>
    </row>
    <row r="2191" customFormat="false" ht="15" hidden="false" customHeight="false" outlineLevel="0" collapsed="false">
      <c r="A2191" s="0" t="s">
        <v>4992</v>
      </c>
      <c r="B2191" s="0" t="s">
        <v>30</v>
      </c>
      <c r="C2191" s="0" t="n">
        <v>1.65</v>
      </c>
    </row>
    <row r="2192" customFormat="false" ht="15" hidden="false" customHeight="false" outlineLevel="0" collapsed="false">
      <c r="A2192" s="0" t="s">
        <v>4993</v>
      </c>
      <c r="B2192" s="0" t="s">
        <v>4994</v>
      </c>
      <c r="C2192" s="0" t="n">
        <v>0.42</v>
      </c>
    </row>
    <row r="2193" customFormat="false" ht="15" hidden="false" customHeight="false" outlineLevel="0" collapsed="false">
      <c r="A2193" s="0" t="s">
        <v>4995</v>
      </c>
      <c r="B2193" s="0" t="s">
        <v>4996</v>
      </c>
      <c r="C2193" s="0" t="n">
        <v>1.45</v>
      </c>
    </row>
    <row r="2194" customFormat="false" ht="15" hidden="false" customHeight="false" outlineLevel="0" collapsed="false">
      <c r="A2194" s="0" t="s">
        <v>4997</v>
      </c>
      <c r="B2194" s="0" t="s">
        <v>882</v>
      </c>
      <c r="C2194" s="0" t="n">
        <v>0.85</v>
      </c>
    </row>
    <row r="2195" customFormat="false" ht="15" hidden="false" customHeight="false" outlineLevel="0" collapsed="false">
      <c r="A2195" s="0" t="s">
        <v>4998</v>
      </c>
      <c r="B2195" s="0" t="s">
        <v>4999</v>
      </c>
      <c r="C2195" s="0" t="n">
        <v>0.12</v>
      </c>
    </row>
    <row r="2196" customFormat="false" ht="15" hidden="false" customHeight="false" outlineLevel="0" collapsed="false">
      <c r="A2196" s="0" t="s">
        <v>5000</v>
      </c>
      <c r="B2196" s="0" t="s">
        <v>5001</v>
      </c>
      <c r="C2196" s="0" t="n">
        <v>0.42</v>
      </c>
    </row>
    <row r="2197" customFormat="false" ht="15" hidden="false" customHeight="false" outlineLevel="0" collapsed="false">
      <c r="A2197" s="0" t="s">
        <v>5002</v>
      </c>
      <c r="B2197" s="0" t="s">
        <v>5003</v>
      </c>
      <c r="C2197" s="0" t="n">
        <v>0.42</v>
      </c>
    </row>
    <row r="2198" customFormat="false" ht="15" hidden="false" customHeight="false" outlineLevel="0" collapsed="false">
      <c r="A2198" s="0" t="s">
        <v>5004</v>
      </c>
      <c r="B2198" s="0" t="s">
        <v>573</v>
      </c>
      <c r="C2198" s="0" t="n">
        <v>0.42</v>
      </c>
    </row>
    <row r="2199" customFormat="false" ht="15" hidden="false" customHeight="false" outlineLevel="0" collapsed="false">
      <c r="A2199" s="0" t="s">
        <v>5005</v>
      </c>
      <c r="B2199" s="0" t="s">
        <v>795</v>
      </c>
      <c r="C2199" s="0" t="n">
        <v>0.42</v>
      </c>
    </row>
    <row r="2200" customFormat="false" ht="15" hidden="false" customHeight="false" outlineLevel="0" collapsed="false">
      <c r="A2200" s="0" t="s">
        <v>5006</v>
      </c>
      <c r="B2200" s="0" t="s">
        <v>693</v>
      </c>
      <c r="C2200" s="0" t="n">
        <v>0.42</v>
      </c>
    </row>
    <row r="2201" customFormat="false" ht="15" hidden="false" customHeight="false" outlineLevel="0" collapsed="false">
      <c r="A2201" s="0" t="s">
        <v>5007</v>
      </c>
      <c r="B2201" s="0" t="s">
        <v>5008</v>
      </c>
      <c r="C2201" s="0" t="n">
        <v>0.42</v>
      </c>
    </row>
    <row r="2202" customFormat="false" ht="15" hidden="false" customHeight="false" outlineLevel="0" collapsed="false">
      <c r="A2202" s="0" t="s">
        <v>5009</v>
      </c>
      <c r="B2202" s="0" t="s">
        <v>5010</v>
      </c>
      <c r="C2202" s="0" t="n">
        <v>0.42</v>
      </c>
    </row>
    <row r="2203" customFormat="false" ht="15" hidden="false" customHeight="false" outlineLevel="0" collapsed="false">
      <c r="A2203" s="0" t="s">
        <v>5011</v>
      </c>
      <c r="B2203" s="0" t="s">
        <v>5012</v>
      </c>
      <c r="C2203" s="0" t="n">
        <v>0.42</v>
      </c>
    </row>
    <row r="2204" customFormat="false" ht="15" hidden="false" customHeight="false" outlineLevel="0" collapsed="false">
      <c r="A2204" s="0" t="s">
        <v>5013</v>
      </c>
      <c r="B2204" s="0" t="s">
        <v>574</v>
      </c>
      <c r="C2204" s="0" t="n">
        <v>0.42</v>
      </c>
    </row>
    <row r="2205" customFormat="false" ht="15" hidden="false" customHeight="false" outlineLevel="0" collapsed="false">
      <c r="A2205" s="0" t="s">
        <v>5014</v>
      </c>
      <c r="B2205" s="0" t="s">
        <v>5015</v>
      </c>
      <c r="C2205" s="0" t="n">
        <v>0.65</v>
      </c>
    </row>
    <row r="2206" customFormat="false" ht="15" hidden="false" customHeight="false" outlineLevel="0" collapsed="false">
      <c r="A2206" s="0" t="s">
        <v>5016</v>
      </c>
      <c r="B2206" s="0" t="s">
        <v>5017</v>
      </c>
      <c r="C2206" s="0" t="n">
        <v>0.85</v>
      </c>
    </row>
    <row r="2207" customFormat="false" ht="15" hidden="false" customHeight="false" outlineLevel="0" collapsed="false">
      <c r="A2207" s="0" t="s">
        <v>5018</v>
      </c>
      <c r="B2207" s="0" t="s">
        <v>5019</v>
      </c>
      <c r="C2207" s="0" t="n">
        <v>1.69</v>
      </c>
    </row>
    <row r="2208" customFormat="false" ht="15" hidden="false" customHeight="false" outlineLevel="0" collapsed="false">
      <c r="A2208" s="0" t="s">
        <v>5020</v>
      </c>
      <c r="B2208" s="0" t="s">
        <v>5021</v>
      </c>
      <c r="C2208" s="0" t="n">
        <v>0.85</v>
      </c>
    </row>
    <row r="2209" customFormat="false" ht="15" hidden="false" customHeight="false" outlineLevel="0" collapsed="false">
      <c r="A2209" s="0" t="s">
        <v>5022</v>
      </c>
      <c r="B2209" s="0" t="s">
        <v>280</v>
      </c>
      <c r="C2209" s="0" t="n">
        <v>3.36</v>
      </c>
    </row>
    <row r="2210" customFormat="false" ht="15" hidden="false" customHeight="false" outlineLevel="0" collapsed="false">
      <c r="A2210" s="0" t="s">
        <v>5023</v>
      </c>
      <c r="B2210" s="0" t="s">
        <v>444</v>
      </c>
      <c r="C2210" s="0" t="n">
        <v>8.5</v>
      </c>
    </row>
    <row r="2211" customFormat="false" ht="15" hidden="false" customHeight="false" outlineLevel="0" collapsed="false">
      <c r="A2211" s="0" t="s">
        <v>5024</v>
      </c>
      <c r="B2211" s="0" t="s">
        <v>5025</v>
      </c>
      <c r="C2211" s="0" t="n">
        <v>14.95</v>
      </c>
    </row>
    <row r="2212" customFormat="false" ht="15" hidden="false" customHeight="false" outlineLevel="0" collapsed="false">
      <c r="A2212" s="0" t="s">
        <v>5026</v>
      </c>
      <c r="B2212" s="0" t="s">
        <v>5027</v>
      </c>
      <c r="C2212" s="0" t="n">
        <v>3.75</v>
      </c>
    </row>
    <row r="2213" customFormat="false" ht="15" hidden="false" customHeight="false" outlineLevel="0" collapsed="false">
      <c r="A2213" s="0" t="s">
        <v>5028</v>
      </c>
      <c r="B2213" s="0" t="s">
        <v>5029</v>
      </c>
      <c r="C2213" s="0" t="n">
        <v>1.45</v>
      </c>
    </row>
    <row r="2214" customFormat="false" ht="15" hidden="false" customHeight="false" outlineLevel="0" collapsed="false">
      <c r="A2214" s="0" t="s">
        <v>5030</v>
      </c>
      <c r="B2214" s="0" t="s">
        <v>5031</v>
      </c>
      <c r="C2214" s="0" t="n">
        <v>4.25</v>
      </c>
    </row>
    <row r="2215" customFormat="false" ht="15" hidden="false" customHeight="false" outlineLevel="0" collapsed="false">
      <c r="A2215" s="0" t="s">
        <v>5032</v>
      </c>
      <c r="B2215" s="0" t="s">
        <v>5033</v>
      </c>
      <c r="C2215" s="0" t="n">
        <v>6.75</v>
      </c>
    </row>
    <row r="2216" customFormat="false" ht="15" hidden="false" customHeight="false" outlineLevel="0" collapsed="false">
      <c r="A2216" s="0" t="s">
        <v>5034</v>
      </c>
      <c r="B2216" s="0" t="s">
        <v>5035</v>
      </c>
      <c r="C2216" s="0" t="n">
        <v>1.65</v>
      </c>
    </row>
    <row r="2217" customFormat="false" ht="15" hidden="false" customHeight="false" outlineLevel="0" collapsed="false">
      <c r="A2217" s="0" t="s">
        <v>5036</v>
      </c>
      <c r="B2217" s="0" t="s">
        <v>5037</v>
      </c>
      <c r="C2217" s="0" t="n">
        <v>1.65</v>
      </c>
    </row>
    <row r="2218" customFormat="false" ht="15" hidden="false" customHeight="false" outlineLevel="0" collapsed="false">
      <c r="A2218" s="0" t="s">
        <v>5038</v>
      </c>
      <c r="B2218" s="0" t="s">
        <v>5039</v>
      </c>
      <c r="C2218" s="0" t="n">
        <v>2.1</v>
      </c>
    </row>
    <row r="2219" customFormat="false" ht="15" hidden="false" customHeight="false" outlineLevel="0" collapsed="false">
      <c r="A2219" s="0" t="s">
        <v>5040</v>
      </c>
      <c r="B2219" s="0" t="s">
        <v>5041</v>
      </c>
      <c r="C2219" s="0" t="n">
        <v>19.42</v>
      </c>
    </row>
    <row r="2220" customFormat="false" ht="15" hidden="false" customHeight="false" outlineLevel="0" collapsed="false">
      <c r="A2220" s="0" t="s">
        <v>5042</v>
      </c>
      <c r="B2220" s="0" t="s">
        <v>5043</v>
      </c>
      <c r="C2220" s="0" t="n">
        <v>5.95</v>
      </c>
    </row>
    <row r="2221" customFormat="false" ht="15" hidden="false" customHeight="false" outlineLevel="0" collapsed="false">
      <c r="A2221" s="0" t="s">
        <v>5044</v>
      </c>
      <c r="B2221" s="0" t="s">
        <v>5045</v>
      </c>
      <c r="C2221" s="0" t="n">
        <v>2.1</v>
      </c>
    </row>
    <row r="2222" customFormat="false" ht="15" hidden="false" customHeight="false" outlineLevel="0" collapsed="false">
      <c r="A2222" s="0" t="s">
        <v>5046</v>
      </c>
      <c r="B2222" s="0" t="s">
        <v>5047</v>
      </c>
      <c r="C2222" s="0" t="n">
        <v>6.35</v>
      </c>
    </row>
    <row r="2223" customFormat="false" ht="15" hidden="false" customHeight="false" outlineLevel="0" collapsed="false">
      <c r="A2223" s="0" t="s">
        <v>5048</v>
      </c>
      <c r="B2223" s="0" t="s">
        <v>5049</v>
      </c>
      <c r="C2223" s="0" t="n">
        <v>2.55</v>
      </c>
    </row>
    <row r="2224" customFormat="false" ht="15" hidden="false" customHeight="false" outlineLevel="0" collapsed="false">
      <c r="A2224" s="0" t="s">
        <v>5050</v>
      </c>
      <c r="B2224" s="0" t="s">
        <v>5051</v>
      </c>
      <c r="C2224" s="0" t="n">
        <v>2.55</v>
      </c>
    </row>
    <row r="2225" customFormat="false" ht="15" hidden="false" customHeight="false" outlineLevel="0" collapsed="false">
      <c r="A2225" s="0" t="s">
        <v>5052</v>
      </c>
      <c r="B2225" s="0" t="s">
        <v>5053</v>
      </c>
      <c r="C2225" s="0" t="n">
        <v>8.47</v>
      </c>
    </row>
    <row r="2226" customFormat="false" ht="15" hidden="false" customHeight="false" outlineLevel="0" collapsed="false">
      <c r="A2226" s="0" t="s">
        <v>5054</v>
      </c>
      <c r="B2226" s="0" t="s">
        <v>5055</v>
      </c>
      <c r="C2226" s="0" t="n">
        <v>5.06</v>
      </c>
    </row>
    <row r="2227" customFormat="false" ht="15" hidden="false" customHeight="false" outlineLevel="0" collapsed="false">
      <c r="A2227" s="0" t="s">
        <v>5056</v>
      </c>
      <c r="B2227" s="0" t="s">
        <v>5057</v>
      </c>
      <c r="C2227" s="0" t="n">
        <v>3.75</v>
      </c>
    </row>
    <row r="2228" customFormat="false" ht="15" hidden="false" customHeight="false" outlineLevel="0" collapsed="false">
      <c r="A2228" s="0" t="s">
        <v>5058</v>
      </c>
      <c r="B2228" s="0" t="s">
        <v>5059</v>
      </c>
      <c r="C2228" s="0" t="n">
        <v>2.55</v>
      </c>
    </row>
    <row r="2229" customFormat="false" ht="15" hidden="false" customHeight="false" outlineLevel="0" collapsed="false">
      <c r="A2229" s="0" t="s">
        <v>5060</v>
      </c>
      <c r="B2229" s="0" t="s">
        <v>5061</v>
      </c>
      <c r="C2229" s="0" t="n">
        <v>3.75</v>
      </c>
    </row>
    <row r="2230" customFormat="false" ht="15" hidden="false" customHeight="false" outlineLevel="0" collapsed="false">
      <c r="A2230" s="0" t="s">
        <v>5062</v>
      </c>
      <c r="B2230" s="0" t="s">
        <v>5063</v>
      </c>
      <c r="C2230" s="0" t="n">
        <v>2.95</v>
      </c>
    </row>
    <row r="2231" customFormat="false" ht="15" hidden="false" customHeight="false" outlineLevel="0" collapsed="false">
      <c r="A2231" s="0" t="s">
        <v>5064</v>
      </c>
      <c r="B2231" s="0" t="s">
        <v>5065</v>
      </c>
      <c r="C2231" s="0" t="n">
        <v>2.95</v>
      </c>
    </row>
    <row r="2232" customFormat="false" ht="15" hidden="false" customHeight="false" outlineLevel="0" collapsed="false">
      <c r="A2232" s="0" t="s">
        <v>5066</v>
      </c>
      <c r="B2232" s="0" t="s">
        <v>5067</v>
      </c>
      <c r="C2232" s="0" t="n">
        <v>0.81</v>
      </c>
    </row>
    <row r="2233" customFormat="false" ht="15" hidden="false" customHeight="false" outlineLevel="0" collapsed="false">
      <c r="A2233" s="0" t="s">
        <v>5068</v>
      </c>
      <c r="B2233" s="0" t="s">
        <v>5069</v>
      </c>
      <c r="C2233" s="0" t="n">
        <v>1.25</v>
      </c>
    </row>
    <row r="2234" customFormat="false" ht="15" hidden="false" customHeight="false" outlineLevel="0" collapsed="false">
      <c r="A2234" s="0" t="s">
        <v>5070</v>
      </c>
      <c r="B2234" s="0" t="s">
        <v>5071</v>
      </c>
      <c r="C2234" s="0" t="n">
        <v>4.95</v>
      </c>
    </row>
    <row r="2235" customFormat="false" ht="15" hidden="false" customHeight="false" outlineLevel="0" collapsed="false">
      <c r="A2235" s="0" t="s">
        <v>5072</v>
      </c>
      <c r="B2235" s="0" t="s">
        <v>5073</v>
      </c>
      <c r="C2235" s="0" t="n">
        <v>1.66</v>
      </c>
    </row>
    <row r="2236" customFormat="false" ht="15" hidden="false" customHeight="false" outlineLevel="0" collapsed="false">
      <c r="A2236" s="0" t="s">
        <v>5074</v>
      </c>
      <c r="B2236" s="0" t="s">
        <v>5075</v>
      </c>
      <c r="C2236" s="0" t="n">
        <v>0.42</v>
      </c>
    </row>
    <row r="2237" customFormat="false" ht="15" hidden="false" customHeight="false" outlineLevel="0" collapsed="false">
      <c r="A2237" s="0" t="s">
        <v>5076</v>
      </c>
      <c r="B2237" s="0" t="s">
        <v>5077</v>
      </c>
      <c r="C2237" s="0" t="n">
        <v>0.85</v>
      </c>
    </row>
    <row r="2238" customFormat="false" ht="15" hidden="false" customHeight="false" outlineLevel="0" collapsed="false">
      <c r="A2238" s="0" t="s">
        <v>5076</v>
      </c>
      <c r="B2238" s="0" t="s">
        <v>5078</v>
      </c>
      <c r="C2238" s="0" t="n">
        <v>2.95</v>
      </c>
    </row>
    <row r="2239" customFormat="false" ht="15" hidden="false" customHeight="false" outlineLevel="0" collapsed="false">
      <c r="A2239" s="0" t="s">
        <v>5076</v>
      </c>
      <c r="B2239" s="0" t="s">
        <v>5079</v>
      </c>
      <c r="C2239" s="0" t="n">
        <v>2.1</v>
      </c>
    </row>
    <row r="2240" customFormat="false" ht="15" hidden="false" customHeight="false" outlineLevel="0" collapsed="false">
      <c r="A2240" s="0" t="s">
        <v>5080</v>
      </c>
      <c r="B2240" s="0" t="s">
        <v>5081</v>
      </c>
      <c r="C2240" s="0" t="n">
        <v>2.51</v>
      </c>
    </row>
    <row r="2241" customFormat="false" ht="15" hidden="false" customHeight="false" outlineLevel="0" collapsed="false">
      <c r="A2241" s="0" t="s">
        <v>5082</v>
      </c>
      <c r="B2241" s="0" t="s">
        <v>5083</v>
      </c>
      <c r="C2241" s="0" t="n">
        <v>2.55</v>
      </c>
    </row>
    <row r="2242" customFormat="false" ht="15" hidden="false" customHeight="false" outlineLevel="0" collapsed="false">
      <c r="A2242" s="0" t="s">
        <v>5084</v>
      </c>
      <c r="B2242" s="0" t="s">
        <v>5085</v>
      </c>
      <c r="C2242" s="0" t="n">
        <v>1.25</v>
      </c>
    </row>
    <row r="2243" customFormat="false" ht="15" hidden="false" customHeight="false" outlineLevel="0" collapsed="false">
      <c r="A2243" s="0" t="s">
        <v>5086</v>
      </c>
      <c r="B2243" s="0" t="s">
        <v>5087</v>
      </c>
      <c r="C2243" s="0" t="n">
        <v>1.25</v>
      </c>
    </row>
    <row r="2244" customFormat="false" ht="15" hidden="false" customHeight="false" outlineLevel="0" collapsed="false">
      <c r="A2244" s="0" t="s">
        <v>5088</v>
      </c>
      <c r="B2244" s="0" t="s">
        <v>5089</v>
      </c>
      <c r="C2244" s="0" t="n">
        <v>1.25</v>
      </c>
    </row>
    <row r="2245" customFormat="false" ht="15" hidden="false" customHeight="false" outlineLevel="0" collapsed="false">
      <c r="A2245" s="0" t="s">
        <v>5090</v>
      </c>
      <c r="B2245" s="0" t="s">
        <v>816</v>
      </c>
      <c r="C2245" s="0" t="n">
        <v>1.25</v>
      </c>
    </row>
    <row r="2246" customFormat="false" ht="15" hidden="false" customHeight="false" outlineLevel="0" collapsed="false">
      <c r="A2246" s="0" t="s">
        <v>5091</v>
      </c>
      <c r="B2246" s="0" t="s">
        <v>5092</v>
      </c>
      <c r="C2246" s="0" t="n">
        <v>1.25</v>
      </c>
    </row>
    <row r="2247" customFormat="false" ht="15" hidden="false" customHeight="false" outlineLevel="0" collapsed="false">
      <c r="A2247" s="0" t="s">
        <v>5093</v>
      </c>
      <c r="B2247" s="0" t="s">
        <v>585</v>
      </c>
      <c r="C2247" s="0" t="n">
        <v>1.25</v>
      </c>
    </row>
    <row r="2248" customFormat="false" ht="15" hidden="false" customHeight="false" outlineLevel="0" collapsed="false">
      <c r="A2248" s="0" t="s">
        <v>5094</v>
      </c>
      <c r="B2248" s="0" t="s">
        <v>5095</v>
      </c>
      <c r="C2248" s="0" t="n">
        <v>1.25</v>
      </c>
    </row>
    <row r="2249" customFormat="false" ht="15" hidden="false" customHeight="false" outlineLevel="0" collapsed="false">
      <c r="A2249" s="0" t="s">
        <v>5096</v>
      </c>
      <c r="B2249" s="0" t="s">
        <v>5097</v>
      </c>
      <c r="C2249" s="0" t="n">
        <v>2.96</v>
      </c>
    </row>
    <row r="2250" customFormat="false" ht="15" hidden="false" customHeight="false" outlineLevel="0" collapsed="false">
      <c r="A2250" s="0" t="s">
        <v>5098</v>
      </c>
      <c r="B2250" s="0" t="s">
        <v>5099</v>
      </c>
      <c r="C2250" s="0" t="n">
        <v>8.95</v>
      </c>
    </row>
    <row r="2251" customFormat="false" ht="15" hidden="false" customHeight="false" outlineLevel="0" collapsed="false">
      <c r="A2251" s="0" t="s">
        <v>5100</v>
      </c>
      <c r="B2251" s="0" t="s">
        <v>858</v>
      </c>
      <c r="C2251" s="0" t="n">
        <v>1.45</v>
      </c>
    </row>
    <row r="2252" customFormat="false" ht="15" hidden="false" customHeight="false" outlineLevel="0" collapsed="false">
      <c r="A2252" s="0" t="s">
        <v>5101</v>
      </c>
      <c r="B2252" s="0" t="s">
        <v>859</v>
      </c>
      <c r="C2252" s="0" t="n">
        <v>1.45</v>
      </c>
    </row>
    <row r="2253" customFormat="false" ht="15" hidden="false" customHeight="false" outlineLevel="0" collapsed="false">
      <c r="A2253" s="0" t="s">
        <v>5102</v>
      </c>
      <c r="B2253" s="0" t="s">
        <v>5103</v>
      </c>
      <c r="C2253" s="0" t="n">
        <v>0.21</v>
      </c>
    </row>
    <row r="2254" customFormat="false" ht="15" hidden="false" customHeight="false" outlineLevel="0" collapsed="false">
      <c r="A2254" s="0" t="s">
        <v>5104</v>
      </c>
      <c r="B2254" s="0" t="s">
        <v>5105</v>
      </c>
      <c r="C2254" s="0" t="n">
        <v>4.95</v>
      </c>
    </row>
    <row r="2255" customFormat="false" ht="15" hidden="false" customHeight="false" outlineLevel="0" collapsed="false">
      <c r="A2255" s="0" t="s">
        <v>5106</v>
      </c>
      <c r="B2255" s="0" t="s">
        <v>5107</v>
      </c>
      <c r="C2255" s="0" t="n">
        <v>2.1</v>
      </c>
    </row>
    <row r="2256" customFormat="false" ht="15" hidden="false" customHeight="false" outlineLevel="0" collapsed="false">
      <c r="A2256" s="0" t="s">
        <v>5108</v>
      </c>
      <c r="B2256" s="0" t="s">
        <v>5109</v>
      </c>
      <c r="C2256" s="0" t="n">
        <v>9.95</v>
      </c>
    </row>
    <row r="2257" customFormat="false" ht="15" hidden="false" customHeight="false" outlineLevel="0" collapsed="false">
      <c r="A2257" s="0" t="s">
        <v>5110</v>
      </c>
      <c r="B2257" s="0" t="s">
        <v>5111</v>
      </c>
      <c r="C2257" s="0" t="n">
        <v>12.75</v>
      </c>
    </row>
    <row r="2258" customFormat="false" ht="15" hidden="false" customHeight="false" outlineLevel="0" collapsed="false">
      <c r="A2258" s="0" t="s">
        <v>5112</v>
      </c>
      <c r="B2258" s="0" t="s">
        <v>5113</v>
      </c>
      <c r="C2258" s="0" t="n">
        <v>12.75</v>
      </c>
    </row>
    <row r="2259" customFormat="false" ht="15" hidden="false" customHeight="false" outlineLevel="0" collapsed="false">
      <c r="A2259" s="0" t="s">
        <v>5114</v>
      </c>
      <c r="B2259" s="0" t="s">
        <v>5115</v>
      </c>
      <c r="C2259" s="0" t="n">
        <v>0.85</v>
      </c>
    </row>
    <row r="2260" customFormat="false" ht="15" hidden="false" customHeight="false" outlineLevel="0" collapsed="false">
      <c r="A2260" s="0" t="s">
        <v>5116</v>
      </c>
      <c r="B2260" s="0" t="s">
        <v>5117</v>
      </c>
      <c r="C2260" s="0" t="n">
        <v>0.85</v>
      </c>
    </row>
    <row r="2261" customFormat="false" ht="15" hidden="false" customHeight="false" outlineLevel="0" collapsed="false">
      <c r="A2261" s="0" t="s">
        <v>5118</v>
      </c>
      <c r="B2261" s="0" t="s">
        <v>5119</v>
      </c>
      <c r="C2261" s="0" t="n">
        <v>1.25</v>
      </c>
    </row>
    <row r="2262" customFormat="false" ht="15" hidden="false" customHeight="false" outlineLevel="0" collapsed="false">
      <c r="A2262" s="0" t="s">
        <v>5120</v>
      </c>
      <c r="B2262" s="0" t="s">
        <v>5121</v>
      </c>
      <c r="C2262" s="0" t="n">
        <v>1.25</v>
      </c>
    </row>
    <row r="2263" customFormat="false" ht="15" hidden="false" customHeight="false" outlineLevel="0" collapsed="false">
      <c r="A2263" s="0" t="s">
        <v>5122</v>
      </c>
      <c r="B2263" s="0" t="s">
        <v>289</v>
      </c>
      <c r="C2263" s="0" t="n">
        <v>3.75</v>
      </c>
    </row>
    <row r="2264" customFormat="false" ht="15" hidden="false" customHeight="false" outlineLevel="0" collapsed="false">
      <c r="A2264" s="0" t="s">
        <v>5123</v>
      </c>
      <c r="B2264" s="0" t="s">
        <v>5124</v>
      </c>
      <c r="C2264" s="0" t="n">
        <v>2.55</v>
      </c>
    </row>
    <row r="2265" customFormat="false" ht="15" hidden="false" customHeight="false" outlineLevel="0" collapsed="false">
      <c r="A2265" s="0" t="s">
        <v>5125</v>
      </c>
      <c r="B2265" s="0" t="s">
        <v>5126</v>
      </c>
      <c r="C2265" s="0" t="n">
        <v>6.95</v>
      </c>
    </row>
    <row r="2266" customFormat="false" ht="15" hidden="false" customHeight="false" outlineLevel="0" collapsed="false">
      <c r="A2266" s="0" t="s">
        <v>5127</v>
      </c>
      <c r="B2266" s="0" t="s">
        <v>5128</v>
      </c>
      <c r="C2266" s="0" t="n">
        <v>6.95</v>
      </c>
    </row>
    <row r="2267" customFormat="false" ht="15" hidden="false" customHeight="false" outlineLevel="0" collapsed="false">
      <c r="A2267" s="0" t="s">
        <v>5129</v>
      </c>
      <c r="B2267" s="0" t="s">
        <v>5130</v>
      </c>
      <c r="C2267" s="0" t="n">
        <v>0.85</v>
      </c>
    </row>
    <row r="2268" customFormat="false" ht="15" hidden="false" customHeight="false" outlineLevel="0" collapsed="false">
      <c r="A2268" s="0" t="s">
        <v>5131</v>
      </c>
      <c r="B2268" s="0" t="s">
        <v>5132</v>
      </c>
      <c r="C2268" s="0" t="n">
        <v>0.42</v>
      </c>
    </row>
    <row r="2269" customFormat="false" ht="15" hidden="false" customHeight="false" outlineLevel="0" collapsed="false">
      <c r="A2269" s="0" t="s">
        <v>5133</v>
      </c>
      <c r="B2269" s="0" t="s">
        <v>5134</v>
      </c>
      <c r="C2269" s="0" t="n">
        <v>0.65</v>
      </c>
    </row>
    <row r="2270" customFormat="false" ht="15" hidden="false" customHeight="false" outlineLevel="0" collapsed="false">
      <c r="A2270" s="0" t="s">
        <v>5135</v>
      </c>
      <c r="B2270" s="0" t="s">
        <v>876</v>
      </c>
      <c r="C2270" s="0" t="n">
        <v>0.85</v>
      </c>
    </row>
    <row r="2271" customFormat="false" ht="15" hidden="false" customHeight="false" outlineLevel="0" collapsed="false">
      <c r="A2271" s="0" t="s">
        <v>5136</v>
      </c>
      <c r="B2271" s="0" t="s">
        <v>5137</v>
      </c>
      <c r="C2271" s="0" t="n">
        <v>0.85</v>
      </c>
    </row>
    <row r="2272" customFormat="false" ht="15" hidden="false" customHeight="false" outlineLevel="0" collapsed="false">
      <c r="A2272" s="0" t="s">
        <v>5138</v>
      </c>
      <c r="B2272" s="0" t="s">
        <v>5139</v>
      </c>
      <c r="C2272" s="0" t="n">
        <v>2.55</v>
      </c>
    </row>
    <row r="2273" customFormat="false" ht="15" hidden="false" customHeight="false" outlineLevel="0" collapsed="false">
      <c r="A2273" s="0" t="s">
        <v>5140</v>
      </c>
      <c r="B2273" s="0" t="s">
        <v>177</v>
      </c>
      <c r="C2273" s="0" t="n">
        <v>1.65</v>
      </c>
    </row>
    <row r="2274" customFormat="false" ht="15" hidden="false" customHeight="false" outlineLevel="0" collapsed="false">
      <c r="A2274" s="0" t="s">
        <v>5141</v>
      </c>
      <c r="B2274" s="0" t="s">
        <v>5142</v>
      </c>
      <c r="C2274" s="0" t="n">
        <v>0.42</v>
      </c>
    </row>
    <row r="2275" customFormat="false" ht="15" hidden="false" customHeight="false" outlineLevel="0" collapsed="false">
      <c r="A2275" s="0" t="s">
        <v>5143</v>
      </c>
      <c r="B2275" s="0" t="s">
        <v>5144</v>
      </c>
      <c r="C2275" s="0" t="n">
        <v>6.77</v>
      </c>
    </row>
    <row r="2276" customFormat="false" ht="15" hidden="false" customHeight="false" outlineLevel="0" collapsed="false">
      <c r="A2276" s="0" t="s">
        <v>5145</v>
      </c>
      <c r="B2276" s="0" t="s">
        <v>5146</v>
      </c>
      <c r="C2276" s="0" t="n">
        <v>1.95</v>
      </c>
    </row>
    <row r="2277" customFormat="false" ht="15" hidden="false" customHeight="false" outlineLevel="0" collapsed="false">
      <c r="A2277" s="0" t="s">
        <v>5147</v>
      </c>
      <c r="B2277" s="0" t="s">
        <v>5148</v>
      </c>
      <c r="C2277" s="0" t="n">
        <v>3.95</v>
      </c>
    </row>
    <row r="2278" customFormat="false" ht="15" hidden="false" customHeight="false" outlineLevel="0" collapsed="false">
      <c r="A2278" s="0" t="s">
        <v>5149</v>
      </c>
      <c r="B2278" s="0" t="s">
        <v>5150</v>
      </c>
      <c r="C2278" s="0" t="n">
        <v>0.55</v>
      </c>
    </row>
    <row r="2279" customFormat="false" ht="15" hidden="false" customHeight="false" outlineLevel="0" collapsed="false">
      <c r="A2279" s="0" t="s">
        <v>5151</v>
      </c>
      <c r="B2279" s="0" t="s">
        <v>527</v>
      </c>
      <c r="C2279" s="0" t="n">
        <v>1.65</v>
      </c>
    </row>
    <row r="2280" customFormat="false" ht="15" hidden="false" customHeight="false" outlineLevel="0" collapsed="false">
      <c r="A2280" s="0" t="s">
        <v>5152</v>
      </c>
      <c r="B2280" s="0" t="s">
        <v>5153</v>
      </c>
      <c r="C2280" s="0" t="n">
        <v>1.65</v>
      </c>
    </row>
    <row r="2281" customFormat="false" ht="15" hidden="false" customHeight="false" outlineLevel="0" collapsed="false">
      <c r="A2281" s="0" t="s">
        <v>5154</v>
      </c>
      <c r="B2281" s="0" t="s">
        <v>5155</v>
      </c>
      <c r="C2281" s="0" t="n">
        <v>2.1</v>
      </c>
    </row>
    <row r="2282" customFormat="false" ht="15" hidden="false" customHeight="false" outlineLevel="0" collapsed="false">
      <c r="A2282" s="0" t="s">
        <v>5156</v>
      </c>
      <c r="B2282" s="0" t="s">
        <v>5157</v>
      </c>
      <c r="C2282" s="0" t="n">
        <v>8.47</v>
      </c>
    </row>
    <row r="2283" customFormat="false" ht="15" hidden="false" customHeight="false" outlineLevel="0" collapsed="false">
      <c r="A2283" s="0" t="s">
        <v>5158</v>
      </c>
      <c r="B2283" s="0" t="s">
        <v>5159</v>
      </c>
      <c r="C2283" s="0" t="n">
        <v>5.45</v>
      </c>
    </row>
    <row r="2284" customFormat="false" ht="15" hidden="false" customHeight="false" outlineLevel="0" collapsed="false">
      <c r="A2284" s="0" t="s">
        <v>5160</v>
      </c>
      <c r="B2284" s="0" t="s">
        <v>5161</v>
      </c>
      <c r="C2284" s="0" t="n">
        <v>3.5</v>
      </c>
    </row>
    <row r="2285" customFormat="false" ht="15" hidden="false" customHeight="false" outlineLevel="0" collapsed="false">
      <c r="A2285" s="0" t="s">
        <v>5162</v>
      </c>
      <c r="B2285" s="0" t="s">
        <v>5163</v>
      </c>
      <c r="C2285" s="0" t="n">
        <v>3.5</v>
      </c>
    </row>
    <row r="2286" customFormat="false" ht="15" hidden="false" customHeight="false" outlineLevel="0" collapsed="false">
      <c r="A2286" s="0" t="s">
        <v>5164</v>
      </c>
      <c r="B2286" s="0" t="s">
        <v>5165</v>
      </c>
      <c r="C2286" s="0" t="n">
        <v>3.5</v>
      </c>
    </row>
    <row r="2287" customFormat="false" ht="15" hidden="false" customHeight="false" outlineLevel="0" collapsed="false">
      <c r="A2287" s="0" t="s">
        <v>5166</v>
      </c>
      <c r="B2287" s="0" t="s">
        <v>5167</v>
      </c>
      <c r="C2287" s="0" t="n">
        <v>4.24</v>
      </c>
    </row>
    <row r="2288" customFormat="false" ht="15" hidden="false" customHeight="false" outlineLevel="0" collapsed="false">
      <c r="A2288" s="0" t="s">
        <v>5168</v>
      </c>
      <c r="B2288" s="0" t="s">
        <v>5169</v>
      </c>
      <c r="C2288" s="0" t="n">
        <v>2.95</v>
      </c>
    </row>
    <row r="2289" customFormat="false" ht="15" hidden="false" customHeight="false" outlineLevel="0" collapsed="false">
      <c r="A2289" s="0" t="s">
        <v>5170</v>
      </c>
      <c r="B2289" s="0" t="s">
        <v>5171</v>
      </c>
      <c r="C2289" s="0" t="n">
        <v>0.42</v>
      </c>
    </row>
    <row r="2290" customFormat="false" ht="15" hidden="false" customHeight="false" outlineLevel="0" collapsed="false">
      <c r="A2290" s="0" t="s">
        <v>5172</v>
      </c>
      <c r="B2290" s="0" t="s">
        <v>5173</v>
      </c>
      <c r="C2290" s="0" t="n">
        <v>0.3</v>
      </c>
    </row>
    <row r="2291" customFormat="false" ht="15" hidden="false" customHeight="false" outlineLevel="0" collapsed="false">
      <c r="A2291" s="0" t="s">
        <v>5174</v>
      </c>
      <c r="B2291" s="0" t="s">
        <v>5175</v>
      </c>
      <c r="C2291" s="0" t="n">
        <v>4.25</v>
      </c>
    </row>
    <row r="2292" customFormat="false" ht="15" hidden="false" customHeight="false" outlineLevel="0" collapsed="false">
      <c r="A2292" s="0" t="s">
        <v>5176</v>
      </c>
      <c r="B2292" s="0" t="s">
        <v>5177</v>
      </c>
      <c r="C2292" s="0" t="n">
        <v>3.25</v>
      </c>
    </row>
    <row r="2293" customFormat="false" ht="15" hidden="false" customHeight="false" outlineLevel="0" collapsed="false">
      <c r="A2293" s="0" t="s">
        <v>5178</v>
      </c>
      <c r="B2293" s="0" t="s">
        <v>5179</v>
      </c>
      <c r="C2293" s="0" t="n">
        <v>5.95</v>
      </c>
    </row>
    <row r="2294" customFormat="false" ht="15" hidden="false" customHeight="false" outlineLevel="0" collapsed="false">
      <c r="A2294" s="0" t="s">
        <v>5180</v>
      </c>
      <c r="B2294" s="0" t="s">
        <v>514</v>
      </c>
      <c r="C2294" s="0" t="n">
        <v>4.95</v>
      </c>
    </row>
    <row r="2295" customFormat="false" ht="15" hidden="false" customHeight="false" outlineLevel="0" collapsed="false">
      <c r="A2295" s="0" t="s">
        <v>5181</v>
      </c>
      <c r="B2295" s="0" t="s">
        <v>639</v>
      </c>
      <c r="C2295" s="0" t="n">
        <v>2.95</v>
      </c>
    </row>
    <row r="2296" customFormat="false" ht="15" hidden="false" customHeight="false" outlineLevel="0" collapsed="false">
      <c r="A2296" s="0" t="s">
        <v>5182</v>
      </c>
      <c r="B2296" s="0" t="s">
        <v>641</v>
      </c>
      <c r="C2296" s="0" t="n">
        <v>1.65</v>
      </c>
    </row>
    <row r="2297" customFormat="false" ht="15" hidden="false" customHeight="false" outlineLevel="0" collapsed="false">
      <c r="A2297" s="0" t="s">
        <v>5183</v>
      </c>
      <c r="B2297" s="0" t="s">
        <v>5184</v>
      </c>
      <c r="C2297" s="0" t="n">
        <v>8.65</v>
      </c>
    </row>
    <row r="2298" customFormat="false" ht="15" hidden="false" customHeight="false" outlineLevel="0" collapsed="false">
      <c r="A2298" s="0" t="s">
        <v>5185</v>
      </c>
      <c r="B2298" s="0" t="s">
        <v>5186</v>
      </c>
      <c r="C2298" s="0" t="n">
        <v>2.55</v>
      </c>
    </row>
    <row r="2299" customFormat="false" ht="15" hidden="false" customHeight="false" outlineLevel="0" collapsed="false">
      <c r="A2299" s="0" t="s">
        <v>5187</v>
      </c>
      <c r="B2299" s="0" t="s">
        <v>5188</v>
      </c>
      <c r="C2299" s="0" t="n">
        <v>2.55</v>
      </c>
    </row>
    <row r="2300" customFormat="false" ht="15" hidden="false" customHeight="false" outlineLevel="0" collapsed="false">
      <c r="A2300" s="0" t="s">
        <v>5189</v>
      </c>
      <c r="B2300" s="0" t="s">
        <v>5190</v>
      </c>
      <c r="C2300" s="0" t="n">
        <v>5.06</v>
      </c>
    </row>
    <row r="2301" customFormat="false" ht="15" hidden="false" customHeight="false" outlineLevel="0" collapsed="false">
      <c r="A2301" s="0" t="s">
        <v>5191</v>
      </c>
      <c r="B2301" s="0" t="s">
        <v>5192</v>
      </c>
      <c r="C2301" s="0" t="n">
        <v>2.51</v>
      </c>
    </row>
    <row r="2302" customFormat="false" ht="15" hidden="false" customHeight="false" outlineLevel="0" collapsed="false">
      <c r="A2302" s="0" t="s">
        <v>5193</v>
      </c>
      <c r="B2302" s="0" t="s">
        <v>5194</v>
      </c>
      <c r="C2302" s="0" t="n">
        <v>2.55</v>
      </c>
    </row>
    <row r="2303" customFormat="false" ht="15" hidden="false" customHeight="false" outlineLevel="0" collapsed="false">
      <c r="A2303" s="0" t="s">
        <v>5195</v>
      </c>
      <c r="B2303" s="0" t="s">
        <v>5196</v>
      </c>
      <c r="C2303" s="0" t="n">
        <v>2.55</v>
      </c>
    </row>
    <row r="2304" customFormat="false" ht="15" hidden="false" customHeight="false" outlineLevel="0" collapsed="false">
      <c r="A2304" s="0" t="s">
        <v>5197</v>
      </c>
      <c r="B2304" s="0" t="s">
        <v>5198</v>
      </c>
      <c r="C2304" s="0" t="n">
        <v>8.5</v>
      </c>
    </row>
    <row r="2305" customFormat="false" ht="15" hidden="false" customHeight="false" outlineLevel="0" collapsed="false">
      <c r="A2305" s="0" t="s">
        <v>5199</v>
      </c>
      <c r="B2305" s="0" t="s">
        <v>5200</v>
      </c>
      <c r="C2305" s="0" t="n">
        <v>8.49</v>
      </c>
    </row>
    <row r="2306" customFormat="false" ht="15" hidden="false" customHeight="false" outlineLevel="0" collapsed="false">
      <c r="A2306" s="0" t="s">
        <v>5201</v>
      </c>
      <c r="B2306" s="0" t="s">
        <v>5202</v>
      </c>
      <c r="C2306" s="0" t="n">
        <v>8.5</v>
      </c>
    </row>
    <row r="2307" customFormat="false" ht="15" hidden="false" customHeight="false" outlineLevel="0" collapsed="false">
      <c r="A2307" s="0" t="s">
        <v>5203</v>
      </c>
      <c r="B2307" s="0" t="s">
        <v>5204</v>
      </c>
      <c r="C2307" s="0" t="n">
        <v>8.5</v>
      </c>
    </row>
    <row r="2308" customFormat="false" ht="15" hidden="false" customHeight="false" outlineLevel="0" collapsed="false">
      <c r="A2308" s="0" t="s">
        <v>5205</v>
      </c>
      <c r="B2308" s="0" t="s">
        <v>5206</v>
      </c>
      <c r="C2308" s="0" t="n">
        <v>8.5</v>
      </c>
    </row>
    <row r="2309" customFormat="false" ht="15" hidden="false" customHeight="false" outlineLevel="0" collapsed="false">
      <c r="A2309" s="0" t="s">
        <v>5207</v>
      </c>
      <c r="B2309" s="0" t="s">
        <v>5208</v>
      </c>
      <c r="C2309" s="0" t="n">
        <v>8.49</v>
      </c>
    </row>
    <row r="2310" customFormat="false" ht="15" hidden="false" customHeight="false" outlineLevel="0" collapsed="false">
      <c r="A2310" s="0" t="s">
        <v>5209</v>
      </c>
      <c r="B2310" s="0" t="s">
        <v>5210</v>
      </c>
      <c r="C2310" s="0" t="n">
        <v>12.75</v>
      </c>
    </row>
    <row r="2311" customFormat="false" ht="15" hidden="false" customHeight="false" outlineLevel="0" collapsed="false">
      <c r="A2311" s="0" t="s">
        <v>5211</v>
      </c>
      <c r="B2311" s="0" t="s">
        <v>5212</v>
      </c>
      <c r="C2311" s="0" t="n">
        <v>8.5</v>
      </c>
    </row>
    <row r="2312" customFormat="false" ht="15" hidden="false" customHeight="false" outlineLevel="0" collapsed="false">
      <c r="A2312" s="0" t="s">
        <v>5213</v>
      </c>
      <c r="B2312" s="0" t="s">
        <v>5214</v>
      </c>
      <c r="C2312" s="0" t="n">
        <v>2.95</v>
      </c>
    </row>
    <row r="2313" customFormat="false" ht="15" hidden="false" customHeight="false" outlineLevel="0" collapsed="false">
      <c r="A2313" s="0" t="s">
        <v>5215</v>
      </c>
      <c r="B2313" s="0" t="s">
        <v>5216</v>
      </c>
      <c r="C2313" s="0" t="n">
        <v>7.95</v>
      </c>
    </row>
    <row r="2314" customFormat="false" ht="15" hidden="false" customHeight="false" outlineLevel="0" collapsed="false">
      <c r="A2314" s="0" t="s">
        <v>5217</v>
      </c>
      <c r="B2314" s="0" t="s">
        <v>5218</v>
      </c>
      <c r="C2314" s="0" t="n">
        <v>8.49</v>
      </c>
    </row>
    <row r="2315" customFormat="false" ht="15" hidden="false" customHeight="false" outlineLevel="0" collapsed="false">
      <c r="A2315" s="0" t="s">
        <v>5219</v>
      </c>
      <c r="B2315" s="0" t="s">
        <v>5220</v>
      </c>
      <c r="C2315" s="0" t="n">
        <v>8.5</v>
      </c>
    </row>
    <row r="2316" customFormat="false" ht="15" hidden="false" customHeight="false" outlineLevel="0" collapsed="false">
      <c r="A2316" s="0" t="s">
        <v>5221</v>
      </c>
      <c r="B2316" s="0" t="s">
        <v>5222</v>
      </c>
      <c r="C2316" s="0" t="n">
        <v>12.75</v>
      </c>
    </row>
    <row r="2317" customFormat="false" ht="15" hidden="false" customHeight="false" outlineLevel="0" collapsed="false">
      <c r="A2317" s="0" t="s">
        <v>5223</v>
      </c>
      <c r="B2317" s="0" t="s">
        <v>5224</v>
      </c>
      <c r="C2317" s="0" t="n">
        <v>2.55</v>
      </c>
    </row>
    <row r="2318" customFormat="false" ht="15" hidden="false" customHeight="false" outlineLevel="0" collapsed="false">
      <c r="A2318" s="0" t="s">
        <v>5225</v>
      </c>
      <c r="B2318" s="0" t="s">
        <v>5226</v>
      </c>
      <c r="C2318" s="0" t="n">
        <v>0.55</v>
      </c>
    </row>
    <row r="2319" customFormat="false" ht="15" hidden="false" customHeight="false" outlineLevel="0" collapsed="false">
      <c r="A2319" s="0" t="s">
        <v>5227</v>
      </c>
      <c r="B2319" s="0" t="s">
        <v>5228</v>
      </c>
      <c r="C2319" s="0" t="n">
        <v>5.95</v>
      </c>
    </row>
    <row r="2320" customFormat="false" ht="15" hidden="false" customHeight="false" outlineLevel="0" collapsed="false">
      <c r="A2320" s="0" t="s">
        <v>5229</v>
      </c>
      <c r="B2320" s="0" t="s">
        <v>5230</v>
      </c>
      <c r="C2320" s="0" t="n">
        <v>2.55</v>
      </c>
    </row>
    <row r="2321" customFormat="false" ht="15" hidden="false" customHeight="false" outlineLevel="0" collapsed="false">
      <c r="A2321" s="0" t="s">
        <v>5231</v>
      </c>
      <c r="B2321" s="0" t="s">
        <v>5232</v>
      </c>
      <c r="C2321" s="0" t="n">
        <v>1.66</v>
      </c>
    </row>
    <row r="2322" customFormat="false" ht="15" hidden="false" customHeight="false" outlineLevel="0" collapsed="false">
      <c r="A2322" s="0" t="s">
        <v>5233</v>
      </c>
      <c r="B2322" s="0" t="s">
        <v>5234</v>
      </c>
      <c r="C2322" s="0" t="n">
        <v>14.95</v>
      </c>
    </row>
    <row r="2323" customFormat="false" ht="15" hidden="false" customHeight="false" outlineLevel="0" collapsed="false">
      <c r="A2323" s="0" t="s">
        <v>5235</v>
      </c>
      <c r="B2323" s="0" t="s">
        <v>5236</v>
      </c>
      <c r="C2323" s="0" t="n">
        <v>1.65</v>
      </c>
    </row>
    <row r="2324" customFormat="false" ht="15" hidden="false" customHeight="false" outlineLevel="0" collapsed="false">
      <c r="A2324" s="0" t="s">
        <v>5237</v>
      </c>
      <c r="B2324" s="0" t="s">
        <v>5238</v>
      </c>
      <c r="C2324" s="0" t="n">
        <v>1.25</v>
      </c>
    </row>
    <row r="2325" customFormat="false" ht="15" hidden="false" customHeight="false" outlineLevel="0" collapsed="false">
      <c r="A2325" s="0" t="s">
        <v>5239</v>
      </c>
      <c r="B2325" s="0" t="s">
        <v>5240</v>
      </c>
      <c r="C2325" s="0" t="n">
        <v>1.25</v>
      </c>
    </row>
    <row r="2326" customFormat="false" ht="15" hidden="false" customHeight="false" outlineLevel="0" collapsed="false">
      <c r="A2326" s="0" t="s">
        <v>5241</v>
      </c>
      <c r="B2326" s="0" t="s">
        <v>5242</v>
      </c>
      <c r="C2326" s="0" t="n">
        <v>1.25</v>
      </c>
    </row>
    <row r="2327" customFormat="false" ht="15" hidden="false" customHeight="false" outlineLevel="0" collapsed="false">
      <c r="A2327" s="0" t="s">
        <v>5243</v>
      </c>
      <c r="B2327" s="0" t="s">
        <v>205</v>
      </c>
      <c r="C2327" s="0" t="n">
        <v>2.1</v>
      </c>
    </row>
    <row r="2328" customFormat="false" ht="15" hidden="false" customHeight="false" outlineLevel="0" collapsed="false">
      <c r="A2328" s="0" t="s">
        <v>5244</v>
      </c>
      <c r="B2328" s="0" t="s">
        <v>5245</v>
      </c>
      <c r="C2328" s="0" t="n">
        <v>1.65</v>
      </c>
    </row>
    <row r="2329" customFormat="false" ht="15" hidden="false" customHeight="false" outlineLevel="0" collapsed="false">
      <c r="A2329" s="0" t="s">
        <v>5246</v>
      </c>
      <c r="B2329" s="0" t="s">
        <v>5247</v>
      </c>
      <c r="C2329" s="0" t="n">
        <v>5.95</v>
      </c>
    </row>
    <row r="2330" customFormat="false" ht="15" hidden="false" customHeight="false" outlineLevel="0" collapsed="false">
      <c r="A2330" s="0" t="s">
        <v>5248</v>
      </c>
      <c r="B2330" s="0" t="s">
        <v>5249</v>
      </c>
      <c r="C2330" s="0" t="n">
        <v>9.95</v>
      </c>
    </row>
    <row r="2331" customFormat="false" ht="15" hidden="false" customHeight="false" outlineLevel="0" collapsed="false">
      <c r="A2331" s="0" t="s">
        <v>5250</v>
      </c>
      <c r="B2331" s="0" t="s">
        <v>5251</v>
      </c>
      <c r="C2331" s="0" t="n">
        <v>1.95</v>
      </c>
    </row>
    <row r="2332" customFormat="false" ht="15" hidden="false" customHeight="false" outlineLevel="0" collapsed="false">
      <c r="A2332" s="0" t="s">
        <v>5252</v>
      </c>
      <c r="B2332" s="0" t="s">
        <v>5253</v>
      </c>
      <c r="C2332" s="0" t="n">
        <v>1.95</v>
      </c>
    </row>
    <row r="2333" customFormat="false" ht="15" hidden="false" customHeight="false" outlineLevel="0" collapsed="false">
      <c r="A2333" s="0" t="s">
        <v>5254</v>
      </c>
      <c r="B2333" s="0" t="s">
        <v>5255</v>
      </c>
      <c r="C2333" s="0" t="n">
        <v>4.21</v>
      </c>
    </row>
    <row r="2334" customFormat="false" ht="15" hidden="false" customHeight="false" outlineLevel="0" collapsed="false">
      <c r="A2334" s="0" t="s">
        <v>5256</v>
      </c>
      <c r="B2334" s="0" t="s">
        <v>5257</v>
      </c>
      <c r="C2334" s="0" t="n">
        <v>1.95</v>
      </c>
    </row>
    <row r="2335" customFormat="false" ht="15" hidden="false" customHeight="false" outlineLevel="0" collapsed="false">
      <c r="A2335" s="0" t="s">
        <v>5258</v>
      </c>
      <c r="B2335" s="0" t="s">
        <v>5259</v>
      </c>
      <c r="C2335" s="0" t="n">
        <v>1.95</v>
      </c>
    </row>
    <row r="2336" customFormat="false" ht="15" hidden="false" customHeight="false" outlineLevel="0" collapsed="false">
      <c r="A2336" s="0" t="s">
        <v>5260</v>
      </c>
      <c r="B2336" s="0" t="s">
        <v>5261</v>
      </c>
      <c r="C2336" s="0" t="n">
        <v>1.95</v>
      </c>
    </row>
    <row r="2337" customFormat="false" ht="15" hidden="false" customHeight="false" outlineLevel="0" collapsed="false">
      <c r="A2337" s="0" t="s">
        <v>5262</v>
      </c>
      <c r="B2337" s="0" t="s">
        <v>5263</v>
      </c>
      <c r="C2337" s="0" t="n">
        <v>1.95</v>
      </c>
    </row>
    <row r="2338" customFormat="false" ht="15" hidden="false" customHeight="false" outlineLevel="0" collapsed="false">
      <c r="A2338" s="0" t="s">
        <v>5264</v>
      </c>
      <c r="B2338" s="0" t="s">
        <v>5265</v>
      </c>
      <c r="C2338" s="0" t="n">
        <v>1.95</v>
      </c>
    </row>
    <row r="2339" customFormat="false" ht="15" hidden="false" customHeight="false" outlineLevel="0" collapsed="false">
      <c r="A2339" s="0" t="s">
        <v>5266</v>
      </c>
      <c r="B2339" s="0" t="s">
        <v>5267</v>
      </c>
      <c r="C2339" s="0" t="n">
        <v>4.21</v>
      </c>
    </row>
    <row r="2340" customFormat="false" ht="15" hidden="false" customHeight="false" outlineLevel="0" collapsed="false">
      <c r="A2340" s="0" t="s">
        <v>5268</v>
      </c>
      <c r="B2340" s="0" t="s">
        <v>5269</v>
      </c>
      <c r="C2340" s="0" t="n">
        <v>1.95</v>
      </c>
    </row>
    <row r="2341" customFormat="false" ht="15" hidden="false" customHeight="false" outlineLevel="0" collapsed="false">
      <c r="A2341" s="0" t="s">
        <v>5270</v>
      </c>
      <c r="B2341" s="0" t="s">
        <v>5271</v>
      </c>
      <c r="C2341" s="0" t="n">
        <v>1.95</v>
      </c>
    </row>
    <row r="2342" customFormat="false" ht="15" hidden="false" customHeight="false" outlineLevel="0" collapsed="false">
      <c r="A2342" s="0" t="s">
        <v>5272</v>
      </c>
      <c r="B2342" s="0" t="s">
        <v>5273</v>
      </c>
      <c r="C2342" s="0" t="n">
        <v>4.21</v>
      </c>
    </row>
    <row r="2343" customFormat="false" ht="15" hidden="false" customHeight="false" outlineLevel="0" collapsed="false">
      <c r="A2343" s="0" t="s">
        <v>5274</v>
      </c>
      <c r="B2343" s="0" t="s">
        <v>5275</v>
      </c>
      <c r="C2343" s="0" t="n">
        <v>1.95</v>
      </c>
    </row>
    <row r="2344" customFormat="false" ht="15" hidden="false" customHeight="false" outlineLevel="0" collapsed="false">
      <c r="A2344" s="0" t="s">
        <v>5276</v>
      </c>
      <c r="B2344" s="0" t="s">
        <v>5277</v>
      </c>
      <c r="C2344" s="0" t="n">
        <v>1.95</v>
      </c>
    </row>
    <row r="2345" customFormat="false" ht="15" hidden="false" customHeight="false" outlineLevel="0" collapsed="false">
      <c r="A2345" s="0" t="s">
        <v>5278</v>
      </c>
      <c r="B2345" s="0" t="s">
        <v>5279</v>
      </c>
      <c r="C2345" s="0" t="n">
        <v>1.95</v>
      </c>
    </row>
    <row r="2346" customFormat="false" ht="15" hidden="false" customHeight="false" outlineLevel="0" collapsed="false">
      <c r="A2346" s="0" t="s">
        <v>5280</v>
      </c>
      <c r="B2346" s="0" t="s">
        <v>5281</v>
      </c>
      <c r="C2346" s="0" t="n">
        <v>4.21</v>
      </c>
    </row>
    <row r="2347" customFormat="false" ht="15" hidden="false" customHeight="false" outlineLevel="0" collapsed="false">
      <c r="A2347" s="0" t="s">
        <v>5282</v>
      </c>
      <c r="B2347" s="0" t="s">
        <v>5283</v>
      </c>
      <c r="C2347" s="0" t="n">
        <v>1.95</v>
      </c>
    </row>
    <row r="2348" customFormat="false" ht="15" hidden="false" customHeight="false" outlineLevel="0" collapsed="false">
      <c r="A2348" s="0" t="s">
        <v>5284</v>
      </c>
      <c r="B2348" s="0" t="s">
        <v>5285</v>
      </c>
      <c r="C2348" s="0" t="n">
        <v>1.95</v>
      </c>
    </row>
    <row r="2349" customFormat="false" ht="15" hidden="false" customHeight="false" outlineLevel="0" collapsed="false">
      <c r="A2349" s="0" t="s">
        <v>5286</v>
      </c>
      <c r="B2349" s="0" t="s">
        <v>5287</v>
      </c>
      <c r="C2349" s="0" t="n">
        <v>4.21</v>
      </c>
    </row>
    <row r="2350" customFormat="false" ht="15" hidden="false" customHeight="false" outlineLevel="0" collapsed="false">
      <c r="A2350" s="0" t="s">
        <v>5288</v>
      </c>
      <c r="B2350" s="0" t="s">
        <v>5289</v>
      </c>
      <c r="C2350" s="0" t="n">
        <v>1.95</v>
      </c>
    </row>
    <row r="2351" customFormat="false" ht="15" hidden="false" customHeight="false" outlineLevel="0" collapsed="false">
      <c r="A2351" s="0" t="s">
        <v>5290</v>
      </c>
      <c r="B2351" s="0" t="s">
        <v>5291</v>
      </c>
      <c r="C2351" s="0" t="n">
        <v>1.95</v>
      </c>
    </row>
    <row r="2352" customFormat="false" ht="15" hidden="false" customHeight="false" outlineLevel="0" collapsed="false">
      <c r="A2352" s="0" t="s">
        <v>5292</v>
      </c>
      <c r="B2352" s="0" t="s">
        <v>5293</v>
      </c>
      <c r="C2352" s="0" t="n">
        <v>2.1</v>
      </c>
    </row>
    <row r="2353" customFormat="false" ht="15" hidden="false" customHeight="false" outlineLevel="0" collapsed="false">
      <c r="A2353" s="0" t="s">
        <v>5294</v>
      </c>
      <c r="B2353" s="0" t="s">
        <v>5295</v>
      </c>
      <c r="C2353" s="0" t="n">
        <v>8.95</v>
      </c>
    </row>
    <row r="2354" customFormat="false" ht="15" hidden="false" customHeight="false" outlineLevel="0" collapsed="false">
      <c r="A2354" s="0" t="s">
        <v>5296</v>
      </c>
      <c r="B2354" s="0" t="s">
        <v>329</v>
      </c>
      <c r="C2354" s="0" t="n">
        <v>6.75</v>
      </c>
    </row>
    <row r="2355" customFormat="false" ht="15" hidden="false" customHeight="false" outlineLevel="0" collapsed="false">
      <c r="A2355" s="0" t="s">
        <v>5297</v>
      </c>
      <c r="B2355" s="0" t="s">
        <v>5298</v>
      </c>
      <c r="C2355" s="0" t="n">
        <v>0.55</v>
      </c>
    </row>
    <row r="2356" customFormat="false" ht="15" hidden="false" customHeight="false" outlineLevel="0" collapsed="false">
      <c r="A2356" s="0" t="s">
        <v>5299</v>
      </c>
      <c r="B2356" s="0" t="s">
        <v>5300</v>
      </c>
      <c r="C2356" s="0" t="n">
        <v>4.25</v>
      </c>
    </row>
    <row r="2357" customFormat="false" ht="15" hidden="false" customHeight="false" outlineLevel="0" collapsed="false">
      <c r="A2357" s="0" t="s">
        <v>5301</v>
      </c>
      <c r="B2357" s="0" t="s">
        <v>5302</v>
      </c>
      <c r="C2357" s="0" t="n">
        <v>4.25</v>
      </c>
    </row>
    <row r="2358" customFormat="false" ht="15" hidden="false" customHeight="false" outlineLevel="0" collapsed="false">
      <c r="A2358" s="0" t="s">
        <v>5303</v>
      </c>
      <c r="B2358" s="0" t="s">
        <v>5304</v>
      </c>
      <c r="C2358" s="0" t="n">
        <v>7.95</v>
      </c>
    </row>
    <row r="2359" customFormat="false" ht="15" hidden="false" customHeight="false" outlineLevel="0" collapsed="false">
      <c r="A2359" s="0" t="s">
        <v>5305</v>
      </c>
      <c r="B2359" s="0" t="s">
        <v>143</v>
      </c>
      <c r="C2359" s="0" t="n">
        <v>2.95</v>
      </c>
    </row>
    <row r="2360" customFormat="false" ht="15" hidden="false" customHeight="false" outlineLevel="0" collapsed="false">
      <c r="A2360" s="0" t="s">
        <v>5306</v>
      </c>
      <c r="B2360" s="0" t="s">
        <v>5307</v>
      </c>
      <c r="C2360" s="0" t="n">
        <v>4.95</v>
      </c>
    </row>
    <row r="2361" customFormat="false" ht="15" hidden="false" customHeight="false" outlineLevel="0" collapsed="false">
      <c r="A2361" s="0" t="s">
        <v>5308</v>
      </c>
      <c r="B2361" s="0" t="s">
        <v>5309</v>
      </c>
      <c r="C2361" s="0" t="n">
        <v>2.95</v>
      </c>
    </row>
    <row r="2362" customFormat="false" ht="15" hidden="false" customHeight="false" outlineLevel="0" collapsed="false">
      <c r="A2362" s="0" t="s">
        <v>5310</v>
      </c>
      <c r="B2362" s="0" t="s">
        <v>142</v>
      </c>
      <c r="C2362" s="0" t="n">
        <v>2.95</v>
      </c>
    </row>
    <row r="2363" customFormat="false" ht="15" hidden="false" customHeight="false" outlineLevel="0" collapsed="false">
      <c r="A2363" s="0" t="s">
        <v>5311</v>
      </c>
      <c r="B2363" s="0" t="s">
        <v>5312</v>
      </c>
      <c r="C2363" s="0" t="n">
        <v>2.1</v>
      </c>
    </row>
    <row r="2364" customFormat="false" ht="15" hidden="false" customHeight="false" outlineLevel="0" collapsed="false">
      <c r="A2364" s="0" t="s">
        <v>5313</v>
      </c>
      <c r="B2364" s="0" t="s">
        <v>5314</v>
      </c>
      <c r="C2364" s="0" t="n">
        <v>2.96</v>
      </c>
    </row>
    <row r="2365" customFormat="false" ht="15" hidden="false" customHeight="false" outlineLevel="0" collapsed="false">
      <c r="A2365" s="0" t="s">
        <v>5315</v>
      </c>
      <c r="B2365" s="0" t="s">
        <v>5316</v>
      </c>
      <c r="C2365" s="0" t="n">
        <v>3.75</v>
      </c>
    </row>
    <row r="2366" customFormat="false" ht="15" hidden="false" customHeight="false" outlineLevel="0" collapsed="false">
      <c r="A2366" s="0" t="s">
        <v>5317</v>
      </c>
      <c r="B2366" s="0" t="s">
        <v>5318</v>
      </c>
      <c r="C2366" s="0" t="n">
        <v>16.13</v>
      </c>
    </row>
    <row r="2367" customFormat="false" ht="15" hidden="false" customHeight="false" outlineLevel="0" collapsed="false">
      <c r="A2367" s="0" t="s">
        <v>5319</v>
      </c>
      <c r="B2367" s="0" t="s">
        <v>5320</v>
      </c>
      <c r="C2367" s="0" t="n">
        <v>5.95</v>
      </c>
    </row>
    <row r="2368" customFormat="false" ht="15" hidden="false" customHeight="false" outlineLevel="0" collapsed="false">
      <c r="A2368" s="0" t="s">
        <v>5321</v>
      </c>
      <c r="B2368" s="0" t="s">
        <v>198</v>
      </c>
      <c r="C2368" s="0" t="n">
        <v>4.95</v>
      </c>
    </row>
    <row r="2369" customFormat="false" ht="15" hidden="false" customHeight="false" outlineLevel="0" collapsed="false">
      <c r="A2369" s="0" t="s">
        <v>5322</v>
      </c>
      <c r="B2369" s="0" t="s">
        <v>5323</v>
      </c>
      <c r="C2369" s="0" t="n">
        <v>0.29</v>
      </c>
    </row>
    <row r="2370" customFormat="false" ht="15" hidden="false" customHeight="false" outlineLevel="0" collapsed="false">
      <c r="A2370" s="0" t="s">
        <v>5324</v>
      </c>
      <c r="B2370" s="0" t="s">
        <v>5325</v>
      </c>
      <c r="C2370" s="0" t="n">
        <v>2.1</v>
      </c>
    </row>
    <row r="2371" customFormat="false" ht="15" hidden="false" customHeight="false" outlineLevel="0" collapsed="false">
      <c r="A2371" s="0" t="s">
        <v>5326</v>
      </c>
      <c r="B2371" s="0" t="s">
        <v>5327</v>
      </c>
      <c r="C2371" s="0" t="n">
        <v>2.1</v>
      </c>
    </row>
    <row r="2372" customFormat="false" ht="15" hidden="false" customHeight="false" outlineLevel="0" collapsed="false">
      <c r="A2372" s="0" t="s">
        <v>5328</v>
      </c>
      <c r="B2372" s="0" t="s">
        <v>5329</v>
      </c>
      <c r="C2372" s="0" t="n">
        <v>0.85</v>
      </c>
    </row>
    <row r="2373" customFormat="false" ht="15" hidden="false" customHeight="false" outlineLevel="0" collapsed="false">
      <c r="A2373" s="0" t="s">
        <v>5330</v>
      </c>
      <c r="B2373" s="0" t="s">
        <v>5331</v>
      </c>
      <c r="C2373" s="0" t="n">
        <v>2.1</v>
      </c>
    </row>
    <row r="2374" customFormat="false" ht="15" hidden="false" customHeight="false" outlineLevel="0" collapsed="false">
      <c r="A2374" s="0" t="s">
        <v>5332</v>
      </c>
      <c r="B2374" s="0" t="s">
        <v>5333</v>
      </c>
      <c r="C2374" s="0" t="n">
        <v>1.25</v>
      </c>
    </row>
    <row r="2375" customFormat="false" ht="15" hidden="false" customHeight="false" outlineLevel="0" collapsed="false">
      <c r="A2375" s="0" t="s">
        <v>5334</v>
      </c>
      <c r="B2375" s="0" t="s">
        <v>5335</v>
      </c>
      <c r="C2375" s="0" t="n">
        <v>1.25</v>
      </c>
    </row>
    <row r="2376" customFormat="false" ht="15" hidden="false" customHeight="false" outlineLevel="0" collapsed="false">
      <c r="A2376" s="0" t="s">
        <v>5336</v>
      </c>
      <c r="B2376" s="0" t="s">
        <v>5337</v>
      </c>
      <c r="C2376" s="0" t="n">
        <v>4.95</v>
      </c>
    </row>
    <row r="2377" customFormat="false" ht="15" hidden="false" customHeight="false" outlineLevel="0" collapsed="false">
      <c r="A2377" s="0" t="s">
        <v>5338</v>
      </c>
      <c r="B2377" s="0" t="s">
        <v>5339</v>
      </c>
      <c r="C2377" s="0" t="n">
        <v>0.85</v>
      </c>
    </row>
    <row r="2378" customFormat="false" ht="15" hidden="false" customHeight="false" outlineLevel="0" collapsed="false">
      <c r="A2378" s="0" t="s">
        <v>5340</v>
      </c>
      <c r="B2378" s="0" t="s">
        <v>5341</v>
      </c>
      <c r="C2378" s="0" t="n">
        <v>4.25</v>
      </c>
    </row>
    <row r="2379" customFormat="false" ht="15" hidden="false" customHeight="false" outlineLevel="0" collapsed="false">
      <c r="A2379" s="0" t="s">
        <v>5342</v>
      </c>
      <c r="B2379" s="0" t="s">
        <v>5343</v>
      </c>
      <c r="C2379" s="0" t="n">
        <v>0.29</v>
      </c>
    </row>
    <row r="2380" customFormat="false" ht="15" hidden="false" customHeight="false" outlineLevel="0" collapsed="false">
      <c r="A2380" s="0" t="s">
        <v>5344</v>
      </c>
      <c r="B2380" s="0" t="s">
        <v>5345</v>
      </c>
      <c r="C2380" s="0" t="n">
        <v>4.95</v>
      </c>
    </row>
    <row r="2381" customFormat="false" ht="15" hidden="false" customHeight="false" outlineLevel="0" collapsed="false">
      <c r="A2381" s="0" t="s">
        <v>5346</v>
      </c>
      <c r="B2381" s="0" t="s">
        <v>5347</v>
      </c>
      <c r="C2381" s="0" t="n">
        <v>5.09</v>
      </c>
    </row>
    <row r="2382" customFormat="false" ht="15" hidden="false" customHeight="false" outlineLevel="0" collapsed="false">
      <c r="A2382" s="0" t="s">
        <v>5348</v>
      </c>
      <c r="B2382" s="0" t="s">
        <v>5349</v>
      </c>
      <c r="C2382" s="0" t="n">
        <v>8.5</v>
      </c>
    </row>
    <row r="2383" customFormat="false" ht="15" hidden="false" customHeight="false" outlineLevel="0" collapsed="false">
      <c r="A2383" s="0" t="s">
        <v>5350</v>
      </c>
      <c r="B2383" s="0" t="s">
        <v>5351</v>
      </c>
      <c r="C2383" s="0" t="n">
        <v>4.65</v>
      </c>
    </row>
    <row r="2384" customFormat="false" ht="15" hidden="false" customHeight="false" outlineLevel="0" collapsed="false">
      <c r="A2384" s="0" t="s">
        <v>5352</v>
      </c>
      <c r="B2384" s="0" t="s">
        <v>5353</v>
      </c>
      <c r="C2384" s="0" t="n">
        <v>4.65</v>
      </c>
    </row>
    <row r="2385" customFormat="false" ht="15" hidden="false" customHeight="false" outlineLevel="0" collapsed="false">
      <c r="A2385" s="0" t="s">
        <v>5354</v>
      </c>
      <c r="B2385" s="0" t="s">
        <v>5355</v>
      </c>
      <c r="C2385" s="0" t="n">
        <v>0.42</v>
      </c>
    </row>
    <row r="2386" customFormat="false" ht="15" hidden="false" customHeight="false" outlineLevel="0" collapsed="false">
      <c r="A2386" s="0" t="s">
        <v>5356</v>
      </c>
      <c r="B2386" s="0" t="s">
        <v>5357</v>
      </c>
      <c r="C2386" s="0" t="n">
        <v>0.3</v>
      </c>
    </row>
    <row r="2387" customFormat="false" ht="15" hidden="false" customHeight="false" outlineLevel="0" collapsed="false">
      <c r="A2387" s="0" t="s">
        <v>5358</v>
      </c>
      <c r="B2387" s="0" t="s">
        <v>5359</v>
      </c>
      <c r="C2387" s="0" t="n">
        <v>2.51</v>
      </c>
    </row>
    <row r="2388" customFormat="false" ht="15" hidden="false" customHeight="false" outlineLevel="0" collapsed="false">
      <c r="A2388" s="0" t="s">
        <v>5360</v>
      </c>
      <c r="B2388" s="0" t="s">
        <v>5361</v>
      </c>
      <c r="C2388" s="0" t="n">
        <v>0.42</v>
      </c>
    </row>
    <row r="2389" customFormat="false" ht="15" hidden="false" customHeight="false" outlineLevel="0" collapsed="false">
      <c r="A2389" s="0" t="s">
        <v>5362</v>
      </c>
      <c r="B2389" s="0" t="s">
        <v>5363</v>
      </c>
      <c r="C2389" s="0" t="n">
        <v>0.42</v>
      </c>
    </row>
    <row r="2390" customFormat="false" ht="15" hidden="false" customHeight="false" outlineLevel="0" collapsed="false">
      <c r="A2390" s="0" t="s">
        <v>5364</v>
      </c>
      <c r="B2390" s="0" t="s">
        <v>5365</v>
      </c>
      <c r="C2390" s="0" t="n">
        <v>0.65</v>
      </c>
    </row>
    <row r="2391" customFormat="false" ht="15" hidden="false" customHeight="false" outlineLevel="0" collapsed="false">
      <c r="A2391" s="0" t="s">
        <v>5366</v>
      </c>
      <c r="B2391" s="0" t="s">
        <v>5367</v>
      </c>
      <c r="C2391" s="0" t="n">
        <v>2.51</v>
      </c>
    </row>
    <row r="2392" customFormat="false" ht="15" hidden="false" customHeight="false" outlineLevel="0" collapsed="false">
      <c r="A2392" s="0" t="s">
        <v>5368</v>
      </c>
      <c r="B2392" s="0" t="s">
        <v>5369</v>
      </c>
      <c r="C2392" s="0" t="n">
        <v>1.65</v>
      </c>
    </row>
    <row r="2393" customFormat="false" ht="15" hidden="false" customHeight="false" outlineLevel="0" collapsed="false">
      <c r="A2393" s="0" t="s">
        <v>5370</v>
      </c>
      <c r="B2393" s="0" t="s">
        <v>5371</v>
      </c>
      <c r="C2393" s="0" t="n">
        <v>2.51</v>
      </c>
    </row>
    <row r="2394" customFormat="false" ht="15" hidden="false" customHeight="false" outlineLevel="0" collapsed="false">
      <c r="A2394" s="0" t="s">
        <v>5372</v>
      </c>
      <c r="B2394" s="0" t="s">
        <v>5373</v>
      </c>
      <c r="C2394" s="0" t="n">
        <v>0.65</v>
      </c>
    </row>
    <row r="2395" customFormat="false" ht="15" hidden="false" customHeight="false" outlineLevel="0" collapsed="false">
      <c r="A2395" s="0" t="s">
        <v>5374</v>
      </c>
      <c r="B2395" s="0" t="s">
        <v>5375</v>
      </c>
      <c r="C2395" s="0" t="n">
        <v>1.65</v>
      </c>
    </row>
    <row r="2396" customFormat="false" ht="15" hidden="false" customHeight="false" outlineLevel="0" collapsed="false">
      <c r="A2396" s="0" t="s">
        <v>5376</v>
      </c>
      <c r="B2396" s="0" t="s">
        <v>5377</v>
      </c>
      <c r="C2396" s="0" t="n">
        <v>1.65</v>
      </c>
    </row>
    <row r="2397" customFormat="false" ht="15" hidden="false" customHeight="false" outlineLevel="0" collapsed="false">
      <c r="A2397" s="0" t="s">
        <v>5378</v>
      </c>
      <c r="B2397" s="0" t="s">
        <v>5379</v>
      </c>
      <c r="C2397" s="0" t="n">
        <v>0.3</v>
      </c>
    </row>
    <row r="2398" customFormat="false" ht="15" hidden="false" customHeight="false" outlineLevel="0" collapsed="false">
      <c r="A2398" s="0" t="s">
        <v>5380</v>
      </c>
      <c r="B2398" s="0" t="s">
        <v>5381</v>
      </c>
      <c r="C2398" s="0" t="n">
        <v>2.51</v>
      </c>
    </row>
    <row r="2399" customFormat="false" ht="15" hidden="false" customHeight="false" outlineLevel="0" collapsed="false">
      <c r="A2399" s="0" t="s">
        <v>5382</v>
      </c>
      <c r="B2399" s="0" t="s">
        <v>5383</v>
      </c>
      <c r="C2399" s="0" t="n">
        <v>1.65</v>
      </c>
    </row>
    <row r="2400" customFormat="false" ht="15" hidden="false" customHeight="false" outlineLevel="0" collapsed="false">
      <c r="A2400" s="0" t="s">
        <v>5384</v>
      </c>
      <c r="B2400" s="0" t="s">
        <v>5385</v>
      </c>
      <c r="C2400" s="0" t="n">
        <v>1.65</v>
      </c>
    </row>
    <row r="2401" customFormat="false" ht="15" hidden="false" customHeight="false" outlineLevel="0" collapsed="false">
      <c r="A2401" s="0" t="s">
        <v>5386</v>
      </c>
      <c r="B2401" s="0" t="s">
        <v>5387</v>
      </c>
      <c r="C2401" s="0" t="n">
        <v>2.1</v>
      </c>
    </row>
    <row r="2402" customFormat="false" ht="15" hidden="false" customHeight="false" outlineLevel="0" collapsed="false">
      <c r="A2402" s="0" t="s">
        <v>5388</v>
      </c>
      <c r="B2402" s="0" t="s">
        <v>5389</v>
      </c>
      <c r="C2402" s="0" t="n">
        <v>2.51</v>
      </c>
    </row>
    <row r="2403" customFormat="false" ht="15" hidden="false" customHeight="false" outlineLevel="0" collapsed="false">
      <c r="A2403" s="0" t="s">
        <v>5390</v>
      </c>
      <c r="B2403" s="0" t="s">
        <v>5391</v>
      </c>
      <c r="C2403" s="0" t="n">
        <v>1.65</v>
      </c>
    </row>
    <row r="2404" customFormat="false" ht="15" hidden="false" customHeight="false" outlineLevel="0" collapsed="false">
      <c r="A2404" s="0" t="s">
        <v>5392</v>
      </c>
      <c r="B2404" s="0" t="s">
        <v>5393</v>
      </c>
      <c r="C2404" s="0" t="n">
        <v>4.21</v>
      </c>
    </row>
    <row r="2405" customFormat="false" ht="15" hidden="false" customHeight="false" outlineLevel="0" collapsed="false">
      <c r="A2405" s="0" t="s">
        <v>5394</v>
      </c>
      <c r="B2405" s="0" t="s">
        <v>5395</v>
      </c>
      <c r="C2405" s="0" t="n">
        <v>2.51</v>
      </c>
    </row>
    <row r="2406" customFormat="false" ht="15" hidden="false" customHeight="false" outlineLevel="0" collapsed="false">
      <c r="A2406" s="0" t="s">
        <v>5396</v>
      </c>
      <c r="B2406" s="0" t="s">
        <v>5397</v>
      </c>
      <c r="C2406" s="0" t="n">
        <v>7.95</v>
      </c>
    </row>
    <row r="2407" customFormat="false" ht="15" hidden="false" customHeight="false" outlineLevel="0" collapsed="false">
      <c r="A2407" s="0" t="s">
        <v>5398</v>
      </c>
      <c r="B2407" s="0" t="s">
        <v>5399</v>
      </c>
      <c r="C2407" s="0" t="n">
        <v>1.45</v>
      </c>
    </row>
    <row r="2408" customFormat="false" ht="15" hidden="false" customHeight="false" outlineLevel="0" collapsed="false">
      <c r="A2408" s="0" t="s">
        <v>5400</v>
      </c>
      <c r="B2408" s="0" t="s">
        <v>619</v>
      </c>
      <c r="C2408" s="0" t="n">
        <v>4.95</v>
      </c>
    </row>
    <row r="2409" customFormat="false" ht="15" hidden="false" customHeight="false" outlineLevel="0" collapsed="false">
      <c r="A2409" s="0" t="s">
        <v>5401</v>
      </c>
      <c r="B2409" s="0" t="s">
        <v>5402</v>
      </c>
      <c r="C2409" s="0" t="n">
        <v>4.95</v>
      </c>
    </row>
    <row r="2410" customFormat="false" ht="15" hidden="false" customHeight="false" outlineLevel="0" collapsed="false">
      <c r="A2410" s="0" t="s">
        <v>5403</v>
      </c>
      <c r="B2410" s="0" t="s">
        <v>5404</v>
      </c>
      <c r="C2410" s="0" t="n">
        <v>0.85</v>
      </c>
    </row>
    <row r="2411" customFormat="false" ht="15" hidden="false" customHeight="false" outlineLevel="0" collapsed="false">
      <c r="A2411" s="0" t="s">
        <v>5405</v>
      </c>
      <c r="B2411" s="0" t="s">
        <v>5406</v>
      </c>
      <c r="C2411" s="0" t="n">
        <v>3.25</v>
      </c>
    </row>
    <row r="2412" customFormat="false" ht="15" hidden="false" customHeight="false" outlineLevel="0" collapsed="false">
      <c r="A2412" s="0" t="s">
        <v>5407</v>
      </c>
      <c r="B2412" s="0" t="s">
        <v>5408</v>
      </c>
      <c r="C2412" s="0" t="n">
        <v>0.85</v>
      </c>
    </row>
    <row r="2413" customFormat="false" ht="15" hidden="false" customHeight="false" outlineLevel="0" collapsed="false">
      <c r="A2413" s="0" t="s">
        <v>5409</v>
      </c>
      <c r="B2413" s="0" t="s">
        <v>5410</v>
      </c>
      <c r="C2413" s="0" t="n">
        <v>0.85</v>
      </c>
    </row>
    <row r="2414" customFormat="false" ht="15" hidden="false" customHeight="false" outlineLevel="0" collapsed="false">
      <c r="A2414" s="0" t="s">
        <v>5411</v>
      </c>
      <c r="B2414" s="0" t="s">
        <v>5412</v>
      </c>
      <c r="C2414" s="0" t="n">
        <v>1.95</v>
      </c>
    </row>
    <row r="2415" customFormat="false" ht="15" hidden="false" customHeight="false" outlineLevel="0" collapsed="false">
      <c r="A2415" s="0" t="s">
        <v>5413</v>
      </c>
      <c r="B2415" s="0" t="s">
        <v>5414</v>
      </c>
      <c r="C2415" s="0" t="n">
        <v>1.95</v>
      </c>
    </row>
    <row r="2416" customFormat="false" ht="15" hidden="false" customHeight="false" outlineLevel="0" collapsed="false">
      <c r="A2416" s="0" t="s">
        <v>5415</v>
      </c>
      <c r="B2416" s="0" t="s">
        <v>5416</v>
      </c>
      <c r="C2416" s="0" t="n">
        <v>1.25</v>
      </c>
    </row>
    <row r="2417" customFormat="false" ht="15" hidden="false" customHeight="false" outlineLevel="0" collapsed="false">
      <c r="A2417" s="0" t="s">
        <v>5417</v>
      </c>
      <c r="B2417" s="0" t="s">
        <v>5418</v>
      </c>
      <c r="C2417" s="0" t="n">
        <v>1.25</v>
      </c>
    </row>
    <row r="2418" customFormat="false" ht="15" hidden="false" customHeight="false" outlineLevel="0" collapsed="false">
      <c r="A2418" s="0" t="s">
        <v>5419</v>
      </c>
      <c r="B2418" s="0" t="s">
        <v>5420</v>
      </c>
      <c r="C2418" s="0" t="n">
        <v>1.25</v>
      </c>
    </row>
    <row r="2419" customFormat="false" ht="15" hidden="false" customHeight="false" outlineLevel="0" collapsed="false">
      <c r="A2419" s="0" t="s">
        <v>5421</v>
      </c>
      <c r="B2419" s="0" t="s">
        <v>5422</v>
      </c>
      <c r="C2419" s="0" t="n">
        <v>1.25</v>
      </c>
    </row>
    <row r="2420" customFormat="false" ht="15" hidden="false" customHeight="false" outlineLevel="0" collapsed="false">
      <c r="A2420" s="0" t="s">
        <v>5423</v>
      </c>
      <c r="B2420" s="0" t="s">
        <v>5424</v>
      </c>
      <c r="C2420" s="0" t="n">
        <v>0.29</v>
      </c>
    </row>
    <row r="2421" customFormat="false" ht="15" hidden="false" customHeight="false" outlineLevel="0" collapsed="false">
      <c r="A2421" s="0" t="s">
        <v>5425</v>
      </c>
      <c r="B2421" s="0" t="s">
        <v>5426</v>
      </c>
      <c r="C2421" s="0" t="n">
        <v>0.29</v>
      </c>
    </row>
    <row r="2422" customFormat="false" ht="15" hidden="false" customHeight="false" outlineLevel="0" collapsed="false">
      <c r="A2422" s="0" t="s">
        <v>5427</v>
      </c>
      <c r="B2422" s="0" t="s">
        <v>5428</v>
      </c>
      <c r="C2422" s="0" t="n">
        <v>0.85</v>
      </c>
    </row>
    <row r="2423" customFormat="false" ht="15" hidden="false" customHeight="false" outlineLevel="0" collapsed="false">
      <c r="A2423" s="0" t="s">
        <v>5429</v>
      </c>
      <c r="B2423" s="0" t="s">
        <v>5430</v>
      </c>
      <c r="C2423" s="0" t="n">
        <v>0.29</v>
      </c>
    </row>
    <row r="2424" customFormat="false" ht="15" hidden="false" customHeight="false" outlineLevel="0" collapsed="false">
      <c r="A2424" s="0" t="s">
        <v>5431</v>
      </c>
      <c r="B2424" s="0" t="s">
        <v>5432</v>
      </c>
      <c r="C2424" s="0" t="n">
        <v>0.29</v>
      </c>
    </row>
    <row r="2425" customFormat="false" ht="15" hidden="false" customHeight="false" outlineLevel="0" collapsed="false">
      <c r="A2425" s="0" t="s">
        <v>5433</v>
      </c>
      <c r="B2425" s="0" t="s">
        <v>5434</v>
      </c>
      <c r="C2425" s="0" t="n">
        <v>0.29</v>
      </c>
    </row>
    <row r="2426" customFormat="false" ht="15" hidden="false" customHeight="false" outlineLevel="0" collapsed="false">
      <c r="A2426" s="0" t="s">
        <v>5435</v>
      </c>
      <c r="B2426" s="0" t="s">
        <v>5436</v>
      </c>
      <c r="C2426" s="0" t="n">
        <v>0.29</v>
      </c>
    </row>
    <row r="2427" customFormat="false" ht="15" hidden="false" customHeight="false" outlineLevel="0" collapsed="false">
      <c r="A2427" s="0" t="s">
        <v>5437</v>
      </c>
      <c r="B2427" s="0" t="s">
        <v>530</v>
      </c>
      <c r="C2427" s="0" t="n">
        <v>0.29</v>
      </c>
    </row>
    <row r="2428" customFormat="false" ht="15" hidden="false" customHeight="false" outlineLevel="0" collapsed="false">
      <c r="A2428" s="0" t="s">
        <v>5438</v>
      </c>
      <c r="B2428" s="0" t="s">
        <v>5439</v>
      </c>
      <c r="C2428" s="0" t="n">
        <v>0.29</v>
      </c>
    </row>
    <row r="2429" customFormat="false" ht="15" hidden="false" customHeight="false" outlineLevel="0" collapsed="false">
      <c r="A2429" s="0" t="s">
        <v>5440</v>
      </c>
      <c r="B2429" s="0" t="s">
        <v>5441</v>
      </c>
      <c r="C2429" s="0" t="n">
        <v>0.29</v>
      </c>
    </row>
    <row r="2430" customFormat="false" ht="15" hidden="false" customHeight="false" outlineLevel="0" collapsed="false">
      <c r="A2430" s="0" t="s">
        <v>5442</v>
      </c>
      <c r="B2430" s="0" t="s">
        <v>5443</v>
      </c>
      <c r="C2430" s="0" t="n">
        <v>0.65</v>
      </c>
    </row>
    <row r="2431" customFormat="false" ht="15" hidden="false" customHeight="false" outlineLevel="0" collapsed="false">
      <c r="A2431" s="0" t="s">
        <v>5444</v>
      </c>
      <c r="B2431" s="0" t="s">
        <v>529</v>
      </c>
      <c r="C2431" s="0" t="n">
        <v>0.29</v>
      </c>
    </row>
    <row r="2432" customFormat="false" ht="15" hidden="false" customHeight="false" outlineLevel="0" collapsed="false">
      <c r="A2432" s="0" t="s">
        <v>5445</v>
      </c>
      <c r="B2432" s="0" t="s">
        <v>707</v>
      </c>
      <c r="C2432" s="0" t="n">
        <v>0.42</v>
      </c>
    </row>
    <row r="2433" customFormat="false" ht="15" hidden="false" customHeight="false" outlineLevel="0" collapsed="false">
      <c r="A2433" s="0" t="s">
        <v>5446</v>
      </c>
      <c r="B2433" s="0" t="s">
        <v>528</v>
      </c>
      <c r="C2433" s="0" t="n">
        <v>0.29</v>
      </c>
    </row>
    <row r="2434" customFormat="false" ht="15" hidden="false" customHeight="false" outlineLevel="0" collapsed="false">
      <c r="A2434" s="0" t="s">
        <v>5447</v>
      </c>
      <c r="B2434" s="0" t="s">
        <v>5448</v>
      </c>
      <c r="C2434" s="0" t="n">
        <v>0.85</v>
      </c>
    </row>
    <row r="2435" customFormat="false" ht="15" hidden="false" customHeight="false" outlineLevel="0" collapsed="false">
      <c r="A2435" s="0" t="s">
        <v>5449</v>
      </c>
      <c r="B2435" s="0" t="s">
        <v>178</v>
      </c>
      <c r="C2435" s="0" t="n">
        <v>0.85</v>
      </c>
    </row>
    <row r="2436" customFormat="false" ht="15" hidden="false" customHeight="false" outlineLevel="0" collapsed="false">
      <c r="A2436" s="0" t="s">
        <v>5450</v>
      </c>
      <c r="B2436" s="0" t="s">
        <v>168</v>
      </c>
      <c r="C2436" s="0" t="n">
        <v>0.85</v>
      </c>
    </row>
    <row r="2437" customFormat="false" ht="15" hidden="false" customHeight="false" outlineLevel="0" collapsed="false">
      <c r="A2437" s="0" t="s">
        <v>5451</v>
      </c>
      <c r="B2437" s="0" t="s">
        <v>449</v>
      </c>
      <c r="C2437" s="0" t="n">
        <v>0.85</v>
      </c>
    </row>
    <row r="2438" customFormat="false" ht="15" hidden="false" customHeight="false" outlineLevel="0" collapsed="false">
      <c r="A2438" s="0" t="s">
        <v>5452</v>
      </c>
      <c r="B2438" s="0" t="s">
        <v>169</v>
      </c>
      <c r="C2438" s="0" t="n">
        <v>0.85</v>
      </c>
    </row>
    <row r="2439" customFormat="false" ht="15" hidden="false" customHeight="false" outlineLevel="0" collapsed="false">
      <c r="A2439" s="0" t="s">
        <v>5453</v>
      </c>
      <c r="B2439" s="0" t="s">
        <v>899</v>
      </c>
      <c r="C2439" s="0" t="n">
        <v>1.25</v>
      </c>
    </row>
    <row r="2440" customFormat="false" ht="15" hidden="false" customHeight="false" outlineLevel="0" collapsed="false">
      <c r="A2440" s="0" t="s">
        <v>5454</v>
      </c>
      <c r="B2440" s="0" t="s">
        <v>5455</v>
      </c>
      <c r="C2440" s="0" t="n">
        <v>2.55</v>
      </c>
    </row>
    <row r="2441" customFormat="false" ht="15" hidden="false" customHeight="false" outlineLevel="0" collapsed="false">
      <c r="A2441" s="0" t="s">
        <v>5456</v>
      </c>
      <c r="B2441" s="0" t="s">
        <v>498</v>
      </c>
      <c r="C2441" s="0" t="n">
        <v>2.55</v>
      </c>
    </row>
    <row r="2442" customFormat="false" ht="15" hidden="false" customHeight="false" outlineLevel="0" collapsed="false">
      <c r="A2442" s="0" t="s">
        <v>5457</v>
      </c>
      <c r="B2442" s="0" t="s">
        <v>5458</v>
      </c>
      <c r="C2442" s="0" t="n">
        <v>0.85</v>
      </c>
    </row>
    <row r="2443" customFormat="false" ht="15" hidden="false" customHeight="false" outlineLevel="0" collapsed="false">
      <c r="A2443" s="0" t="s">
        <v>5459</v>
      </c>
      <c r="B2443" s="0" t="s">
        <v>446</v>
      </c>
      <c r="C2443" s="0" t="n">
        <v>0.65</v>
      </c>
    </row>
    <row r="2444" customFormat="false" ht="15" hidden="false" customHeight="false" outlineLevel="0" collapsed="false">
      <c r="A2444" s="0" t="s">
        <v>5460</v>
      </c>
      <c r="B2444" s="0" t="s">
        <v>447</v>
      </c>
      <c r="C2444" s="0" t="n">
        <v>0.85</v>
      </c>
    </row>
    <row r="2445" customFormat="false" ht="15" hidden="false" customHeight="false" outlineLevel="0" collapsed="false">
      <c r="A2445" s="0" t="s">
        <v>5461</v>
      </c>
      <c r="B2445" s="0" t="s">
        <v>5462</v>
      </c>
      <c r="C2445" s="0" t="n">
        <v>2.55</v>
      </c>
    </row>
    <row r="2446" customFormat="false" ht="15" hidden="false" customHeight="false" outlineLevel="0" collapsed="false">
      <c r="A2446" s="0" t="s">
        <v>5463</v>
      </c>
      <c r="B2446" s="0" t="s">
        <v>610</v>
      </c>
      <c r="C2446" s="0" t="n">
        <v>0.55</v>
      </c>
    </row>
    <row r="2447" customFormat="false" ht="15" hidden="false" customHeight="false" outlineLevel="0" collapsed="false">
      <c r="A2447" s="0" t="s">
        <v>5464</v>
      </c>
      <c r="B2447" s="0" t="s">
        <v>427</v>
      </c>
      <c r="C2447" s="0" t="n">
        <v>0.55</v>
      </c>
    </row>
    <row r="2448" customFormat="false" ht="15" hidden="false" customHeight="false" outlineLevel="0" collapsed="false">
      <c r="A2448" s="0" t="s">
        <v>5465</v>
      </c>
      <c r="B2448" s="0" t="s">
        <v>516</v>
      </c>
      <c r="C2448" s="0" t="n">
        <v>0.55</v>
      </c>
    </row>
    <row r="2449" customFormat="false" ht="15" hidden="false" customHeight="false" outlineLevel="0" collapsed="false">
      <c r="A2449" s="0" t="s">
        <v>5466</v>
      </c>
      <c r="B2449" s="0" t="s">
        <v>218</v>
      </c>
      <c r="C2449" s="0" t="n">
        <v>0.55</v>
      </c>
    </row>
    <row r="2450" customFormat="false" ht="15" hidden="false" customHeight="false" outlineLevel="0" collapsed="false">
      <c r="A2450" s="0" t="s">
        <v>5467</v>
      </c>
      <c r="B2450" s="0" t="s">
        <v>44</v>
      </c>
      <c r="C2450" s="0" t="n">
        <v>0.55</v>
      </c>
    </row>
    <row r="2451" customFormat="false" ht="15" hidden="false" customHeight="false" outlineLevel="0" collapsed="false">
      <c r="A2451" s="0" t="s">
        <v>5468</v>
      </c>
      <c r="B2451" s="0" t="s">
        <v>5469</v>
      </c>
      <c r="C2451" s="0" t="n">
        <v>0.55</v>
      </c>
    </row>
    <row r="2452" customFormat="false" ht="15" hidden="false" customHeight="false" outlineLevel="0" collapsed="false">
      <c r="A2452" s="0" t="s">
        <v>5470</v>
      </c>
      <c r="B2452" s="0" t="s">
        <v>5471</v>
      </c>
      <c r="C2452" s="0" t="n">
        <v>2.95</v>
      </c>
    </row>
    <row r="2453" customFormat="false" ht="15" hidden="false" customHeight="false" outlineLevel="0" collapsed="false">
      <c r="A2453" s="0" t="s">
        <v>5472</v>
      </c>
      <c r="B2453" s="0" t="s">
        <v>5473</v>
      </c>
      <c r="C2453" s="0" t="n">
        <v>2.95</v>
      </c>
    </row>
    <row r="2454" customFormat="false" ht="15" hidden="false" customHeight="false" outlineLevel="0" collapsed="false">
      <c r="A2454" s="0" t="s">
        <v>5474</v>
      </c>
      <c r="B2454" s="0" t="s">
        <v>5475</v>
      </c>
      <c r="C2454" s="0" t="n">
        <v>2.95</v>
      </c>
    </row>
    <row r="2455" customFormat="false" ht="15" hidden="false" customHeight="false" outlineLevel="0" collapsed="false">
      <c r="A2455" s="0" t="s">
        <v>5476</v>
      </c>
      <c r="B2455" s="0" t="s">
        <v>5477</v>
      </c>
      <c r="C2455" s="0" t="n">
        <v>0.86</v>
      </c>
    </row>
    <row r="2456" customFormat="false" ht="15" hidden="false" customHeight="false" outlineLevel="0" collapsed="false">
      <c r="A2456" s="0" t="s">
        <v>5478</v>
      </c>
      <c r="B2456" s="0" t="s">
        <v>5479</v>
      </c>
      <c r="C2456" s="0" t="n">
        <v>2.95</v>
      </c>
    </row>
    <row r="2457" customFormat="false" ht="15" hidden="false" customHeight="false" outlineLevel="0" collapsed="false">
      <c r="A2457" s="0" t="s">
        <v>5480</v>
      </c>
      <c r="B2457" s="0" t="s">
        <v>5481</v>
      </c>
      <c r="C2457" s="0" t="n">
        <v>0.42</v>
      </c>
    </row>
    <row r="2458" customFormat="false" ht="15" hidden="false" customHeight="false" outlineLevel="0" collapsed="false">
      <c r="A2458" s="0" t="s">
        <v>5482</v>
      </c>
      <c r="B2458" s="0" t="s">
        <v>5483</v>
      </c>
      <c r="C2458" s="0" t="n">
        <v>0.42</v>
      </c>
    </row>
    <row r="2459" customFormat="false" ht="15" hidden="false" customHeight="false" outlineLevel="0" collapsed="false">
      <c r="A2459" s="0" t="s">
        <v>5484</v>
      </c>
      <c r="B2459" s="0" t="s">
        <v>5485</v>
      </c>
      <c r="C2459" s="0" t="n">
        <v>0.001</v>
      </c>
    </row>
    <row r="2460" customFormat="false" ht="15" hidden="false" customHeight="false" outlineLevel="0" collapsed="false">
      <c r="A2460" s="0" t="s">
        <v>5486</v>
      </c>
      <c r="B2460" s="0" t="s">
        <v>5487</v>
      </c>
      <c r="C2460" s="0" t="n">
        <v>1.65</v>
      </c>
    </row>
    <row r="2461" customFormat="false" ht="15" hidden="false" customHeight="false" outlineLevel="0" collapsed="false">
      <c r="A2461" s="0" t="s">
        <v>5488</v>
      </c>
      <c r="B2461" s="0" t="s">
        <v>5489</v>
      </c>
      <c r="C2461" s="0" t="n">
        <v>1.69</v>
      </c>
    </row>
    <row r="2462" customFormat="false" ht="15" hidden="false" customHeight="false" outlineLevel="0" collapsed="false">
      <c r="A2462" s="0" t="s">
        <v>5490</v>
      </c>
      <c r="B2462" s="0" t="s">
        <v>5491</v>
      </c>
      <c r="C2462" s="0" t="n">
        <v>0.84</v>
      </c>
    </row>
    <row r="2463" customFormat="false" ht="15" hidden="false" customHeight="false" outlineLevel="0" collapsed="false">
      <c r="A2463" s="0" t="s">
        <v>5492</v>
      </c>
      <c r="B2463" s="0" t="s">
        <v>5493</v>
      </c>
      <c r="C2463" s="0" t="n">
        <v>0.42</v>
      </c>
    </row>
    <row r="2464" customFormat="false" ht="15" hidden="false" customHeight="false" outlineLevel="0" collapsed="false">
      <c r="A2464" s="0" t="s">
        <v>5494</v>
      </c>
      <c r="B2464" s="0" t="s">
        <v>5495</v>
      </c>
      <c r="C2464" s="0" t="n">
        <v>1.45</v>
      </c>
    </row>
    <row r="2465" customFormat="false" ht="15" hidden="false" customHeight="false" outlineLevel="0" collapsed="false">
      <c r="A2465" s="0" t="s">
        <v>5496</v>
      </c>
      <c r="B2465" s="0" t="s">
        <v>5497</v>
      </c>
      <c r="C2465" s="0" t="n">
        <v>1.69</v>
      </c>
    </row>
    <row r="2466" customFormat="false" ht="15" hidden="false" customHeight="false" outlineLevel="0" collapsed="false">
      <c r="A2466" s="0" t="s">
        <v>5498</v>
      </c>
      <c r="B2466" s="0" t="s">
        <v>5499</v>
      </c>
      <c r="C2466" s="0" t="n">
        <v>1.45</v>
      </c>
    </row>
    <row r="2467" customFormat="false" ht="15" hidden="false" customHeight="false" outlineLevel="0" collapsed="false">
      <c r="A2467" s="0" t="s">
        <v>5500</v>
      </c>
      <c r="B2467" s="0" t="s">
        <v>5501</v>
      </c>
      <c r="C2467" s="0" t="n">
        <v>1.45</v>
      </c>
    </row>
    <row r="2468" customFormat="false" ht="15" hidden="false" customHeight="false" outlineLevel="0" collapsed="false">
      <c r="A2468" s="0" t="s">
        <v>5502</v>
      </c>
      <c r="B2468" s="0" t="s">
        <v>5503</v>
      </c>
      <c r="C2468" s="0" t="n">
        <v>0.85</v>
      </c>
    </row>
    <row r="2469" customFormat="false" ht="15" hidden="false" customHeight="false" outlineLevel="0" collapsed="false">
      <c r="A2469" s="0" t="s">
        <v>5504</v>
      </c>
      <c r="B2469" s="0" t="s">
        <v>5505</v>
      </c>
      <c r="C2469" s="0" t="n">
        <v>3.75</v>
      </c>
    </row>
    <row r="2470" customFormat="false" ht="15" hidden="false" customHeight="false" outlineLevel="0" collapsed="false">
      <c r="A2470" s="0" t="s">
        <v>5506</v>
      </c>
      <c r="B2470" s="0" t="s">
        <v>5507</v>
      </c>
      <c r="C2470" s="0" t="n">
        <v>0.85</v>
      </c>
    </row>
    <row r="2471" customFormat="false" ht="15" hidden="false" customHeight="false" outlineLevel="0" collapsed="false">
      <c r="A2471" s="0" t="s">
        <v>5508</v>
      </c>
      <c r="B2471" s="0" t="s">
        <v>5509</v>
      </c>
      <c r="C2471" s="0" t="n">
        <v>3.81</v>
      </c>
    </row>
    <row r="2472" customFormat="false" ht="15" hidden="false" customHeight="false" outlineLevel="0" collapsed="false">
      <c r="A2472" s="0" t="s">
        <v>5510</v>
      </c>
      <c r="B2472" s="0" t="s">
        <v>5511</v>
      </c>
      <c r="C2472" s="0" t="n">
        <v>3.39</v>
      </c>
    </row>
    <row r="2473" customFormat="false" ht="15" hidden="false" customHeight="false" outlineLevel="0" collapsed="false">
      <c r="A2473" s="0" t="s">
        <v>5512</v>
      </c>
      <c r="B2473" s="0" t="s">
        <v>5513</v>
      </c>
      <c r="C2473" s="0" t="n">
        <v>2.54</v>
      </c>
    </row>
    <row r="2474" customFormat="false" ht="15" hidden="false" customHeight="false" outlineLevel="0" collapsed="false">
      <c r="A2474" s="0" t="s">
        <v>5514</v>
      </c>
      <c r="B2474" s="0" t="s">
        <v>5515</v>
      </c>
      <c r="C2474" s="0" t="n">
        <v>3.75</v>
      </c>
    </row>
    <row r="2475" customFormat="false" ht="15" hidden="false" customHeight="false" outlineLevel="0" collapsed="false">
      <c r="A2475" s="0" t="s">
        <v>5516</v>
      </c>
      <c r="B2475" s="0" t="s">
        <v>5517</v>
      </c>
      <c r="C2475" s="0" t="n">
        <v>1.95</v>
      </c>
    </row>
    <row r="2476" customFormat="false" ht="15" hidden="false" customHeight="false" outlineLevel="0" collapsed="false">
      <c r="A2476" s="0" t="s">
        <v>5518</v>
      </c>
      <c r="B2476" s="0" t="s">
        <v>5519</v>
      </c>
      <c r="C2476" s="0" t="n">
        <v>0.85</v>
      </c>
    </row>
    <row r="2477" customFormat="false" ht="15" hidden="false" customHeight="false" outlineLevel="0" collapsed="false">
      <c r="A2477" s="0" t="s">
        <v>5520</v>
      </c>
      <c r="B2477" s="0" t="s">
        <v>5521</v>
      </c>
      <c r="C2477" s="0" t="n">
        <v>10.62</v>
      </c>
    </row>
    <row r="2478" customFormat="false" ht="15" hidden="false" customHeight="false" outlineLevel="0" collapsed="false">
      <c r="A2478" s="0" t="s">
        <v>5522</v>
      </c>
      <c r="B2478" s="0" t="s">
        <v>5523</v>
      </c>
      <c r="C2478" s="0" t="n">
        <v>0.85</v>
      </c>
    </row>
    <row r="2479" customFormat="false" ht="15" hidden="false" customHeight="false" outlineLevel="0" collapsed="false">
      <c r="A2479" s="0" t="s">
        <v>5524</v>
      </c>
      <c r="B2479" s="0" t="s">
        <v>5525</v>
      </c>
      <c r="C2479" s="0" t="n">
        <v>2.95</v>
      </c>
    </row>
    <row r="2480" customFormat="false" ht="15" hidden="false" customHeight="false" outlineLevel="0" collapsed="false">
      <c r="A2480" s="0" t="s">
        <v>5526</v>
      </c>
      <c r="B2480" s="0" t="s">
        <v>372</v>
      </c>
      <c r="C2480" s="0" t="n">
        <v>2.95</v>
      </c>
    </row>
    <row r="2481" customFormat="false" ht="15" hidden="false" customHeight="false" outlineLevel="0" collapsed="false">
      <c r="A2481" s="0" t="s">
        <v>5527</v>
      </c>
      <c r="B2481" s="0" t="s">
        <v>5528</v>
      </c>
      <c r="C2481" s="0" t="n">
        <v>2.95</v>
      </c>
    </row>
    <row r="2482" customFormat="false" ht="15" hidden="false" customHeight="false" outlineLevel="0" collapsed="false">
      <c r="A2482" s="0" t="s">
        <v>5529</v>
      </c>
      <c r="B2482" s="0" t="s">
        <v>5530</v>
      </c>
      <c r="C2482" s="0" t="n">
        <v>2.95</v>
      </c>
    </row>
    <row r="2483" customFormat="false" ht="15" hidden="false" customHeight="false" outlineLevel="0" collapsed="false">
      <c r="A2483" s="0" t="s">
        <v>5531</v>
      </c>
      <c r="B2483" s="0" t="s">
        <v>419</v>
      </c>
      <c r="C2483" s="0" t="n">
        <v>2.95</v>
      </c>
    </row>
    <row r="2484" customFormat="false" ht="15" hidden="false" customHeight="false" outlineLevel="0" collapsed="false">
      <c r="A2484" s="0" t="s">
        <v>5532</v>
      </c>
      <c r="B2484" s="0" t="s">
        <v>5533</v>
      </c>
      <c r="C2484" s="0" t="n">
        <v>2.95</v>
      </c>
    </row>
    <row r="2485" customFormat="false" ht="15" hidden="false" customHeight="false" outlineLevel="0" collapsed="false">
      <c r="A2485" s="0" t="s">
        <v>5534</v>
      </c>
      <c r="B2485" s="0" t="s">
        <v>5535</v>
      </c>
      <c r="C2485" s="0" t="n">
        <v>2.95</v>
      </c>
    </row>
    <row r="2486" customFormat="false" ht="15" hidden="false" customHeight="false" outlineLevel="0" collapsed="false">
      <c r="A2486" s="0" t="s">
        <v>5536</v>
      </c>
      <c r="B2486" s="0" t="s">
        <v>398</v>
      </c>
      <c r="C2486" s="0" t="n">
        <v>2.95</v>
      </c>
    </row>
    <row r="2487" customFormat="false" ht="15" hidden="false" customHeight="false" outlineLevel="0" collapsed="false">
      <c r="A2487" s="0" t="s">
        <v>5537</v>
      </c>
      <c r="B2487" s="0" t="s">
        <v>5538</v>
      </c>
      <c r="C2487" s="0" t="n">
        <v>2.95</v>
      </c>
    </row>
    <row r="2488" customFormat="false" ht="15" hidden="false" customHeight="false" outlineLevel="0" collapsed="false">
      <c r="A2488" s="0" t="s">
        <v>5539</v>
      </c>
      <c r="B2488" s="0" t="s">
        <v>420</v>
      </c>
      <c r="C2488" s="0" t="n">
        <v>2.95</v>
      </c>
    </row>
    <row r="2489" customFormat="false" ht="15" hidden="false" customHeight="false" outlineLevel="0" collapsed="false">
      <c r="A2489" s="0" t="s">
        <v>5540</v>
      </c>
      <c r="B2489" s="0" t="s">
        <v>5541</v>
      </c>
      <c r="C2489" s="0" t="n">
        <v>0.14</v>
      </c>
    </row>
    <row r="2490" customFormat="false" ht="15" hidden="false" customHeight="false" outlineLevel="0" collapsed="false">
      <c r="A2490" s="0" t="s">
        <v>5542</v>
      </c>
      <c r="B2490" s="0" t="s">
        <v>557</v>
      </c>
      <c r="C2490" s="0" t="n">
        <v>2.55</v>
      </c>
    </row>
    <row r="2491" customFormat="false" ht="15" hidden="false" customHeight="false" outlineLevel="0" collapsed="false">
      <c r="A2491" s="0" t="s">
        <v>5543</v>
      </c>
      <c r="B2491" s="0" t="s">
        <v>765</v>
      </c>
      <c r="C2491" s="0" t="n">
        <v>2.55</v>
      </c>
    </row>
    <row r="2492" customFormat="false" ht="15" hidden="false" customHeight="false" outlineLevel="0" collapsed="false">
      <c r="A2492" s="0" t="s">
        <v>5544</v>
      </c>
      <c r="B2492" s="0" t="s">
        <v>5545</v>
      </c>
      <c r="C2492" s="0" t="n">
        <v>2.55</v>
      </c>
    </row>
    <row r="2493" customFormat="false" ht="15" hidden="false" customHeight="false" outlineLevel="0" collapsed="false">
      <c r="A2493" s="0" t="s">
        <v>5546</v>
      </c>
      <c r="B2493" s="0" t="s">
        <v>5547</v>
      </c>
      <c r="C2493" s="0" t="n">
        <v>2.55</v>
      </c>
    </row>
    <row r="2494" customFormat="false" ht="15" hidden="false" customHeight="false" outlineLevel="0" collapsed="false">
      <c r="A2494" s="0" t="s">
        <v>5548</v>
      </c>
      <c r="B2494" s="0" t="s">
        <v>333</v>
      </c>
      <c r="C2494" s="0" t="n">
        <v>2.55</v>
      </c>
    </row>
    <row r="2495" customFormat="false" ht="15" hidden="false" customHeight="false" outlineLevel="0" collapsed="false">
      <c r="A2495" s="0" t="s">
        <v>5549</v>
      </c>
      <c r="B2495" s="0" t="s">
        <v>817</v>
      </c>
      <c r="C2495" s="0" t="n">
        <v>2.55</v>
      </c>
    </row>
    <row r="2496" customFormat="false" ht="15" hidden="false" customHeight="false" outlineLevel="0" collapsed="false">
      <c r="A2496" s="0" t="s">
        <v>5550</v>
      </c>
      <c r="B2496" s="0" t="s">
        <v>271</v>
      </c>
      <c r="C2496" s="0" t="n">
        <v>4.65</v>
      </c>
    </row>
    <row r="2497" customFormat="false" ht="15" hidden="false" customHeight="false" outlineLevel="0" collapsed="false">
      <c r="A2497" s="0" t="s">
        <v>5551</v>
      </c>
      <c r="B2497" s="0" t="s">
        <v>5552</v>
      </c>
      <c r="C2497" s="0" t="n">
        <v>0.85</v>
      </c>
    </row>
    <row r="2498" customFormat="false" ht="15" hidden="false" customHeight="false" outlineLevel="0" collapsed="false">
      <c r="A2498" s="0" t="s">
        <v>5553</v>
      </c>
      <c r="B2498" s="0" t="s">
        <v>5554</v>
      </c>
      <c r="C2498" s="0" t="n">
        <v>1.25</v>
      </c>
    </row>
    <row r="2499" customFormat="false" ht="15" hidden="false" customHeight="false" outlineLevel="0" collapsed="false">
      <c r="A2499" s="0" t="s">
        <v>5555</v>
      </c>
      <c r="B2499" s="0" t="s">
        <v>5556</v>
      </c>
      <c r="C2499" s="0" t="n">
        <v>0.85</v>
      </c>
    </row>
    <row r="2500" customFormat="false" ht="15" hidden="false" customHeight="false" outlineLevel="0" collapsed="false">
      <c r="A2500" s="0" t="s">
        <v>5557</v>
      </c>
      <c r="B2500" s="0" t="s">
        <v>5558</v>
      </c>
      <c r="C2500" s="0" t="n">
        <v>1.25</v>
      </c>
    </row>
    <row r="2501" customFormat="false" ht="15" hidden="false" customHeight="false" outlineLevel="0" collapsed="false">
      <c r="A2501" s="0" t="s">
        <v>5559</v>
      </c>
      <c r="B2501" s="0" t="s">
        <v>5560</v>
      </c>
      <c r="C2501" s="0" t="n">
        <v>1.25</v>
      </c>
    </row>
    <row r="2502" customFormat="false" ht="15" hidden="false" customHeight="false" outlineLevel="0" collapsed="false">
      <c r="A2502" s="0" t="s">
        <v>5561</v>
      </c>
      <c r="B2502" s="0" t="s">
        <v>5562</v>
      </c>
      <c r="C2502" s="0" t="n">
        <v>0.85</v>
      </c>
    </row>
    <row r="2503" customFormat="false" ht="15" hidden="false" customHeight="false" outlineLevel="0" collapsed="false">
      <c r="A2503" s="0" t="s">
        <v>5563</v>
      </c>
      <c r="B2503" s="0" t="s">
        <v>5564</v>
      </c>
      <c r="C2503" s="0" t="n">
        <v>0.85</v>
      </c>
    </row>
    <row r="2504" customFormat="false" ht="15" hidden="false" customHeight="false" outlineLevel="0" collapsed="false">
      <c r="A2504" s="0" t="s">
        <v>5565</v>
      </c>
      <c r="B2504" s="0" t="s">
        <v>5566</v>
      </c>
      <c r="C2504" s="0" t="n">
        <v>0.85</v>
      </c>
    </row>
    <row r="2505" customFormat="false" ht="15" hidden="false" customHeight="false" outlineLevel="0" collapsed="false">
      <c r="A2505" s="0" t="s">
        <v>5567</v>
      </c>
      <c r="B2505" s="0" t="s">
        <v>5568</v>
      </c>
      <c r="C2505" s="0" t="n">
        <v>0.85</v>
      </c>
    </row>
    <row r="2506" customFormat="false" ht="15" hidden="false" customHeight="false" outlineLevel="0" collapsed="false">
      <c r="A2506" s="0" t="s">
        <v>5569</v>
      </c>
      <c r="B2506" s="0" t="s">
        <v>5570</v>
      </c>
      <c r="C2506" s="0" t="n">
        <v>0.85</v>
      </c>
    </row>
    <row r="2507" customFormat="false" ht="15" hidden="false" customHeight="false" outlineLevel="0" collapsed="false">
      <c r="A2507" s="0" t="s">
        <v>5571</v>
      </c>
      <c r="B2507" s="0" t="s">
        <v>5572</v>
      </c>
      <c r="C2507" s="0" t="n">
        <v>0.85</v>
      </c>
    </row>
    <row r="2508" customFormat="false" ht="15" hidden="false" customHeight="false" outlineLevel="0" collapsed="false">
      <c r="A2508" s="0" t="s">
        <v>5573</v>
      </c>
      <c r="B2508" s="0" t="s">
        <v>195</v>
      </c>
      <c r="C2508" s="0" t="n">
        <v>1.45</v>
      </c>
    </row>
    <row r="2509" customFormat="false" ht="15" hidden="false" customHeight="false" outlineLevel="0" collapsed="false">
      <c r="A2509" s="0" t="s">
        <v>5574</v>
      </c>
      <c r="B2509" s="0" t="s">
        <v>5575</v>
      </c>
      <c r="C2509" s="0" t="n">
        <v>0.85</v>
      </c>
    </row>
    <row r="2510" customFormat="false" ht="15" hidden="false" customHeight="false" outlineLevel="0" collapsed="false">
      <c r="A2510" s="0" t="s">
        <v>5576</v>
      </c>
      <c r="B2510" s="0" t="s">
        <v>5577</v>
      </c>
      <c r="C2510" s="0" t="n">
        <v>0.85</v>
      </c>
    </row>
    <row r="2511" customFormat="false" ht="15" hidden="false" customHeight="false" outlineLevel="0" collapsed="false">
      <c r="A2511" s="0" t="s">
        <v>5578</v>
      </c>
      <c r="B2511" s="0" t="s">
        <v>5579</v>
      </c>
      <c r="C2511" s="0" t="n">
        <v>0.85</v>
      </c>
    </row>
    <row r="2512" customFormat="false" ht="15" hidden="false" customHeight="false" outlineLevel="0" collapsed="false">
      <c r="A2512" s="0" t="s">
        <v>5580</v>
      </c>
      <c r="B2512" s="0" t="s">
        <v>584</v>
      </c>
      <c r="C2512" s="0" t="n">
        <v>0.85</v>
      </c>
    </row>
    <row r="2513" customFormat="false" ht="15" hidden="false" customHeight="false" outlineLevel="0" collapsed="false">
      <c r="A2513" s="0" t="s">
        <v>5581</v>
      </c>
      <c r="B2513" s="0" t="s">
        <v>5582</v>
      </c>
      <c r="C2513" s="0" t="n">
        <v>0.85</v>
      </c>
    </row>
    <row r="2514" customFormat="false" ht="15" hidden="false" customHeight="false" outlineLevel="0" collapsed="false">
      <c r="A2514" s="0" t="s">
        <v>5583</v>
      </c>
      <c r="B2514" s="0" t="s">
        <v>5584</v>
      </c>
      <c r="C2514" s="0" t="n">
        <v>0.21</v>
      </c>
    </row>
    <row r="2515" customFormat="false" ht="15" hidden="false" customHeight="false" outlineLevel="0" collapsed="false">
      <c r="A2515" s="0" t="s">
        <v>5585</v>
      </c>
      <c r="B2515" s="0" t="s">
        <v>5586</v>
      </c>
      <c r="C2515" s="0" t="n">
        <v>3.75</v>
      </c>
    </row>
    <row r="2516" customFormat="false" ht="15" hidden="false" customHeight="false" outlineLevel="0" collapsed="false">
      <c r="A2516" s="0" t="s">
        <v>5587</v>
      </c>
      <c r="B2516" s="0" t="s">
        <v>5588</v>
      </c>
      <c r="C2516" s="0" t="n">
        <v>3.43</v>
      </c>
    </row>
    <row r="2517" customFormat="false" ht="15" hidden="false" customHeight="false" outlineLevel="0" collapsed="false">
      <c r="A2517" s="0" t="s">
        <v>5587</v>
      </c>
      <c r="B2517" s="0" t="s">
        <v>5589</v>
      </c>
      <c r="C2517" s="0" t="n">
        <v>5.55</v>
      </c>
    </row>
    <row r="2518" customFormat="false" ht="15" hidden="false" customHeight="false" outlineLevel="0" collapsed="false">
      <c r="A2518" s="0" t="s">
        <v>5590</v>
      </c>
      <c r="B2518" s="0" t="s">
        <v>799</v>
      </c>
      <c r="C2518" s="0" t="n">
        <v>1.65</v>
      </c>
    </row>
    <row r="2519" customFormat="false" ht="15" hidden="false" customHeight="false" outlineLevel="0" collapsed="false">
      <c r="A2519" s="0" t="s">
        <v>5591</v>
      </c>
      <c r="B2519" s="0" t="s">
        <v>5592</v>
      </c>
      <c r="C2519" s="0" t="n">
        <v>1.95</v>
      </c>
    </row>
    <row r="2520" customFormat="false" ht="15" hidden="false" customHeight="false" outlineLevel="0" collapsed="false">
      <c r="A2520" s="0" t="s">
        <v>5591</v>
      </c>
      <c r="B2520" s="0" t="s">
        <v>5593</v>
      </c>
      <c r="C2520" s="0" t="n">
        <v>5.55</v>
      </c>
    </row>
    <row r="2521" customFormat="false" ht="15" hidden="false" customHeight="false" outlineLevel="0" collapsed="false">
      <c r="A2521" s="0" t="s">
        <v>5594</v>
      </c>
      <c r="B2521" s="0" t="s">
        <v>5595</v>
      </c>
      <c r="C2521" s="0" t="n">
        <v>7.95</v>
      </c>
    </row>
    <row r="2522" customFormat="false" ht="15" hidden="false" customHeight="false" outlineLevel="0" collapsed="false">
      <c r="A2522" s="0" t="s">
        <v>5596</v>
      </c>
      <c r="B2522" s="0" t="s">
        <v>5597</v>
      </c>
      <c r="C2522" s="0" t="n">
        <v>2.1</v>
      </c>
    </row>
    <row r="2523" customFormat="false" ht="15" hidden="false" customHeight="false" outlineLevel="0" collapsed="false">
      <c r="A2523" s="0" t="s">
        <v>5598</v>
      </c>
      <c r="B2523" s="0" t="s">
        <v>5599</v>
      </c>
      <c r="C2523" s="0" t="n">
        <v>6.75</v>
      </c>
    </row>
    <row r="2524" customFormat="false" ht="15" hidden="false" customHeight="false" outlineLevel="0" collapsed="false">
      <c r="A2524" s="0" t="s">
        <v>5600</v>
      </c>
      <c r="B2524" s="0" t="s">
        <v>330</v>
      </c>
      <c r="C2524" s="0" t="n">
        <v>6.95</v>
      </c>
    </row>
    <row r="2525" customFormat="false" ht="15" hidden="false" customHeight="false" outlineLevel="0" collapsed="false">
      <c r="A2525" s="0" t="s">
        <v>5601</v>
      </c>
      <c r="B2525" s="0" t="s">
        <v>5602</v>
      </c>
      <c r="C2525" s="0" t="n">
        <v>1.65</v>
      </c>
    </row>
    <row r="2526" customFormat="false" ht="15" hidden="false" customHeight="false" outlineLevel="0" collapsed="false">
      <c r="A2526" s="0" t="s">
        <v>5603</v>
      </c>
      <c r="B2526" s="0" t="s">
        <v>5604</v>
      </c>
      <c r="C2526" s="0" t="n">
        <v>10.75</v>
      </c>
    </row>
    <row r="2527" customFormat="false" ht="15" hidden="false" customHeight="false" outlineLevel="0" collapsed="false">
      <c r="A2527" s="0" t="s">
        <v>5605</v>
      </c>
      <c r="B2527" s="0" t="s">
        <v>5606</v>
      </c>
      <c r="C2527" s="0" t="n">
        <v>10.75</v>
      </c>
    </row>
    <row r="2528" customFormat="false" ht="15" hidden="false" customHeight="false" outlineLevel="0" collapsed="false">
      <c r="A2528" s="0" t="s">
        <v>5607</v>
      </c>
      <c r="B2528" s="0" t="s">
        <v>5608</v>
      </c>
      <c r="C2528" s="0" t="n">
        <v>10.75</v>
      </c>
    </row>
    <row r="2529" customFormat="false" ht="15" hidden="false" customHeight="false" outlineLevel="0" collapsed="false">
      <c r="A2529" s="0" t="s">
        <v>5609</v>
      </c>
      <c r="B2529" s="0" t="s">
        <v>5610</v>
      </c>
      <c r="C2529" s="0" t="n">
        <v>3.5</v>
      </c>
    </row>
    <row r="2530" customFormat="false" ht="15" hidden="false" customHeight="false" outlineLevel="0" collapsed="false">
      <c r="A2530" s="0" t="s">
        <v>5611</v>
      </c>
      <c r="B2530" s="0" t="s">
        <v>5612</v>
      </c>
      <c r="C2530" s="0" t="n">
        <v>1.65</v>
      </c>
    </row>
    <row r="2531" customFormat="false" ht="15" hidden="false" customHeight="false" outlineLevel="0" collapsed="false">
      <c r="A2531" s="0" t="s">
        <v>5613</v>
      </c>
      <c r="B2531" s="0" t="s">
        <v>764</v>
      </c>
      <c r="C2531" s="0" t="n">
        <v>2.55</v>
      </c>
    </row>
    <row r="2532" customFormat="false" ht="15" hidden="false" customHeight="false" outlineLevel="0" collapsed="false">
      <c r="A2532" s="0" t="s">
        <v>5614</v>
      </c>
      <c r="B2532" s="0" t="s">
        <v>5615</v>
      </c>
      <c r="C2532" s="0" t="n">
        <v>2.95</v>
      </c>
    </row>
    <row r="2533" customFormat="false" ht="15" hidden="false" customHeight="false" outlineLevel="0" collapsed="false">
      <c r="A2533" s="0" t="s">
        <v>5616</v>
      </c>
      <c r="B2533" s="0" t="s">
        <v>678</v>
      </c>
      <c r="C2533" s="0" t="n">
        <v>0.42</v>
      </c>
    </row>
    <row r="2534" customFormat="false" ht="15" hidden="false" customHeight="false" outlineLevel="0" collapsed="false">
      <c r="A2534" s="0" t="s">
        <v>5617</v>
      </c>
      <c r="B2534" s="0" t="s">
        <v>5618</v>
      </c>
      <c r="C2534" s="0" t="n">
        <v>0.85</v>
      </c>
    </row>
    <row r="2535" customFormat="false" ht="15" hidden="false" customHeight="false" outlineLevel="0" collapsed="false">
      <c r="A2535" s="0" t="s">
        <v>5619</v>
      </c>
      <c r="B2535" s="0" t="s">
        <v>484</v>
      </c>
      <c r="C2535" s="0" t="n">
        <v>0.85</v>
      </c>
    </row>
    <row r="2536" customFormat="false" ht="15" hidden="false" customHeight="false" outlineLevel="0" collapsed="false">
      <c r="A2536" s="0" t="s">
        <v>5620</v>
      </c>
      <c r="B2536" s="0" t="s">
        <v>5621</v>
      </c>
      <c r="C2536" s="0" t="n">
        <v>0.85</v>
      </c>
    </row>
    <row r="2537" customFormat="false" ht="15" hidden="false" customHeight="false" outlineLevel="0" collapsed="false">
      <c r="A2537" s="0" t="s">
        <v>5622</v>
      </c>
      <c r="B2537" s="0" t="s">
        <v>5623</v>
      </c>
      <c r="C2537" s="0" t="n">
        <v>1.25</v>
      </c>
    </row>
    <row r="2538" customFormat="false" ht="15" hidden="false" customHeight="false" outlineLevel="0" collapsed="false">
      <c r="A2538" s="0" t="s">
        <v>5624</v>
      </c>
      <c r="B2538" s="0" t="s">
        <v>5625</v>
      </c>
      <c r="C2538" s="0" t="n">
        <v>0.84</v>
      </c>
    </row>
    <row r="2539" customFormat="false" ht="15" hidden="false" customHeight="false" outlineLevel="0" collapsed="false">
      <c r="A2539" s="0" t="s">
        <v>5626</v>
      </c>
      <c r="B2539" s="0" t="s">
        <v>5627</v>
      </c>
      <c r="C2539" s="0" t="n">
        <v>0.84</v>
      </c>
    </row>
    <row r="2540" customFormat="false" ht="15" hidden="false" customHeight="false" outlineLevel="0" collapsed="false">
      <c r="A2540" s="0" t="s">
        <v>5628</v>
      </c>
      <c r="B2540" s="0" t="s">
        <v>5629</v>
      </c>
      <c r="C2540" s="0" t="n">
        <v>6.75</v>
      </c>
    </row>
    <row r="2541" customFormat="false" ht="15" hidden="false" customHeight="false" outlineLevel="0" collapsed="false">
      <c r="A2541" s="0" t="s">
        <v>5630</v>
      </c>
      <c r="B2541" s="0" t="s">
        <v>5631</v>
      </c>
      <c r="C2541" s="0" t="n">
        <v>1.25</v>
      </c>
    </row>
    <row r="2542" customFormat="false" ht="15" hidden="false" customHeight="false" outlineLevel="0" collapsed="false">
      <c r="A2542" s="0" t="s">
        <v>5632</v>
      </c>
      <c r="B2542" s="0" t="s">
        <v>5633</v>
      </c>
      <c r="C2542" s="0" t="n">
        <v>1.65</v>
      </c>
    </row>
    <row r="2543" customFormat="false" ht="15" hidden="false" customHeight="false" outlineLevel="0" collapsed="false">
      <c r="A2543" s="0" t="s">
        <v>5634</v>
      </c>
      <c r="B2543" s="0" t="s">
        <v>835</v>
      </c>
      <c r="C2543" s="0" t="n">
        <v>9.95</v>
      </c>
    </row>
    <row r="2544" customFormat="false" ht="15" hidden="false" customHeight="false" outlineLevel="0" collapsed="false">
      <c r="A2544" s="0" t="s">
        <v>5635</v>
      </c>
      <c r="B2544" s="0" t="s">
        <v>50</v>
      </c>
      <c r="C2544" s="0" t="n">
        <v>2.95</v>
      </c>
    </row>
    <row r="2545" customFormat="false" ht="15" hidden="false" customHeight="false" outlineLevel="0" collapsed="false">
      <c r="A2545" s="0" t="s">
        <v>5636</v>
      </c>
      <c r="B2545" s="0" t="s">
        <v>5637</v>
      </c>
      <c r="C2545" s="0" t="n">
        <v>14.95</v>
      </c>
    </row>
    <row r="2546" customFormat="false" ht="15" hidden="false" customHeight="false" outlineLevel="0" collapsed="false">
      <c r="A2546" s="0" t="s">
        <v>5638</v>
      </c>
      <c r="B2546" s="0" t="s">
        <v>5639</v>
      </c>
      <c r="C2546" s="0" t="n">
        <v>9.95</v>
      </c>
    </row>
    <row r="2547" customFormat="false" ht="15" hidden="false" customHeight="false" outlineLevel="0" collapsed="false">
      <c r="A2547" s="0" t="s">
        <v>5640</v>
      </c>
      <c r="B2547" s="0" t="s">
        <v>5641</v>
      </c>
      <c r="C2547" s="0" t="n">
        <v>4.25</v>
      </c>
    </row>
    <row r="2548" customFormat="false" ht="15" hidden="false" customHeight="false" outlineLevel="0" collapsed="false">
      <c r="A2548" s="0" t="s">
        <v>5642</v>
      </c>
      <c r="B2548" s="0" t="s">
        <v>373</v>
      </c>
      <c r="C2548" s="0" t="n">
        <v>4.95</v>
      </c>
    </row>
    <row r="2549" customFormat="false" ht="15" hidden="false" customHeight="false" outlineLevel="0" collapsed="false">
      <c r="A2549" s="0" t="s">
        <v>5643</v>
      </c>
      <c r="B2549" s="0" t="s">
        <v>292</v>
      </c>
      <c r="C2549" s="0" t="n">
        <v>1.45</v>
      </c>
    </row>
    <row r="2550" customFormat="false" ht="15" hidden="false" customHeight="false" outlineLevel="0" collapsed="false">
      <c r="A2550" s="0" t="s">
        <v>5644</v>
      </c>
      <c r="B2550" s="0" t="s">
        <v>5645</v>
      </c>
      <c r="C2550" s="0" t="n">
        <v>6.75</v>
      </c>
    </row>
    <row r="2551" customFormat="false" ht="15" hidden="false" customHeight="false" outlineLevel="0" collapsed="false">
      <c r="A2551" s="0" t="s">
        <v>5646</v>
      </c>
      <c r="B2551" s="0" t="s">
        <v>5647</v>
      </c>
      <c r="C2551" s="0" t="n">
        <v>0.21</v>
      </c>
    </row>
    <row r="2552" customFormat="false" ht="15" hidden="false" customHeight="false" outlineLevel="0" collapsed="false">
      <c r="A2552" s="0" t="s">
        <v>5648</v>
      </c>
      <c r="B2552" s="0" t="s">
        <v>259</v>
      </c>
      <c r="C2552" s="0" t="n">
        <v>1.25</v>
      </c>
    </row>
    <row r="2553" customFormat="false" ht="15" hidden="false" customHeight="false" outlineLevel="0" collapsed="false">
      <c r="A2553" s="0" t="s">
        <v>5649</v>
      </c>
      <c r="B2553" s="0" t="s">
        <v>5650</v>
      </c>
      <c r="C2553" s="0" t="n">
        <v>4.21</v>
      </c>
    </row>
    <row r="2554" customFormat="false" ht="15" hidden="false" customHeight="false" outlineLevel="0" collapsed="false">
      <c r="A2554" s="0" t="s">
        <v>5651</v>
      </c>
      <c r="B2554" s="0" t="s">
        <v>5652</v>
      </c>
      <c r="C2554" s="0" t="n">
        <v>2.55</v>
      </c>
    </row>
    <row r="2555" customFormat="false" ht="15" hidden="false" customHeight="false" outlineLevel="0" collapsed="false">
      <c r="A2555" s="0" t="s">
        <v>5653</v>
      </c>
      <c r="B2555" s="0" t="s">
        <v>335</v>
      </c>
      <c r="C2555" s="0" t="n">
        <v>3.35</v>
      </c>
    </row>
    <row r="2556" customFormat="false" ht="15" hidden="false" customHeight="false" outlineLevel="0" collapsed="false">
      <c r="A2556" s="0" t="s">
        <v>5654</v>
      </c>
      <c r="B2556" s="0" t="s">
        <v>5655</v>
      </c>
      <c r="C2556" s="0" t="n">
        <v>3.35</v>
      </c>
    </row>
    <row r="2557" customFormat="false" ht="15" hidden="false" customHeight="false" outlineLevel="0" collapsed="false">
      <c r="A2557" s="0" t="s">
        <v>5656</v>
      </c>
      <c r="B2557" s="0" t="s">
        <v>334</v>
      </c>
      <c r="C2557" s="0" t="n">
        <v>3.35</v>
      </c>
    </row>
    <row r="2558" customFormat="false" ht="15" hidden="false" customHeight="false" outlineLevel="0" collapsed="false">
      <c r="A2558" s="0" t="s">
        <v>5657</v>
      </c>
      <c r="B2558" s="0" t="s">
        <v>331</v>
      </c>
      <c r="C2558" s="0" t="n">
        <v>5.06</v>
      </c>
    </row>
    <row r="2559" customFormat="false" ht="15" hidden="false" customHeight="false" outlineLevel="0" collapsed="false">
      <c r="A2559" s="0" t="s">
        <v>5658</v>
      </c>
      <c r="B2559" s="0" t="s">
        <v>5659</v>
      </c>
      <c r="C2559" s="0" t="n">
        <v>3.36</v>
      </c>
    </row>
    <row r="2560" customFormat="false" ht="15" hidden="false" customHeight="false" outlineLevel="0" collapsed="false">
      <c r="A2560" s="0" t="s">
        <v>5660</v>
      </c>
      <c r="B2560" s="0" t="s">
        <v>5661</v>
      </c>
      <c r="C2560" s="0" t="n">
        <v>5.95</v>
      </c>
    </row>
    <row r="2561" customFormat="false" ht="15" hidden="false" customHeight="false" outlineLevel="0" collapsed="false">
      <c r="A2561" s="0" t="s">
        <v>5662</v>
      </c>
      <c r="B2561" s="0" t="s">
        <v>5663</v>
      </c>
      <c r="C2561" s="0" t="n">
        <v>4.24</v>
      </c>
    </row>
    <row r="2562" customFormat="false" ht="15" hidden="false" customHeight="false" outlineLevel="0" collapsed="false">
      <c r="A2562" s="0" t="s">
        <v>5664</v>
      </c>
      <c r="B2562" s="0" t="s">
        <v>94</v>
      </c>
      <c r="C2562" s="0" t="n">
        <v>3.75</v>
      </c>
    </row>
    <row r="2563" customFormat="false" ht="15" hidden="false" customHeight="false" outlineLevel="0" collapsed="false">
      <c r="A2563" s="0" t="s">
        <v>5665</v>
      </c>
      <c r="B2563" s="0" t="s">
        <v>5666</v>
      </c>
      <c r="C2563" s="0" t="n">
        <v>12.75</v>
      </c>
    </row>
    <row r="2564" customFormat="false" ht="15" hidden="false" customHeight="false" outlineLevel="0" collapsed="false">
      <c r="A2564" s="0" t="s">
        <v>5667</v>
      </c>
      <c r="B2564" s="0" t="s">
        <v>5668</v>
      </c>
      <c r="C2564" s="0" t="n">
        <v>5.91</v>
      </c>
    </row>
    <row r="2565" customFormat="false" ht="15" hidden="false" customHeight="false" outlineLevel="0" collapsed="false">
      <c r="A2565" s="0" t="s">
        <v>5669</v>
      </c>
      <c r="B2565" s="0" t="s">
        <v>5670</v>
      </c>
      <c r="C2565" s="0" t="n">
        <v>1.69</v>
      </c>
    </row>
    <row r="2566" customFormat="false" ht="15" hidden="false" customHeight="false" outlineLevel="0" collapsed="false">
      <c r="A2566" s="0" t="s">
        <v>5671</v>
      </c>
      <c r="B2566" s="0" t="s">
        <v>5672</v>
      </c>
      <c r="C2566" s="0" t="n">
        <v>5.95</v>
      </c>
    </row>
    <row r="2567" customFormat="false" ht="15" hidden="false" customHeight="false" outlineLevel="0" collapsed="false">
      <c r="A2567" s="0" t="s">
        <v>5673</v>
      </c>
      <c r="B2567" s="0" t="s">
        <v>5674</v>
      </c>
      <c r="C2567" s="0" t="n">
        <v>45.95</v>
      </c>
    </row>
    <row r="2568" customFormat="false" ht="15" hidden="false" customHeight="false" outlineLevel="0" collapsed="false">
      <c r="A2568" s="0" t="s">
        <v>5675</v>
      </c>
      <c r="B2568" s="0" t="s">
        <v>5676</v>
      </c>
      <c r="C2568" s="0" t="n">
        <v>5.91</v>
      </c>
    </row>
    <row r="2569" customFormat="false" ht="15" hidden="false" customHeight="false" outlineLevel="0" collapsed="false">
      <c r="A2569" s="0" t="s">
        <v>5677</v>
      </c>
      <c r="B2569" s="0" t="s">
        <v>5678</v>
      </c>
      <c r="C2569" s="0" t="n">
        <v>2.95</v>
      </c>
    </row>
    <row r="2570" customFormat="false" ht="15" hidden="false" customHeight="false" outlineLevel="0" collapsed="false">
      <c r="A2570" s="0" t="s">
        <v>5679</v>
      </c>
      <c r="B2570" s="0" t="s">
        <v>5680</v>
      </c>
      <c r="C2570" s="0" t="n">
        <v>5.95</v>
      </c>
    </row>
    <row r="2571" customFormat="false" ht="15" hidden="false" customHeight="false" outlineLevel="0" collapsed="false">
      <c r="A2571" s="0" t="s">
        <v>5681</v>
      </c>
      <c r="B2571" s="0" t="s">
        <v>5682</v>
      </c>
      <c r="C2571" s="0" t="n">
        <v>2.95</v>
      </c>
    </row>
    <row r="2572" customFormat="false" ht="15" hidden="false" customHeight="false" outlineLevel="0" collapsed="false">
      <c r="A2572" s="0" t="s">
        <v>5683</v>
      </c>
      <c r="B2572" s="0" t="s">
        <v>5684</v>
      </c>
      <c r="C2572" s="0" t="n">
        <v>6.95</v>
      </c>
    </row>
    <row r="2573" customFormat="false" ht="15" hidden="false" customHeight="false" outlineLevel="0" collapsed="false">
      <c r="A2573" s="0" t="s">
        <v>5685</v>
      </c>
      <c r="B2573" s="0" t="s">
        <v>5686</v>
      </c>
      <c r="C2573" s="0" t="n">
        <v>6.95</v>
      </c>
    </row>
    <row r="2574" customFormat="false" ht="15" hidden="false" customHeight="false" outlineLevel="0" collapsed="false">
      <c r="A2574" s="0" t="s">
        <v>5687</v>
      </c>
      <c r="B2574" s="0" t="s">
        <v>5688</v>
      </c>
      <c r="C2574" s="0" t="n">
        <v>4.3</v>
      </c>
    </row>
    <row r="2575" customFormat="false" ht="15" hidden="false" customHeight="false" outlineLevel="0" collapsed="false">
      <c r="A2575" s="0" t="s">
        <v>5689</v>
      </c>
      <c r="B2575" s="0" t="s">
        <v>5690</v>
      </c>
      <c r="C2575" s="0" t="n">
        <v>5.95</v>
      </c>
    </row>
    <row r="2576" customFormat="false" ht="15" hidden="false" customHeight="false" outlineLevel="0" collapsed="false">
      <c r="A2576" s="0" t="s">
        <v>5691</v>
      </c>
      <c r="B2576" s="0" t="s">
        <v>5692</v>
      </c>
      <c r="C2576" s="0" t="n">
        <v>0.42</v>
      </c>
    </row>
    <row r="2577" customFormat="false" ht="15" hidden="false" customHeight="false" outlineLevel="0" collapsed="false">
      <c r="A2577" s="0" t="s">
        <v>5693</v>
      </c>
      <c r="B2577" s="0" t="s">
        <v>5694</v>
      </c>
      <c r="C2577" s="0" t="n">
        <v>1.25</v>
      </c>
    </row>
    <row r="2578" customFormat="false" ht="15" hidden="false" customHeight="false" outlineLevel="0" collapsed="false">
      <c r="A2578" s="0" t="s">
        <v>5695</v>
      </c>
      <c r="B2578" s="0" t="s">
        <v>5696</v>
      </c>
      <c r="C2578" s="0" t="n">
        <v>2.1</v>
      </c>
    </row>
    <row r="2579" customFormat="false" ht="15" hidden="false" customHeight="false" outlineLevel="0" collapsed="false">
      <c r="A2579" s="0" t="s">
        <v>5697</v>
      </c>
      <c r="B2579" s="0" t="s">
        <v>5698</v>
      </c>
      <c r="C2579" s="0" t="n">
        <v>1.69</v>
      </c>
    </row>
    <row r="2580" customFormat="false" ht="15" hidden="false" customHeight="false" outlineLevel="0" collapsed="false">
      <c r="A2580" s="0" t="s">
        <v>5699</v>
      </c>
      <c r="B2580" s="0" t="s">
        <v>5700</v>
      </c>
      <c r="C2580" s="0" t="n">
        <v>4.65</v>
      </c>
    </row>
    <row r="2581" customFormat="false" ht="15" hidden="false" customHeight="false" outlineLevel="0" collapsed="false">
      <c r="A2581" s="0" t="s">
        <v>5701</v>
      </c>
      <c r="B2581" s="0" t="s">
        <v>5702</v>
      </c>
      <c r="C2581" s="0" t="n">
        <v>1.25</v>
      </c>
    </row>
    <row r="2582" customFormat="false" ht="15" hidden="false" customHeight="false" outlineLevel="0" collapsed="false">
      <c r="A2582" s="0" t="s">
        <v>5703</v>
      </c>
      <c r="B2582" s="0" t="s">
        <v>5704</v>
      </c>
      <c r="C2582" s="0" t="n">
        <v>6.95</v>
      </c>
    </row>
    <row r="2583" customFormat="false" ht="15" hidden="false" customHeight="false" outlineLevel="0" collapsed="false">
      <c r="A2583" s="0" t="s">
        <v>5705</v>
      </c>
      <c r="B2583" s="0" t="s">
        <v>5706</v>
      </c>
      <c r="C2583" s="0" t="n">
        <v>0.85</v>
      </c>
    </row>
    <row r="2584" customFormat="false" ht="15" hidden="false" customHeight="false" outlineLevel="0" collapsed="false">
      <c r="A2584" s="0" t="s">
        <v>5707</v>
      </c>
      <c r="B2584" s="0" t="s">
        <v>5708</v>
      </c>
      <c r="C2584" s="0" t="n">
        <v>5.91</v>
      </c>
    </row>
    <row r="2585" customFormat="false" ht="15" hidden="false" customHeight="false" outlineLevel="0" collapsed="false">
      <c r="A2585" s="0" t="s">
        <v>5709</v>
      </c>
      <c r="B2585" s="0" t="s">
        <v>5710</v>
      </c>
      <c r="C2585" s="0" t="n">
        <v>5.06</v>
      </c>
    </row>
    <row r="2586" customFormat="false" ht="15" hidden="false" customHeight="false" outlineLevel="0" collapsed="false">
      <c r="A2586" s="0" t="s">
        <v>5711</v>
      </c>
      <c r="B2586" s="0" t="s">
        <v>5712</v>
      </c>
      <c r="C2586" s="0" t="n">
        <v>4.21</v>
      </c>
    </row>
    <row r="2587" customFormat="false" ht="15" hidden="false" customHeight="false" outlineLevel="0" collapsed="false">
      <c r="A2587" s="0" t="s">
        <v>5713</v>
      </c>
      <c r="B2587" s="0" t="s">
        <v>5714</v>
      </c>
      <c r="C2587" s="0" t="n">
        <v>1.25</v>
      </c>
    </row>
    <row r="2588" customFormat="false" ht="15" hidden="false" customHeight="false" outlineLevel="0" collapsed="false">
      <c r="A2588" s="0" t="s">
        <v>5715</v>
      </c>
      <c r="B2588" s="0" t="s">
        <v>5716</v>
      </c>
      <c r="C2588" s="0" t="n">
        <v>4.25</v>
      </c>
    </row>
    <row r="2589" customFormat="false" ht="15" hidden="false" customHeight="false" outlineLevel="0" collapsed="false">
      <c r="A2589" s="0" t="s">
        <v>5717</v>
      </c>
      <c r="B2589" s="0" t="s">
        <v>697</v>
      </c>
      <c r="C2589" s="0" t="n">
        <v>1.45</v>
      </c>
    </row>
    <row r="2590" customFormat="false" ht="15" hidden="false" customHeight="false" outlineLevel="0" collapsed="false">
      <c r="A2590" s="0" t="s">
        <v>5718</v>
      </c>
      <c r="B2590" s="0" t="s">
        <v>5719</v>
      </c>
      <c r="C2590" s="0" t="n">
        <v>1.25</v>
      </c>
    </row>
    <row r="2591" customFormat="false" ht="15" hidden="false" customHeight="false" outlineLevel="0" collapsed="false">
      <c r="A2591" s="0" t="s">
        <v>5720</v>
      </c>
      <c r="B2591" s="0" t="s">
        <v>5721</v>
      </c>
      <c r="C2591" s="0" t="n">
        <v>2.1</v>
      </c>
    </row>
    <row r="2592" customFormat="false" ht="15" hidden="false" customHeight="false" outlineLevel="0" collapsed="false">
      <c r="A2592" s="0" t="s">
        <v>5722</v>
      </c>
      <c r="B2592" s="0" t="s">
        <v>5723</v>
      </c>
      <c r="C2592" s="0" t="n">
        <v>4.21</v>
      </c>
    </row>
    <row r="2593" customFormat="false" ht="15" hidden="false" customHeight="false" outlineLevel="0" collapsed="false">
      <c r="A2593" s="0" t="s">
        <v>5724</v>
      </c>
      <c r="B2593" s="0" t="s">
        <v>5725</v>
      </c>
      <c r="C2593" s="0" t="n">
        <v>11.02</v>
      </c>
    </row>
    <row r="2594" customFormat="false" ht="15" hidden="false" customHeight="false" outlineLevel="0" collapsed="false">
      <c r="A2594" s="0" t="s">
        <v>5726</v>
      </c>
      <c r="B2594" s="0" t="s">
        <v>5727</v>
      </c>
      <c r="C2594" s="0" t="n">
        <v>6.75</v>
      </c>
    </row>
    <row r="2595" customFormat="false" ht="15" hidden="false" customHeight="false" outlineLevel="0" collapsed="false">
      <c r="A2595" s="0" t="s">
        <v>5728</v>
      </c>
      <c r="B2595" s="0" t="s">
        <v>5729</v>
      </c>
      <c r="C2595" s="0" t="n">
        <v>2.1</v>
      </c>
    </row>
    <row r="2596" customFormat="false" ht="15" hidden="false" customHeight="false" outlineLevel="0" collapsed="false">
      <c r="A2596" s="0" t="s">
        <v>5730</v>
      </c>
      <c r="B2596" s="0" t="s">
        <v>5731</v>
      </c>
      <c r="C2596" s="0" t="n">
        <v>1.25</v>
      </c>
    </row>
    <row r="2597" customFormat="false" ht="15" hidden="false" customHeight="false" outlineLevel="0" collapsed="false">
      <c r="A2597" s="0" t="s">
        <v>5732</v>
      </c>
      <c r="B2597" s="0" t="s">
        <v>5733</v>
      </c>
      <c r="C2597" s="0" t="n">
        <v>0.38</v>
      </c>
    </row>
    <row r="2598" customFormat="false" ht="15" hidden="false" customHeight="false" outlineLevel="0" collapsed="false">
      <c r="A2598" s="0" t="s">
        <v>5734</v>
      </c>
      <c r="B2598" s="0" t="s">
        <v>5735</v>
      </c>
      <c r="C2598" s="0" t="n">
        <v>2.1</v>
      </c>
    </row>
    <row r="2599" customFormat="false" ht="15" hidden="false" customHeight="false" outlineLevel="0" collapsed="false">
      <c r="A2599" s="0" t="s">
        <v>5736</v>
      </c>
      <c r="B2599" s="0" t="s">
        <v>5737</v>
      </c>
      <c r="C2599" s="0" t="n">
        <v>1.25</v>
      </c>
    </row>
    <row r="2600" customFormat="false" ht="15" hidden="false" customHeight="false" outlineLevel="0" collapsed="false">
      <c r="A2600" s="0" t="s">
        <v>5738</v>
      </c>
      <c r="B2600" s="0" t="s">
        <v>5739</v>
      </c>
      <c r="C2600" s="0" t="n">
        <v>4.95</v>
      </c>
    </row>
    <row r="2601" customFormat="false" ht="15" hidden="false" customHeight="false" outlineLevel="0" collapsed="false">
      <c r="A2601" s="0" t="s">
        <v>5740</v>
      </c>
      <c r="B2601" s="0" t="s">
        <v>5741</v>
      </c>
      <c r="C2601" s="0" t="n">
        <v>1.25</v>
      </c>
    </row>
    <row r="2602" customFormat="false" ht="15" hidden="false" customHeight="false" outlineLevel="0" collapsed="false">
      <c r="A2602" s="0" t="s">
        <v>5742</v>
      </c>
      <c r="B2602" s="0" t="s">
        <v>5743</v>
      </c>
      <c r="C2602" s="0" t="n">
        <v>4.25</v>
      </c>
    </row>
    <row r="2603" customFormat="false" ht="15" hidden="false" customHeight="false" outlineLevel="0" collapsed="false">
      <c r="A2603" s="0" t="s">
        <v>5744</v>
      </c>
      <c r="B2603" s="0" t="s">
        <v>5745</v>
      </c>
      <c r="C2603" s="0" t="n">
        <v>0.85</v>
      </c>
    </row>
    <row r="2604" customFormat="false" ht="15" hidden="false" customHeight="false" outlineLevel="0" collapsed="false">
      <c r="A2604" s="0" t="s">
        <v>5746</v>
      </c>
      <c r="B2604" s="0" t="s">
        <v>5747</v>
      </c>
      <c r="C2604" s="0" t="n">
        <v>0.85</v>
      </c>
    </row>
    <row r="2605" customFormat="false" ht="15" hidden="false" customHeight="false" outlineLevel="0" collapsed="false">
      <c r="A2605" s="0" t="s">
        <v>5748</v>
      </c>
      <c r="B2605" s="0" t="s">
        <v>5749</v>
      </c>
      <c r="C2605" s="0" t="n">
        <v>0.85</v>
      </c>
    </row>
    <row r="2606" customFormat="false" ht="15" hidden="false" customHeight="false" outlineLevel="0" collapsed="false">
      <c r="A2606" s="0" t="s">
        <v>5750</v>
      </c>
      <c r="B2606" s="0" t="s">
        <v>5751</v>
      </c>
      <c r="C2606" s="0" t="n">
        <v>4.95</v>
      </c>
    </row>
    <row r="2607" customFormat="false" ht="15" hidden="false" customHeight="false" outlineLevel="0" collapsed="false">
      <c r="A2607" s="0" t="s">
        <v>5752</v>
      </c>
      <c r="B2607" s="0" t="s">
        <v>5753</v>
      </c>
      <c r="C2607" s="0" t="n">
        <v>0.19</v>
      </c>
    </row>
    <row r="2608" customFormat="false" ht="15" hidden="false" customHeight="false" outlineLevel="0" collapsed="false">
      <c r="A2608" s="0" t="s">
        <v>5754</v>
      </c>
      <c r="B2608" s="0" t="s">
        <v>5755</v>
      </c>
      <c r="C2608" s="0" t="n">
        <v>2.51</v>
      </c>
    </row>
    <row r="2609" customFormat="false" ht="15" hidden="false" customHeight="false" outlineLevel="0" collapsed="false">
      <c r="A2609" s="0" t="s">
        <v>5756</v>
      </c>
      <c r="B2609" s="0" t="s">
        <v>5757</v>
      </c>
      <c r="C2609" s="0" t="n">
        <v>4.21</v>
      </c>
    </row>
    <row r="2610" customFormat="false" ht="15" hidden="false" customHeight="false" outlineLevel="0" collapsed="false">
      <c r="A2610" s="0" t="s">
        <v>5758</v>
      </c>
      <c r="B2610" s="0" t="s">
        <v>5759</v>
      </c>
      <c r="C2610" s="0" t="n">
        <v>5.95</v>
      </c>
    </row>
    <row r="2611" customFormat="false" ht="15" hidden="false" customHeight="false" outlineLevel="0" collapsed="false">
      <c r="A2611" s="0" t="s">
        <v>5760</v>
      </c>
      <c r="B2611" s="0" t="s">
        <v>5761</v>
      </c>
      <c r="C2611" s="0" t="n">
        <v>2.95</v>
      </c>
    </row>
    <row r="2612" customFormat="false" ht="15" hidden="false" customHeight="false" outlineLevel="0" collapsed="false">
      <c r="A2612" s="0" t="s">
        <v>5762</v>
      </c>
      <c r="B2612" s="0" t="s">
        <v>5763</v>
      </c>
      <c r="C2612" s="0" t="n">
        <v>5.95</v>
      </c>
    </row>
    <row r="2613" customFormat="false" ht="15" hidden="false" customHeight="false" outlineLevel="0" collapsed="false">
      <c r="A2613" s="0" t="s">
        <v>5764</v>
      </c>
      <c r="B2613" s="0" t="s">
        <v>5765</v>
      </c>
      <c r="C2613" s="0" t="n">
        <v>1.05</v>
      </c>
    </row>
    <row r="2614" customFormat="false" ht="15" hidden="false" customHeight="false" outlineLevel="0" collapsed="false">
      <c r="A2614" s="0" t="s">
        <v>5766</v>
      </c>
      <c r="B2614" s="0" t="s">
        <v>5767</v>
      </c>
      <c r="C2614" s="0" t="n">
        <v>1.65</v>
      </c>
    </row>
    <row r="2615" customFormat="false" ht="15" hidden="false" customHeight="false" outlineLevel="0" collapsed="false">
      <c r="A2615" s="0" t="s">
        <v>5768</v>
      </c>
      <c r="B2615" s="0" t="s">
        <v>5769</v>
      </c>
      <c r="C2615" s="0" t="n">
        <v>1.25</v>
      </c>
    </row>
    <row r="2616" customFormat="false" ht="15" hidden="false" customHeight="false" outlineLevel="0" collapsed="false">
      <c r="A2616" s="0" t="s">
        <v>5770</v>
      </c>
      <c r="B2616" s="0" t="s">
        <v>5771</v>
      </c>
      <c r="C2616" s="0" t="n">
        <v>0.85</v>
      </c>
    </row>
    <row r="2617" customFormat="false" ht="15" hidden="false" customHeight="false" outlineLevel="0" collapsed="false">
      <c r="A2617" s="0" t="s">
        <v>5772</v>
      </c>
      <c r="B2617" s="0" t="s">
        <v>5773</v>
      </c>
      <c r="C2617" s="0" t="n">
        <v>3.75</v>
      </c>
    </row>
    <row r="2618" customFormat="false" ht="15" hidden="false" customHeight="false" outlineLevel="0" collapsed="false">
      <c r="A2618" s="0" t="s">
        <v>5774</v>
      </c>
      <c r="B2618" s="0" t="s">
        <v>5775</v>
      </c>
      <c r="C2618" s="0" t="n">
        <v>0.85</v>
      </c>
    </row>
    <row r="2619" customFormat="false" ht="15" hidden="false" customHeight="false" outlineLevel="0" collapsed="false">
      <c r="A2619" s="0" t="s">
        <v>5776</v>
      </c>
      <c r="B2619" s="0" t="s">
        <v>5777</v>
      </c>
      <c r="C2619" s="0" t="n">
        <v>2.96</v>
      </c>
    </row>
    <row r="2620" customFormat="false" ht="15" hidden="false" customHeight="false" outlineLevel="0" collapsed="false">
      <c r="A2620" s="0" t="s">
        <v>5778</v>
      </c>
      <c r="B2620" s="0" t="s">
        <v>5779</v>
      </c>
      <c r="C2620" s="0" t="n">
        <v>2.11</v>
      </c>
    </row>
    <row r="2621" customFormat="false" ht="15" hidden="false" customHeight="false" outlineLevel="0" collapsed="false">
      <c r="A2621" s="0" t="s">
        <v>5780</v>
      </c>
      <c r="B2621" s="0" t="s">
        <v>5781</v>
      </c>
      <c r="C2621" s="0" t="n">
        <v>1.95</v>
      </c>
    </row>
    <row r="2622" customFormat="false" ht="15" hidden="false" customHeight="false" outlineLevel="0" collapsed="false">
      <c r="A2622" s="0" t="s">
        <v>5782</v>
      </c>
      <c r="B2622" s="0" t="s">
        <v>5783</v>
      </c>
      <c r="C2622" s="0" t="n">
        <v>1.66</v>
      </c>
    </row>
    <row r="2623" customFormat="false" ht="15" hidden="false" customHeight="false" outlineLevel="0" collapsed="false">
      <c r="A2623" s="0" t="s">
        <v>5784</v>
      </c>
      <c r="B2623" s="0" t="s">
        <v>5785</v>
      </c>
      <c r="C2623" s="0" t="n">
        <v>3.75</v>
      </c>
    </row>
    <row r="2624" customFormat="false" ht="15" hidden="false" customHeight="false" outlineLevel="0" collapsed="false">
      <c r="A2624" s="0" t="s">
        <v>5784</v>
      </c>
      <c r="B2624" s="0" t="s">
        <v>5786</v>
      </c>
      <c r="C2624" s="0" t="n">
        <v>2.55</v>
      </c>
    </row>
    <row r="2625" customFormat="false" ht="15" hidden="false" customHeight="false" outlineLevel="0" collapsed="false">
      <c r="A2625" s="0" t="s">
        <v>5787</v>
      </c>
      <c r="B2625" s="0" t="s">
        <v>5788</v>
      </c>
      <c r="C2625" s="0" t="n">
        <v>0.19</v>
      </c>
    </row>
    <row r="2626" customFormat="false" ht="15" hidden="false" customHeight="false" outlineLevel="0" collapsed="false">
      <c r="A2626" s="0" t="s">
        <v>5789</v>
      </c>
      <c r="B2626" s="0" t="s">
        <v>5790</v>
      </c>
      <c r="C2626" s="0" t="n">
        <v>1.25</v>
      </c>
    </row>
    <row r="2627" customFormat="false" ht="15" hidden="false" customHeight="false" outlineLevel="0" collapsed="false">
      <c r="A2627" s="0" t="s">
        <v>5791</v>
      </c>
      <c r="B2627" s="0" t="s">
        <v>5792</v>
      </c>
      <c r="C2627" s="0" t="n">
        <v>1.65</v>
      </c>
    </row>
    <row r="2628" customFormat="false" ht="15" hidden="false" customHeight="false" outlineLevel="0" collapsed="false">
      <c r="A2628" s="0" t="s">
        <v>5793</v>
      </c>
      <c r="B2628" s="0" t="s">
        <v>5794</v>
      </c>
      <c r="C2628" s="0" t="n">
        <v>2.55</v>
      </c>
    </row>
    <row r="2629" customFormat="false" ht="15" hidden="false" customHeight="false" outlineLevel="0" collapsed="false">
      <c r="A2629" s="0" t="s">
        <v>5795</v>
      </c>
      <c r="B2629" s="0" t="s">
        <v>5796</v>
      </c>
      <c r="C2629" s="0" t="n">
        <v>1.66</v>
      </c>
    </row>
    <row r="2630" customFormat="false" ht="15" hidden="false" customHeight="false" outlineLevel="0" collapsed="false">
      <c r="A2630" s="0" t="s">
        <v>5797</v>
      </c>
      <c r="B2630" s="0" t="s">
        <v>5798</v>
      </c>
      <c r="C2630" s="0" t="n">
        <v>1.65</v>
      </c>
    </row>
    <row r="2631" customFormat="false" ht="15" hidden="false" customHeight="false" outlineLevel="0" collapsed="false">
      <c r="A2631" s="0" t="s">
        <v>5797</v>
      </c>
      <c r="B2631" s="0" t="s">
        <v>5799</v>
      </c>
      <c r="C2631" s="0" t="n">
        <v>1.65</v>
      </c>
    </row>
    <row r="2632" customFormat="false" ht="15" hidden="false" customHeight="false" outlineLevel="0" collapsed="false">
      <c r="A2632" s="0" t="s">
        <v>5800</v>
      </c>
      <c r="B2632" s="0" t="s">
        <v>5801</v>
      </c>
      <c r="C2632" s="0" t="n">
        <v>4.65</v>
      </c>
    </row>
    <row r="2633" customFormat="false" ht="15" hidden="false" customHeight="false" outlineLevel="0" collapsed="false">
      <c r="A2633" s="0" t="s">
        <v>5802</v>
      </c>
      <c r="B2633" s="0" t="s">
        <v>5803</v>
      </c>
      <c r="C2633" s="0" t="n">
        <v>3.75</v>
      </c>
    </row>
    <row r="2634" customFormat="false" ht="15" hidden="false" customHeight="false" outlineLevel="0" collapsed="false">
      <c r="A2634" s="0" t="s">
        <v>5804</v>
      </c>
      <c r="B2634" s="0" t="s">
        <v>5805</v>
      </c>
      <c r="C2634" s="0" t="n">
        <v>1.95</v>
      </c>
    </row>
    <row r="2635" customFormat="false" ht="15" hidden="false" customHeight="false" outlineLevel="0" collapsed="false">
      <c r="A2635" s="0" t="s">
        <v>5806</v>
      </c>
      <c r="B2635" s="0" t="s">
        <v>48</v>
      </c>
      <c r="C2635" s="0" t="n">
        <v>3.75</v>
      </c>
    </row>
    <row r="2636" customFormat="false" ht="15" hidden="false" customHeight="false" outlineLevel="0" collapsed="false">
      <c r="A2636" s="0" t="s">
        <v>5807</v>
      </c>
      <c r="B2636" s="0" t="s">
        <v>5808</v>
      </c>
      <c r="C2636" s="0" t="n">
        <v>3.75</v>
      </c>
    </row>
    <row r="2637" customFormat="false" ht="15" hidden="false" customHeight="false" outlineLevel="0" collapsed="false">
      <c r="A2637" s="0" t="s">
        <v>5809</v>
      </c>
      <c r="B2637" s="0" t="s">
        <v>5810</v>
      </c>
      <c r="C2637" s="0" t="n">
        <v>3.75</v>
      </c>
    </row>
    <row r="2638" customFormat="false" ht="15" hidden="false" customHeight="false" outlineLevel="0" collapsed="false">
      <c r="A2638" s="0" t="s">
        <v>5811</v>
      </c>
      <c r="B2638" s="0" t="s">
        <v>5812</v>
      </c>
      <c r="C2638" s="0" t="n">
        <v>0.85</v>
      </c>
    </row>
    <row r="2639" customFormat="false" ht="15" hidden="false" customHeight="false" outlineLevel="0" collapsed="false">
      <c r="A2639" s="0" t="s">
        <v>5813</v>
      </c>
      <c r="B2639" s="0" t="s">
        <v>5814</v>
      </c>
      <c r="C2639" s="0" t="n">
        <v>3.25</v>
      </c>
    </row>
    <row r="2640" customFormat="false" ht="15" hidden="false" customHeight="false" outlineLevel="0" collapsed="false">
      <c r="A2640" s="0" t="s">
        <v>5815</v>
      </c>
      <c r="B2640" s="0" t="s">
        <v>5816</v>
      </c>
      <c r="C2640" s="0" t="n">
        <v>2.95</v>
      </c>
    </row>
    <row r="2641" customFormat="false" ht="15" hidden="false" customHeight="false" outlineLevel="0" collapsed="false">
      <c r="A2641" s="0" t="s">
        <v>5815</v>
      </c>
      <c r="B2641" s="0" t="s">
        <v>5817</v>
      </c>
      <c r="C2641" s="0" t="n">
        <v>1.95</v>
      </c>
    </row>
    <row r="2642" customFormat="false" ht="15" hidden="false" customHeight="false" outlineLevel="0" collapsed="false">
      <c r="A2642" s="0" t="s">
        <v>5818</v>
      </c>
      <c r="B2642" s="0" t="s">
        <v>5819</v>
      </c>
      <c r="C2642" s="0" t="n">
        <v>0.19</v>
      </c>
    </row>
    <row r="2643" customFormat="false" ht="15" hidden="false" customHeight="false" outlineLevel="0" collapsed="false">
      <c r="A2643" s="0" t="s">
        <v>5820</v>
      </c>
      <c r="B2643" s="0" t="s">
        <v>5821</v>
      </c>
      <c r="C2643" s="0" t="n">
        <v>0.65</v>
      </c>
    </row>
    <row r="2644" customFormat="false" ht="15" hidden="false" customHeight="false" outlineLevel="0" collapsed="false">
      <c r="A2644" s="0" t="s">
        <v>5822</v>
      </c>
      <c r="B2644" s="0" t="s">
        <v>5823</v>
      </c>
      <c r="C2644" s="0" t="n">
        <v>2.55</v>
      </c>
    </row>
    <row r="2645" customFormat="false" ht="15" hidden="false" customHeight="false" outlineLevel="0" collapsed="false">
      <c r="A2645" s="0" t="s">
        <v>5824</v>
      </c>
      <c r="B2645" s="0" t="s">
        <v>5825</v>
      </c>
      <c r="C2645" s="0" t="n">
        <v>0.42</v>
      </c>
    </row>
    <row r="2646" customFormat="false" ht="15" hidden="false" customHeight="false" outlineLevel="0" collapsed="false">
      <c r="A2646" s="0" t="s">
        <v>5826</v>
      </c>
      <c r="B2646" s="0" t="s">
        <v>5827</v>
      </c>
      <c r="C2646" s="0" t="n">
        <v>2.55</v>
      </c>
    </row>
    <row r="2647" customFormat="false" ht="15" hidden="false" customHeight="false" outlineLevel="0" collapsed="false">
      <c r="A2647" s="0" t="s">
        <v>5828</v>
      </c>
      <c r="B2647" s="0" t="s">
        <v>5829</v>
      </c>
      <c r="C2647" s="0" t="n">
        <v>5.95</v>
      </c>
    </row>
    <row r="2648" customFormat="false" ht="15" hidden="false" customHeight="false" outlineLevel="0" collapsed="false">
      <c r="A2648" s="0" t="s">
        <v>5830</v>
      </c>
      <c r="B2648" s="0" t="s">
        <v>5831</v>
      </c>
      <c r="C2648" s="0" t="n">
        <v>7.95</v>
      </c>
    </row>
    <row r="2649" customFormat="false" ht="15" hidden="false" customHeight="false" outlineLevel="0" collapsed="false">
      <c r="A2649" s="0" t="s">
        <v>5832</v>
      </c>
      <c r="B2649" s="0" t="s">
        <v>5833</v>
      </c>
      <c r="C2649" s="0" t="n">
        <v>2.95</v>
      </c>
    </row>
    <row r="2650" customFormat="false" ht="15" hidden="false" customHeight="false" outlineLevel="0" collapsed="false">
      <c r="A2650" s="0" t="s">
        <v>5834</v>
      </c>
      <c r="B2650" s="0" t="s">
        <v>5835</v>
      </c>
      <c r="C2650" s="0" t="n">
        <v>9.34</v>
      </c>
    </row>
    <row r="2651" customFormat="false" ht="15" hidden="false" customHeight="false" outlineLevel="0" collapsed="false">
      <c r="A2651" s="0" t="s">
        <v>5836</v>
      </c>
      <c r="B2651" s="0" t="s">
        <v>5837</v>
      </c>
      <c r="C2651" s="0" t="n">
        <v>2.1</v>
      </c>
    </row>
    <row r="2652" customFormat="false" ht="15" hidden="false" customHeight="false" outlineLevel="0" collapsed="false">
      <c r="A2652" s="0" t="s">
        <v>5838</v>
      </c>
      <c r="B2652" s="0" t="s">
        <v>5839</v>
      </c>
      <c r="C2652" s="0" t="n">
        <v>1.66</v>
      </c>
    </row>
    <row r="2653" customFormat="false" ht="15" hidden="false" customHeight="false" outlineLevel="0" collapsed="false">
      <c r="A2653" s="0" t="s">
        <v>5840</v>
      </c>
      <c r="B2653" s="0" t="s">
        <v>727</v>
      </c>
      <c r="C2653" s="0" t="n">
        <v>1.95</v>
      </c>
    </row>
    <row r="2654" customFormat="false" ht="15" hidden="false" customHeight="false" outlineLevel="0" collapsed="false">
      <c r="A2654" s="0" t="s">
        <v>5841</v>
      </c>
      <c r="B2654" s="0" t="s">
        <v>5842</v>
      </c>
      <c r="C2654" s="0" t="n">
        <v>2.95</v>
      </c>
    </row>
    <row r="2655" customFormat="false" ht="15" hidden="false" customHeight="false" outlineLevel="0" collapsed="false">
      <c r="A2655" s="0" t="s">
        <v>5843</v>
      </c>
      <c r="B2655" s="0" t="s">
        <v>5844</v>
      </c>
      <c r="C2655" s="0" t="n">
        <v>0.42</v>
      </c>
    </row>
    <row r="2656" customFormat="false" ht="15" hidden="false" customHeight="false" outlineLevel="0" collapsed="false">
      <c r="A2656" s="0" t="s">
        <v>5845</v>
      </c>
      <c r="B2656" s="0" t="s">
        <v>5846</v>
      </c>
      <c r="C2656" s="0" t="n">
        <v>5.45</v>
      </c>
    </row>
    <row r="2657" customFormat="false" ht="15" hidden="false" customHeight="false" outlineLevel="0" collapsed="false">
      <c r="A2657" s="0" t="s">
        <v>5847</v>
      </c>
      <c r="B2657" s="0" t="s">
        <v>5848</v>
      </c>
      <c r="C2657" s="0" t="n">
        <v>8.47</v>
      </c>
    </row>
    <row r="2658" customFormat="false" ht="15" hidden="false" customHeight="false" outlineLevel="0" collapsed="false">
      <c r="A2658" s="0" t="s">
        <v>5849</v>
      </c>
      <c r="B2658" s="0" t="s">
        <v>5850</v>
      </c>
      <c r="C2658" s="0" t="n">
        <v>11.02</v>
      </c>
    </row>
    <row r="2659" customFormat="false" ht="15" hidden="false" customHeight="false" outlineLevel="0" collapsed="false">
      <c r="A2659" s="0" t="s">
        <v>5851</v>
      </c>
      <c r="B2659" s="0" t="s">
        <v>5852</v>
      </c>
      <c r="C2659" s="0" t="n">
        <v>2.55</v>
      </c>
    </row>
    <row r="2660" customFormat="false" ht="15" hidden="false" customHeight="false" outlineLevel="0" collapsed="false">
      <c r="A2660" s="0" t="s">
        <v>5853</v>
      </c>
      <c r="B2660" s="0" t="s">
        <v>5854</v>
      </c>
      <c r="C2660" s="0" t="n">
        <v>0.38</v>
      </c>
    </row>
    <row r="2661" customFormat="false" ht="15" hidden="false" customHeight="false" outlineLevel="0" collapsed="false">
      <c r="A2661" s="0" t="s">
        <v>5855</v>
      </c>
      <c r="B2661" s="0" t="s">
        <v>171</v>
      </c>
      <c r="C2661" s="0" t="n">
        <v>1.65</v>
      </c>
    </row>
    <row r="2662" customFormat="false" ht="15" hidden="false" customHeight="false" outlineLevel="0" collapsed="false">
      <c r="A2662" s="0" t="s">
        <v>5856</v>
      </c>
      <c r="B2662" s="0" t="s">
        <v>5857</v>
      </c>
      <c r="C2662" s="0" t="n">
        <v>3.75</v>
      </c>
    </row>
    <row r="2663" customFormat="false" ht="15" hidden="false" customHeight="false" outlineLevel="0" collapsed="false">
      <c r="A2663" s="0" t="s">
        <v>5858</v>
      </c>
      <c r="B2663" s="0" t="s">
        <v>5859</v>
      </c>
      <c r="C2663" s="0" t="n">
        <v>5.95</v>
      </c>
    </row>
    <row r="2664" customFormat="false" ht="15" hidden="false" customHeight="false" outlineLevel="0" collapsed="false">
      <c r="A2664" s="0" t="s">
        <v>5860</v>
      </c>
      <c r="B2664" s="0" t="s">
        <v>5861</v>
      </c>
      <c r="C2664" s="0" t="n">
        <v>2.51</v>
      </c>
    </row>
    <row r="2665" customFormat="false" ht="15" hidden="false" customHeight="false" outlineLevel="0" collapsed="false">
      <c r="A2665" s="0" t="s">
        <v>5862</v>
      </c>
      <c r="B2665" s="0" t="s">
        <v>5863</v>
      </c>
      <c r="C2665" s="0" t="n">
        <v>1.65</v>
      </c>
    </row>
    <row r="2666" customFormat="false" ht="15" hidden="false" customHeight="false" outlineLevel="0" collapsed="false">
      <c r="A2666" s="0" t="s">
        <v>5864</v>
      </c>
      <c r="B2666" s="0" t="s">
        <v>691</v>
      </c>
      <c r="C2666" s="0" t="n">
        <v>2.95</v>
      </c>
    </row>
    <row r="2667" customFormat="false" ht="15" hidden="false" customHeight="false" outlineLevel="0" collapsed="false">
      <c r="A2667" s="0" t="s">
        <v>5865</v>
      </c>
      <c r="B2667" s="0" t="s">
        <v>5866</v>
      </c>
      <c r="C2667" s="0" t="n">
        <v>1.65</v>
      </c>
    </row>
    <row r="2668" customFormat="false" ht="15" hidden="false" customHeight="false" outlineLevel="0" collapsed="false">
      <c r="A2668" s="0" t="s">
        <v>5867</v>
      </c>
      <c r="B2668" s="0" t="s">
        <v>5868</v>
      </c>
      <c r="C2668" s="0" t="n">
        <v>4.65</v>
      </c>
    </row>
    <row r="2669" customFormat="false" ht="15" hidden="false" customHeight="false" outlineLevel="0" collapsed="false">
      <c r="A2669" s="0" t="s">
        <v>5869</v>
      </c>
      <c r="B2669" s="0" t="s">
        <v>5870</v>
      </c>
      <c r="C2669" s="0" t="n">
        <v>1.65</v>
      </c>
    </row>
    <row r="2670" customFormat="false" ht="15" hidden="false" customHeight="false" outlineLevel="0" collapsed="false">
      <c r="A2670" s="0" t="s">
        <v>5871</v>
      </c>
      <c r="B2670" s="0" t="s">
        <v>5872</v>
      </c>
      <c r="C2670" s="0" t="n">
        <v>1.95</v>
      </c>
    </row>
    <row r="2671" customFormat="false" ht="15" hidden="false" customHeight="false" outlineLevel="0" collapsed="false">
      <c r="A2671" s="0" t="s">
        <v>5873</v>
      </c>
      <c r="B2671" s="0" t="s">
        <v>5874</v>
      </c>
      <c r="C2671" s="0" t="n">
        <v>2.1</v>
      </c>
    </row>
    <row r="2672" customFormat="false" ht="15" hidden="false" customHeight="false" outlineLevel="0" collapsed="false">
      <c r="A2672" s="0" t="s">
        <v>5875</v>
      </c>
      <c r="B2672" s="0" t="s">
        <v>800</v>
      </c>
      <c r="C2672" s="0" t="n">
        <v>2.1</v>
      </c>
    </row>
    <row r="2673" customFormat="false" ht="15" hidden="false" customHeight="false" outlineLevel="0" collapsed="false">
      <c r="A2673" s="0" t="s">
        <v>5876</v>
      </c>
      <c r="B2673" s="0" t="s">
        <v>5877</v>
      </c>
      <c r="C2673" s="0" t="n">
        <v>2.95</v>
      </c>
    </row>
    <row r="2674" customFormat="false" ht="15" hidden="false" customHeight="false" outlineLevel="0" collapsed="false">
      <c r="A2674" s="0" t="s">
        <v>5878</v>
      </c>
      <c r="B2674" s="0" t="s">
        <v>5879</v>
      </c>
      <c r="C2674" s="0" t="n">
        <v>2.1</v>
      </c>
    </row>
    <row r="2675" customFormat="false" ht="15" hidden="false" customHeight="false" outlineLevel="0" collapsed="false">
      <c r="A2675" s="0" t="s">
        <v>5880</v>
      </c>
      <c r="B2675" s="0" t="s">
        <v>825</v>
      </c>
      <c r="C2675" s="0" t="n">
        <v>8.47</v>
      </c>
    </row>
    <row r="2676" customFormat="false" ht="15" hidden="false" customHeight="false" outlineLevel="0" collapsed="false">
      <c r="A2676" s="0" t="s">
        <v>5881</v>
      </c>
      <c r="B2676" s="0" t="s">
        <v>5882</v>
      </c>
      <c r="C2676" s="0" t="n">
        <v>4.95</v>
      </c>
    </row>
    <row r="2677" customFormat="false" ht="15" hidden="false" customHeight="false" outlineLevel="0" collapsed="false">
      <c r="A2677" s="0" t="s">
        <v>5881</v>
      </c>
      <c r="B2677" s="0" t="s">
        <v>5883</v>
      </c>
      <c r="C2677" s="0" t="n">
        <v>7.95</v>
      </c>
    </row>
    <row r="2678" customFormat="false" ht="15" hidden="false" customHeight="false" outlineLevel="0" collapsed="false">
      <c r="A2678" s="0" t="s">
        <v>5884</v>
      </c>
      <c r="B2678" s="0" t="s">
        <v>5885</v>
      </c>
      <c r="C2678" s="0" t="n">
        <v>2.55</v>
      </c>
    </row>
    <row r="2679" customFormat="false" ht="15" hidden="false" customHeight="false" outlineLevel="0" collapsed="false">
      <c r="A2679" s="0" t="s">
        <v>5886</v>
      </c>
      <c r="B2679" s="0" t="s">
        <v>5887</v>
      </c>
      <c r="C2679" s="0" t="n">
        <v>2.1</v>
      </c>
    </row>
    <row r="2680" customFormat="false" ht="15" hidden="false" customHeight="false" outlineLevel="0" collapsed="false">
      <c r="A2680" s="0" t="s">
        <v>5888</v>
      </c>
      <c r="B2680" s="0" t="s">
        <v>5889</v>
      </c>
      <c r="C2680" s="0" t="n">
        <v>20</v>
      </c>
    </row>
    <row r="2681" customFormat="false" ht="15" hidden="false" customHeight="false" outlineLevel="0" collapsed="false">
      <c r="A2681" s="0" t="s">
        <v>5890</v>
      </c>
      <c r="B2681" s="0" t="s">
        <v>5891</v>
      </c>
      <c r="C2681" s="0" t="n">
        <v>30</v>
      </c>
    </row>
    <row r="2682" customFormat="false" ht="15" hidden="false" customHeight="false" outlineLevel="0" collapsed="false">
      <c r="A2682" s="0" t="s">
        <v>5892</v>
      </c>
      <c r="B2682" s="0" t="s">
        <v>5893</v>
      </c>
      <c r="C2682" s="0" t="n">
        <v>79.95</v>
      </c>
    </row>
    <row r="2683" customFormat="false" ht="15" hidden="false" customHeight="false" outlineLevel="0" collapsed="false">
      <c r="A2683" s="0" t="s">
        <v>5894</v>
      </c>
      <c r="B2683" s="0" t="s">
        <v>5895</v>
      </c>
      <c r="C2683" s="0" t="n">
        <v>3.75</v>
      </c>
    </row>
    <row r="2684" customFormat="false" ht="15" hidden="false" customHeight="false" outlineLevel="0" collapsed="false">
      <c r="A2684" s="0" t="s">
        <v>5896</v>
      </c>
      <c r="B2684" s="0" t="s">
        <v>5897</v>
      </c>
      <c r="C2684" s="0" t="n">
        <v>1.95</v>
      </c>
    </row>
    <row r="2685" customFormat="false" ht="15" hidden="false" customHeight="false" outlineLevel="0" collapsed="false">
      <c r="A2685" s="0" t="s">
        <v>5898</v>
      </c>
      <c r="B2685" s="0" t="s">
        <v>5899</v>
      </c>
      <c r="C2685" s="0" t="n">
        <v>6.75</v>
      </c>
    </row>
    <row r="2686" customFormat="false" ht="15" hidden="false" customHeight="false" outlineLevel="0" collapsed="false">
      <c r="A2686" s="0" t="s">
        <v>5900</v>
      </c>
      <c r="B2686" s="0" t="s">
        <v>5901</v>
      </c>
      <c r="C2686" s="0" t="n">
        <v>2.55</v>
      </c>
    </row>
    <row r="2687" customFormat="false" ht="15" hidden="false" customHeight="false" outlineLevel="0" collapsed="false">
      <c r="A2687" s="0" t="s">
        <v>5902</v>
      </c>
      <c r="B2687" s="0" t="s">
        <v>5903</v>
      </c>
      <c r="C2687" s="0" t="n">
        <v>1.25</v>
      </c>
    </row>
    <row r="2688" customFormat="false" ht="15" hidden="false" customHeight="false" outlineLevel="0" collapsed="false">
      <c r="A2688" s="0" t="s">
        <v>5904</v>
      </c>
      <c r="B2688" s="0" t="s">
        <v>5905</v>
      </c>
      <c r="C2688" s="0" t="n">
        <v>1.25</v>
      </c>
    </row>
    <row r="2689" customFormat="false" ht="15" hidden="false" customHeight="false" outlineLevel="0" collapsed="false">
      <c r="A2689" s="0" t="s">
        <v>5906</v>
      </c>
      <c r="B2689" s="0" t="s">
        <v>5907</v>
      </c>
      <c r="C2689" s="0" t="n">
        <v>0.85</v>
      </c>
    </row>
    <row r="2690" customFormat="false" ht="15" hidden="false" customHeight="false" outlineLevel="0" collapsed="false">
      <c r="A2690" s="0" t="s">
        <v>5908</v>
      </c>
      <c r="B2690" s="0" t="s">
        <v>5909</v>
      </c>
      <c r="C2690" s="0" t="n">
        <v>2.95</v>
      </c>
    </row>
    <row r="2691" customFormat="false" ht="15" hidden="false" customHeight="false" outlineLevel="0" collapsed="false">
      <c r="A2691" s="0" t="s">
        <v>5910</v>
      </c>
      <c r="B2691" s="0" t="s">
        <v>5911</v>
      </c>
      <c r="C2691" s="0" t="n">
        <v>1.49</v>
      </c>
    </row>
    <row r="2692" customFormat="false" ht="15" hidden="false" customHeight="false" outlineLevel="0" collapsed="false">
      <c r="A2692" s="0" t="s">
        <v>5912</v>
      </c>
      <c r="B2692" s="0" t="s">
        <v>5913</v>
      </c>
      <c r="C2692" s="0" t="n">
        <v>0.85</v>
      </c>
    </row>
    <row r="2693" customFormat="false" ht="15" hidden="false" customHeight="false" outlineLevel="0" collapsed="false">
      <c r="A2693" s="0" t="s">
        <v>5914</v>
      </c>
      <c r="B2693" s="0" t="s">
        <v>5915</v>
      </c>
      <c r="C2693" s="0" t="n">
        <v>2.1</v>
      </c>
    </row>
    <row r="2694" customFormat="false" ht="15" hidden="false" customHeight="false" outlineLevel="0" collapsed="false">
      <c r="A2694" s="0" t="s">
        <v>5916</v>
      </c>
      <c r="B2694" s="0" t="s">
        <v>5917</v>
      </c>
      <c r="C2694" s="0" t="n">
        <v>1.25</v>
      </c>
    </row>
    <row r="2695" customFormat="false" ht="15" hidden="false" customHeight="false" outlineLevel="0" collapsed="false">
      <c r="A2695" s="0" t="s">
        <v>5918</v>
      </c>
      <c r="B2695" s="0" t="s">
        <v>5919</v>
      </c>
      <c r="C2695" s="0" t="n">
        <v>0.85</v>
      </c>
    </row>
    <row r="2696" customFormat="false" ht="15" hidden="false" customHeight="false" outlineLevel="0" collapsed="false">
      <c r="A2696" s="0" t="s">
        <v>5920</v>
      </c>
      <c r="B2696" s="0" t="s">
        <v>5921</v>
      </c>
      <c r="C2696" s="0" t="n">
        <v>1.95</v>
      </c>
    </row>
    <row r="2697" customFormat="false" ht="15" hidden="false" customHeight="false" outlineLevel="0" collapsed="false">
      <c r="A2697" s="0" t="s">
        <v>5922</v>
      </c>
      <c r="B2697" s="0" t="s">
        <v>5923</v>
      </c>
      <c r="C2697" s="0" t="n">
        <v>4.25</v>
      </c>
    </row>
    <row r="2698" customFormat="false" ht="15" hidden="false" customHeight="false" outlineLevel="0" collapsed="false">
      <c r="A2698" s="0" t="s">
        <v>5924</v>
      </c>
      <c r="B2698" s="0" t="s">
        <v>5925</v>
      </c>
      <c r="C2698" s="0" t="n">
        <v>9.95</v>
      </c>
    </row>
    <row r="2699" customFormat="false" ht="15" hidden="false" customHeight="false" outlineLevel="0" collapsed="false">
      <c r="A2699" s="0" t="s">
        <v>5926</v>
      </c>
      <c r="B2699" s="0" t="s">
        <v>5927</v>
      </c>
      <c r="C2699" s="0" t="n">
        <v>4.65</v>
      </c>
    </row>
    <row r="2700" customFormat="false" ht="15" hidden="false" customHeight="false" outlineLevel="0" collapsed="false">
      <c r="A2700" s="0" t="s">
        <v>5928</v>
      </c>
      <c r="B2700" s="0" t="s">
        <v>726</v>
      </c>
      <c r="C2700" s="0" t="n">
        <v>2.95</v>
      </c>
    </row>
    <row r="2701" customFormat="false" ht="15" hidden="false" customHeight="false" outlineLevel="0" collapsed="false">
      <c r="A2701" s="0" t="s">
        <v>5929</v>
      </c>
      <c r="B2701" s="0" t="s">
        <v>5930</v>
      </c>
      <c r="C2701" s="0" t="n">
        <v>5.91</v>
      </c>
    </row>
    <row r="2702" customFormat="false" ht="15" hidden="false" customHeight="false" outlineLevel="0" collapsed="false">
      <c r="A2702" s="0" t="s">
        <v>5931</v>
      </c>
      <c r="B2702" s="0" t="s">
        <v>5932</v>
      </c>
      <c r="C2702" s="0" t="n">
        <v>8.65</v>
      </c>
    </row>
    <row r="2703" customFormat="false" ht="15" hidden="false" customHeight="false" outlineLevel="0" collapsed="false">
      <c r="A2703" s="0" t="s">
        <v>5933</v>
      </c>
      <c r="B2703" s="0" t="s">
        <v>690</v>
      </c>
      <c r="C2703" s="0" t="n">
        <v>2.95</v>
      </c>
    </row>
    <row r="2704" customFormat="false" ht="15" hidden="false" customHeight="false" outlineLevel="0" collapsed="false">
      <c r="A2704" s="0" t="s">
        <v>5934</v>
      </c>
      <c r="B2704" s="0" t="s">
        <v>5935</v>
      </c>
      <c r="C2704" s="0" t="n">
        <v>4.25</v>
      </c>
    </row>
    <row r="2705" customFormat="false" ht="15" hidden="false" customHeight="false" outlineLevel="0" collapsed="false">
      <c r="A2705" s="0" t="s">
        <v>5936</v>
      </c>
      <c r="B2705" s="0" t="s">
        <v>5937</v>
      </c>
      <c r="C2705" s="0" t="n">
        <v>49.95</v>
      </c>
    </row>
    <row r="2706" customFormat="false" ht="15" hidden="false" customHeight="false" outlineLevel="0" collapsed="false">
      <c r="A2706" s="0" t="s">
        <v>5938</v>
      </c>
      <c r="B2706" s="0" t="s">
        <v>5939</v>
      </c>
      <c r="C2706" s="0" t="n">
        <v>30</v>
      </c>
    </row>
    <row r="2707" customFormat="false" ht="15" hidden="false" customHeight="false" outlineLevel="0" collapsed="false">
      <c r="A2707" s="0" t="s">
        <v>5940</v>
      </c>
      <c r="B2707" s="0" t="s">
        <v>5941</v>
      </c>
      <c r="C2707" s="0" t="n">
        <v>5.95</v>
      </c>
    </row>
    <row r="2708" customFormat="false" ht="15" hidden="false" customHeight="false" outlineLevel="0" collapsed="false">
      <c r="A2708" s="0" t="s">
        <v>5942</v>
      </c>
      <c r="B2708" s="0" t="s">
        <v>5943</v>
      </c>
      <c r="C2708" s="0" t="n">
        <v>6.75</v>
      </c>
    </row>
    <row r="2709" customFormat="false" ht="15" hidden="false" customHeight="false" outlineLevel="0" collapsed="false">
      <c r="A2709" s="0" t="s">
        <v>5944</v>
      </c>
      <c r="B2709" s="0" t="s">
        <v>5945</v>
      </c>
      <c r="C2709" s="0" t="n">
        <v>12.75</v>
      </c>
    </row>
    <row r="2710" customFormat="false" ht="15" hidden="false" customHeight="false" outlineLevel="0" collapsed="false">
      <c r="A2710" s="0" t="s">
        <v>5946</v>
      </c>
      <c r="B2710" s="0" t="s">
        <v>5947</v>
      </c>
      <c r="C2710" s="0" t="n">
        <v>0.42</v>
      </c>
    </row>
    <row r="2711" customFormat="false" ht="15" hidden="false" customHeight="false" outlineLevel="0" collapsed="false">
      <c r="A2711" s="0" t="s">
        <v>5948</v>
      </c>
      <c r="B2711" s="0" t="s">
        <v>5949</v>
      </c>
      <c r="C2711" s="0" t="n">
        <v>1.25</v>
      </c>
    </row>
    <row r="2712" customFormat="false" ht="15" hidden="false" customHeight="false" outlineLevel="0" collapsed="false">
      <c r="A2712" s="0" t="s">
        <v>5950</v>
      </c>
      <c r="B2712" s="0" t="s">
        <v>5951</v>
      </c>
      <c r="C2712" s="0" t="n">
        <v>2.95</v>
      </c>
    </row>
    <row r="2713" customFormat="false" ht="15" hidden="false" customHeight="false" outlineLevel="0" collapsed="false">
      <c r="A2713" s="0" t="s">
        <v>5952</v>
      </c>
      <c r="B2713" s="0" t="s">
        <v>5953</v>
      </c>
      <c r="C2713" s="0" t="n">
        <v>2.1</v>
      </c>
    </row>
    <row r="2714" customFormat="false" ht="15" hidden="false" customHeight="false" outlineLevel="0" collapsed="false">
      <c r="A2714" s="0" t="s">
        <v>5954</v>
      </c>
      <c r="B2714" s="0" t="s">
        <v>5955</v>
      </c>
      <c r="C2714" s="0" t="n">
        <v>1.95</v>
      </c>
    </row>
    <row r="2715" customFormat="false" ht="15" hidden="false" customHeight="false" outlineLevel="0" collapsed="false">
      <c r="A2715" s="0" t="s">
        <v>5956</v>
      </c>
      <c r="B2715" s="0" t="s">
        <v>5957</v>
      </c>
      <c r="C2715" s="0" t="n">
        <v>2.1</v>
      </c>
    </row>
    <row r="2716" customFormat="false" ht="15" hidden="false" customHeight="false" outlineLevel="0" collapsed="false">
      <c r="A2716" s="0" t="s">
        <v>5958</v>
      </c>
      <c r="B2716" s="0" t="s">
        <v>5959</v>
      </c>
      <c r="C2716" s="0" t="n">
        <v>1.65</v>
      </c>
    </row>
    <row r="2717" customFormat="false" ht="15" hidden="false" customHeight="false" outlineLevel="0" collapsed="false">
      <c r="A2717" s="0" t="s">
        <v>5960</v>
      </c>
      <c r="B2717" s="0" t="s">
        <v>5961</v>
      </c>
      <c r="C2717" s="0" t="n">
        <v>8.47</v>
      </c>
    </row>
    <row r="2718" customFormat="false" ht="15" hidden="false" customHeight="false" outlineLevel="0" collapsed="false">
      <c r="A2718" s="0" t="s">
        <v>5962</v>
      </c>
      <c r="B2718" s="0" t="s">
        <v>5963</v>
      </c>
      <c r="C2718" s="0" t="n">
        <v>2.95</v>
      </c>
    </row>
    <row r="2719" customFormat="false" ht="15" hidden="false" customHeight="false" outlineLevel="0" collapsed="false">
      <c r="A2719" s="0" t="s">
        <v>5964</v>
      </c>
      <c r="B2719" s="0" t="s">
        <v>5965</v>
      </c>
      <c r="C2719" s="0" t="n">
        <v>1.95</v>
      </c>
    </row>
    <row r="2720" customFormat="false" ht="15" hidden="false" customHeight="false" outlineLevel="0" collapsed="false">
      <c r="A2720" s="0" t="s">
        <v>5966</v>
      </c>
      <c r="B2720" s="0" t="s">
        <v>5967</v>
      </c>
      <c r="C2720" s="0" t="n">
        <v>0.38</v>
      </c>
    </row>
    <row r="2721" customFormat="false" ht="15" hidden="false" customHeight="false" outlineLevel="0" collapsed="false">
      <c r="A2721" s="0" t="s">
        <v>5968</v>
      </c>
      <c r="B2721" s="0" t="s">
        <v>5969</v>
      </c>
      <c r="C2721" s="0" t="n">
        <v>2.95</v>
      </c>
    </row>
    <row r="2722" customFormat="false" ht="15" hidden="false" customHeight="false" outlineLevel="0" collapsed="false">
      <c r="A2722" s="0" t="s">
        <v>5970</v>
      </c>
      <c r="B2722" s="0" t="s">
        <v>5971</v>
      </c>
      <c r="C2722" s="0" t="n">
        <v>3.75</v>
      </c>
    </row>
    <row r="2723" customFormat="false" ht="15" hidden="false" customHeight="false" outlineLevel="0" collapsed="false">
      <c r="A2723" s="0" t="s">
        <v>5972</v>
      </c>
      <c r="B2723" s="0" t="s">
        <v>5973</v>
      </c>
      <c r="C2723" s="0" t="n">
        <v>0.42</v>
      </c>
    </row>
    <row r="2724" customFormat="false" ht="15" hidden="false" customHeight="false" outlineLevel="0" collapsed="false">
      <c r="A2724" s="0" t="s">
        <v>5974</v>
      </c>
      <c r="B2724" s="0" t="s">
        <v>58</v>
      </c>
      <c r="C2724" s="0" t="n">
        <v>2.95</v>
      </c>
    </row>
    <row r="2725" customFormat="false" ht="15" hidden="false" customHeight="false" outlineLevel="0" collapsed="false">
      <c r="A2725" s="0" t="s">
        <v>5975</v>
      </c>
      <c r="B2725" s="0" t="s">
        <v>5976</v>
      </c>
      <c r="C2725" s="0" t="n">
        <v>1.95</v>
      </c>
    </row>
    <row r="2726" customFormat="false" ht="15" hidden="false" customHeight="false" outlineLevel="0" collapsed="false">
      <c r="A2726" s="0" t="s">
        <v>5977</v>
      </c>
      <c r="B2726" s="0" t="s">
        <v>5978</v>
      </c>
      <c r="C2726" s="0" t="n">
        <v>5.95</v>
      </c>
    </row>
    <row r="2727" customFormat="false" ht="15" hidden="false" customHeight="false" outlineLevel="0" collapsed="false">
      <c r="A2727" s="0" t="s">
        <v>5979</v>
      </c>
      <c r="B2727" s="0" t="s">
        <v>5980</v>
      </c>
      <c r="C2727" s="0" t="n">
        <v>1.25</v>
      </c>
    </row>
    <row r="2728" customFormat="false" ht="15" hidden="false" customHeight="false" outlineLevel="0" collapsed="false">
      <c r="A2728" s="0" t="s">
        <v>5981</v>
      </c>
      <c r="B2728" s="0" t="s">
        <v>5982</v>
      </c>
      <c r="C2728" s="0" t="n">
        <v>25.95</v>
      </c>
    </row>
    <row r="2729" customFormat="false" ht="15" hidden="false" customHeight="false" outlineLevel="0" collapsed="false">
      <c r="A2729" s="0" t="s">
        <v>5983</v>
      </c>
      <c r="B2729" s="0" t="s">
        <v>5984</v>
      </c>
      <c r="C2729" s="0" t="n">
        <v>3.36</v>
      </c>
    </row>
    <row r="2730" customFormat="false" ht="15" hidden="false" customHeight="false" outlineLevel="0" collapsed="false">
      <c r="A2730" s="0" t="s">
        <v>5985</v>
      </c>
      <c r="B2730" s="0" t="s">
        <v>5986</v>
      </c>
      <c r="C2730" s="0" t="n">
        <v>7.64</v>
      </c>
    </row>
    <row r="2731" customFormat="false" ht="15" hidden="false" customHeight="false" outlineLevel="0" collapsed="false">
      <c r="A2731" s="0" t="s">
        <v>5987</v>
      </c>
      <c r="B2731" s="0" t="s">
        <v>5988</v>
      </c>
      <c r="C2731" s="0" t="n">
        <v>7.64</v>
      </c>
    </row>
    <row r="2732" customFormat="false" ht="15" hidden="false" customHeight="false" outlineLevel="0" collapsed="false">
      <c r="A2732" s="0" t="s">
        <v>5989</v>
      </c>
      <c r="B2732" s="0" t="s">
        <v>5990</v>
      </c>
      <c r="C2732" s="0" t="n">
        <v>2.54</v>
      </c>
    </row>
    <row r="2733" customFormat="false" ht="15" hidden="false" customHeight="false" outlineLevel="0" collapsed="false">
      <c r="A2733" s="0" t="s">
        <v>5991</v>
      </c>
      <c r="B2733" s="0" t="s">
        <v>5992</v>
      </c>
      <c r="C2733" s="0" t="n">
        <v>2.95</v>
      </c>
    </row>
    <row r="2734" customFormat="false" ht="15" hidden="false" customHeight="false" outlineLevel="0" collapsed="false">
      <c r="A2734" s="0" t="s">
        <v>5993</v>
      </c>
      <c r="B2734" s="0" t="s">
        <v>5994</v>
      </c>
      <c r="C2734" s="0" t="n">
        <v>1.95</v>
      </c>
    </row>
    <row r="2735" customFormat="false" ht="15" hidden="false" customHeight="false" outlineLevel="0" collapsed="false">
      <c r="A2735" s="0" t="s">
        <v>5995</v>
      </c>
      <c r="B2735" s="0" t="s">
        <v>5996</v>
      </c>
      <c r="C2735" s="0" t="n">
        <v>3.75</v>
      </c>
    </row>
    <row r="2736" customFormat="false" ht="15" hidden="false" customHeight="false" outlineLevel="0" collapsed="false">
      <c r="A2736" s="0" t="s">
        <v>5997</v>
      </c>
      <c r="B2736" s="0" t="s">
        <v>5998</v>
      </c>
      <c r="C2736" s="0" t="n">
        <v>2.55</v>
      </c>
    </row>
    <row r="2737" customFormat="false" ht="15" hidden="false" customHeight="false" outlineLevel="0" collapsed="false">
      <c r="A2737" s="0" t="s">
        <v>5999</v>
      </c>
      <c r="B2737" s="0" t="s">
        <v>6000</v>
      </c>
      <c r="C2737" s="0" t="n">
        <v>1.95</v>
      </c>
    </row>
    <row r="2738" customFormat="false" ht="15" hidden="false" customHeight="false" outlineLevel="0" collapsed="false">
      <c r="A2738" s="0" t="s">
        <v>6001</v>
      </c>
      <c r="B2738" s="0" t="s">
        <v>6002</v>
      </c>
      <c r="C2738" s="0" t="n">
        <v>1.65</v>
      </c>
    </row>
    <row r="2739" customFormat="false" ht="15" hidden="false" customHeight="false" outlineLevel="0" collapsed="false">
      <c r="A2739" s="0" t="s">
        <v>6003</v>
      </c>
      <c r="B2739" s="0" t="s">
        <v>6004</v>
      </c>
      <c r="C2739" s="0" t="n">
        <v>2.95</v>
      </c>
    </row>
    <row r="2740" customFormat="false" ht="15" hidden="false" customHeight="false" outlineLevel="0" collapsed="false">
      <c r="A2740" s="0" t="s">
        <v>6005</v>
      </c>
      <c r="B2740" s="0" t="s">
        <v>155</v>
      </c>
      <c r="C2740" s="0" t="n">
        <v>0.42</v>
      </c>
    </row>
    <row r="2741" customFormat="false" ht="15" hidden="false" customHeight="false" outlineLevel="0" collapsed="false">
      <c r="A2741" s="0" t="s">
        <v>6006</v>
      </c>
      <c r="B2741" s="0" t="s">
        <v>393</v>
      </c>
      <c r="C2741" s="0" t="n">
        <v>1.25</v>
      </c>
    </row>
    <row r="2742" customFormat="false" ht="15" hidden="false" customHeight="false" outlineLevel="0" collapsed="false">
      <c r="A2742" s="0" t="s">
        <v>6007</v>
      </c>
      <c r="B2742" s="0" t="s">
        <v>6008</v>
      </c>
      <c r="C2742" s="0" t="n">
        <v>3.25</v>
      </c>
    </row>
    <row r="2743" customFormat="false" ht="15" hidden="false" customHeight="false" outlineLevel="0" collapsed="false">
      <c r="A2743" s="0" t="s">
        <v>6009</v>
      </c>
      <c r="B2743" s="0" t="s">
        <v>387</v>
      </c>
      <c r="C2743" s="0" t="n">
        <v>0.85</v>
      </c>
    </row>
    <row r="2744" customFormat="false" ht="15" hidden="false" customHeight="false" outlineLevel="0" collapsed="false">
      <c r="A2744" s="0" t="s">
        <v>6010</v>
      </c>
      <c r="B2744" s="0" t="s">
        <v>384</v>
      </c>
      <c r="C2744" s="0" t="n">
        <v>1.69</v>
      </c>
    </row>
    <row r="2745" customFormat="false" ht="15" hidden="false" customHeight="false" outlineLevel="0" collapsed="false">
      <c r="A2745" s="0" t="s">
        <v>6011</v>
      </c>
      <c r="B2745" s="0" t="s">
        <v>6012</v>
      </c>
      <c r="C2745" s="0" t="n">
        <v>3.75</v>
      </c>
    </row>
    <row r="2746" customFormat="false" ht="15" hidden="false" customHeight="false" outlineLevel="0" collapsed="false">
      <c r="A2746" s="0" t="s">
        <v>6013</v>
      </c>
      <c r="B2746" s="0" t="s">
        <v>6014</v>
      </c>
      <c r="C2746" s="0" t="n">
        <v>0.65</v>
      </c>
    </row>
    <row r="2747" customFormat="false" ht="15" hidden="false" customHeight="false" outlineLevel="0" collapsed="false">
      <c r="A2747" s="0" t="s">
        <v>6015</v>
      </c>
      <c r="B2747" s="0" t="s">
        <v>6016</v>
      </c>
      <c r="C2747" s="0" t="n">
        <v>0.38</v>
      </c>
    </row>
    <row r="2748" customFormat="false" ht="15" hidden="false" customHeight="false" outlineLevel="0" collapsed="false">
      <c r="A2748" s="0" t="s">
        <v>6017</v>
      </c>
      <c r="B2748" s="0" t="s">
        <v>6018</v>
      </c>
      <c r="C2748" s="0" t="n">
        <v>3.75</v>
      </c>
    </row>
    <row r="2749" customFormat="false" ht="15" hidden="false" customHeight="false" outlineLevel="0" collapsed="false">
      <c r="A2749" s="0" t="s">
        <v>6019</v>
      </c>
      <c r="B2749" s="0" t="s">
        <v>6020</v>
      </c>
      <c r="C2749" s="0" t="n">
        <v>0.38</v>
      </c>
    </row>
    <row r="2750" customFormat="false" ht="15" hidden="false" customHeight="false" outlineLevel="0" collapsed="false">
      <c r="A2750" s="0" t="s">
        <v>6021</v>
      </c>
      <c r="B2750" s="0" t="s">
        <v>6022</v>
      </c>
      <c r="C2750" s="0" t="n">
        <v>3.36</v>
      </c>
    </row>
    <row r="2751" customFormat="false" ht="15" hidden="false" customHeight="false" outlineLevel="0" collapsed="false">
      <c r="A2751" s="0" t="s">
        <v>6023</v>
      </c>
      <c r="B2751" s="0" t="s">
        <v>6024</v>
      </c>
      <c r="C2751" s="0" t="n">
        <v>5.95</v>
      </c>
    </row>
    <row r="2752" customFormat="false" ht="15" hidden="false" customHeight="false" outlineLevel="0" collapsed="false">
      <c r="A2752" s="0" t="s">
        <v>6025</v>
      </c>
      <c r="B2752" s="0" t="s">
        <v>6026</v>
      </c>
      <c r="C2752" s="0" t="n">
        <v>2.95</v>
      </c>
    </row>
    <row r="2753" customFormat="false" ht="15" hidden="false" customHeight="false" outlineLevel="0" collapsed="false">
      <c r="A2753" s="0" t="s">
        <v>6027</v>
      </c>
      <c r="B2753" s="0" t="s">
        <v>6028</v>
      </c>
      <c r="C2753" s="0" t="n">
        <v>2.95</v>
      </c>
    </row>
    <row r="2754" customFormat="false" ht="15" hidden="false" customHeight="false" outlineLevel="0" collapsed="false">
      <c r="A2754" s="0" t="s">
        <v>6029</v>
      </c>
      <c r="B2754" s="0" t="s">
        <v>6030</v>
      </c>
      <c r="C2754" s="0" t="n">
        <v>4.25</v>
      </c>
    </row>
    <row r="2755" customFormat="false" ht="15" hidden="false" customHeight="false" outlineLevel="0" collapsed="false">
      <c r="A2755" s="0" t="s">
        <v>6031</v>
      </c>
      <c r="B2755" s="0" t="s">
        <v>6032</v>
      </c>
      <c r="C2755" s="0" t="n">
        <v>7.5</v>
      </c>
    </row>
    <row r="2756" customFormat="false" ht="15" hidden="false" customHeight="false" outlineLevel="0" collapsed="false">
      <c r="A2756" s="0" t="s">
        <v>6033</v>
      </c>
      <c r="B2756" s="0" t="s">
        <v>6034</v>
      </c>
      <c r="C2756" s="0" t="n">
        <v>2.55</v>
      </c>
    </row>
    <row r="2757" customFormat="false" ht="15" hidden="false" customHeight="false" outlineLevel="0" collapsed="false">
      <c r="A2757" s="0" t="s">
        <v>6035</v>
      </c>
      <c r="B2757" s="0" t="s">
        <v>6036</v>
      </c>
      <c r="C2757" s="0" t="n">
        <v>1.25</v>
      </c>
    </row>
    <row r="2758" customFormat="false" ht="15" hidden="false" customHeight="false" outlineLevel="0" collapsed="false">
      <c r="A2758" s="0" t="s">
        <v>6037</v>
      </c>
      <c r="B2758" s="0" t="s">
        <v>6038</v>
      </c>
      <c r="C2758" s="0" t="n">
        <v>4.25</v>
      </c>
    </row>
    <row r="2759" customFormat="false" ht="15" hidden="false" customHeight="false" outlineLevel="0" collapsed="false">
      <c r="A2759" s="0" t="s">
        <v>6039</v>
      </c>
      <c r="B2759" s="0" t="s">
        <v>6040</v>
      </c>
      <c r="C2759" s="0" t="n">
        <v>1.25</v>
      </c>
    </row>
    <row r="2760" customFormat="false" ht="15" hidden="false" customHeight="false" outlineLevel="0" collapsed="false">
      <c r="A2760" s="0" t="s">
        <v>6041</v>
      </c>
      <c r="B2760" s="0" t="s">
        <v>6042</v>
      </c>
      <c r="C2760" s="0" t="n">
        <v>2.1</v>
      </c>
    </row>
    <row r="2761" customFormat="false" ht="15" hidden="false" customHeight="false" outlineLevel="0" collapsed="false">
      <c r="A2761" s="0" t="s">
        <v>6043</v>
      </c>
      <c r="B2761" s="0" t="s">
        <v>6044</v>
      </c>
      <c r="C2761" s="0" t="n">
        <v>2.95</v>
      </c>
    </row>
    <row r="2762" customFormat="false" ht="15" hidden="false" customHeight="false" outlineLevel="0" collapsed="false">
      <c r="A2762" s="0" t="s">
        <v>6045</v>
      </c>
      <c r="B2762" s="0" t="s">
        <v>6046</v>
      </c>
      <c r="C2762" s="0" t="n">
        <v>6.75</v>
      </c>
    </row>
    <row r="2763" customFormat="false" ht="15" hidden="false" customHeight="false" outlineLevel="0" collapsed="false">
      <c r="A2763" s="0" t="s">
        <v>6047</v>
      </c>
      <c r="B2763" s="0" t="s">
        <v>6048</v>
      </c>
      <c r="C2763" s="0" t="n">
        <v>2.95</v>
      </c>
    </row>
    <row r="2764" customFormat="false" ht="15" hidden="false" customHeight="false" outlineLevel="0" collapsed="false">
      <c r="A2764" s="0" t="s">
        <v>6049</v>
      </c>
      <c r="B2764" s="0" t="s">
        <v>6050</v>
      </c>
      <c r="C2764" s="0" t="n">
        <v>7.95</v>
      </c>
    </row>
    <row r="2765" customFormat="false" ht="15" hidden="false" customHeight="false" outlineLevel="0" collapsed="false">
      <c r="A2765" s="0" t="s">
        <v>6051</v>
      </c>
      <c r="B2765" s="0" t="s">
        <v>6052</v>
      </c>
      <c r="C2765" s="0" t="n">
        <v>7.65</v>
      </c>
    </row>
    <row r="2766" customFormat="false" ht="15" hidden="false" customHeight="false" outlineLevel="0" collapsed="false">
      <c r="A2766" s="0" t="s">
        <v>6053</v>
      </c>
      <c r="B2766" s="0" t="s">
        <v>6054</v>
      </c>
      <c r="C2766" s="0" t="n">
        <v>6.95</v>
      </c>
    </row>
    <row r="2767" customFormat="false" ht="15" hidden="false" customHeight="false" outlineLevel="0" collapsed="false">
      <c r="A2767" s="0" t="s">
        <v>6055</v>
      </c>
      <c r="B2767" s="0" t="s">
        <v>6056</v>
      </c>
      <c r="C2767" s="0" t="n">
        <v>0.85</v>
      </c>
    </row>
    <row r="2768" customFormat="false" ht="15" hidden="false" customHeight="false" outlineLevel="0" collapsed="false">
      <c r="A2768" s="0" t="s">
        <v>6057</v>
      </c>
      <c r="B2768" s="0" t="s">
        <v>6058</v>
      </c>
      <c r="C2768" s="0" t="n">
        <v>5.95</v>
      </c>
    </row>
    <row r="2769" customFormat="false" ht="15" hidden="false" customHeight="false" outlineLevel="0" collapsed="false">
      <c r="A2769" s="0" t="s">
        <v>6059</v>
      </c>
      <c r="B2769" s="0" t="s">
        <v>6060</v>
      </c>
      <c r="C2769" s="0" t="n">
        <v>5.95</v>
      </c>
    </row>
    <row r="2770" customFormat="false" ht="15" hidden="false" customHeight="false" outlineLevel="0" collapsed="false">
      <c r="A2770" s="0" t="s">
        <v>6061</v>
      </c>
      <c r="B2770" s="0" t="s">
        <v>6062</v>
      </c>
      <c r="C2770" s="0" t="n">
        <v>2.1</v>
      </c>
    </row>
    <row r="2771" customFormat="false" ht="15" hidden="false" customHeight="false" outlineLevel="0" collapsed="false">
      <c r="A2771" s="0" t="s">
        <v>6063</v>
      </c>
      <c r="B2771" s="0" t="s">
        <v>6064</v>
      </c>
      <c r="C2771" s="0" t="n">
        <v>1.95</v>
      </c>
    </row>
    <row r="2772" customFormat="false" ht="15" hidden="false" customHeight="false" outlineLevel="0" collapsed="false">
      <c r="A2772" s="0" t="s">
        <v>6065</v>
      </c>
      <c r="B2772" s="0" t="s">
        <v>6066</v>
      </c>
      <c r="C2772" s="0" t="n">
        <v>4.65</v>
      </c>
    </row>
    <row r="2773" customFormat="false" ht="15" hidden="false" customHeight="false" outlineLevel="0" collapsed="false">
      <c r="A2773" s="0" t="s">
        <v>6067</v>
      </c>
      <c r="B2773" s="0" t="s">
        <v>6068</v>
      </c>
      <c r="C2773" s="0" t="n">
        <v>4.21</v>
      </c>
    </row>
    <row r="2774" customFormat="false" ht="15" hidden="false" customHeight="false" outlineLevel="0" collapsed="false">
      <c r="A2774" s="0" t="s">
        <v>6069</v>
      </c>
      <c r="B2774" s="0" t="s">
        <v>6070</v>
      </c>
      <c r="C2774" s="0" t="n">
        <v>5.91</v>
      </c>
    </row>
    <row r="2775" customFormat="false" ht="15" hidden="false" customHeight="false" outlineLevel="0" collapsed="false">
      <c r="A2775" s="0" t="s">
        <v>6071</v>
      </c>
      <c r="B2775" s="0" t="s">
        <v>6072</v>
      </c>
      <c r="C2775" s="0" t="n">
        <v>0.65</v>
      </c>
    </row>
    <row r="2776" customFormat="false" ht="15" hidden="false" customHeight="false" outlineLevel="0" collapsed="false">
      <c r="A2776" s="0" t="s">
        <v>6073</v>
      </c>
      <c r="B2776" s="0" t="s">
        <v>6074</v>
      </c>
      <c r="C2776" s="0" t="n">
        <v>2.51</v>
      </c>
    </row>
    <row r="2777" customFormat="false" ht="15" hidden="false" customHeight="false" outlineLevel="0" collapsed="false">
      <c r="A2777" s="0" t="s">
        <v>6075</v>
      </c>
      <c r="B2777" s="0" t="s">
        <v>6076</v>
      </c>
      <c r="C2777" s="0" t="n">
        <v>7.5</v>
      </c>
    </row>
    <row r="2778" customFormat="false" ht="15" hidden="false" customHeight="false" outlineLevel="0" collapsed="false">
      <c r="A2778" s="0" t="s">
        <v>6077</v>
      </c>
      <c r="B2778" s="0" t="s">
        <v>6078</v>
      </c>
      <c r="C2778" s="0" t="n">
        <v>7.95</v>
      </c>
    </row>
    <row r="2779" customFormat="false" ht="15" hidden="false" customHeight="false" outlineLevel="0" collapsed="false">
      <c r="A2779" s="0" t="s">
        <v>6079</v>
      </c>
      <c r="B2779" s="0" t="s">
        <v>6080</v>
      </c>
      <c r="C2779" s="0" t="n">
        <v>1.25</v>
      </c>
    </row>
    <row r="2780" customFormat="false" ht="15" hidden="false" customHeight="false" outlineLevel="0" collapsed="false">
      <c r="A2780" s="0" t="s">
        <v>6081</v>
      </c>
      <c r="B2780" s="0" t="s">
        <v>6082</v>
      </c>
      <c r="C2780" s="0" t="n">
        <v>0.81</v>
      </c>
    </row>
    <row r="2781" customFormat="false" ht="15" hidden="false" customHeight="false" outlineLevel="0" collapsed="false">
      <c r="A2781" s="0" t="s">
        <v>6083</v>
      </c>
      <c r="B2781" s="0" t="s">
        <v>583</v>
      </c>
      <c r="C2781" s="0" t="n">
        <v>3.75</v>
      </c>
    </row>
    <row r="2782" customFormat="false" ht="15" hidden="false" customHeight="false" outlineLevel="0" collapsed="false">
      <c r="A2782" s="0" t="s">
        <v>6084</v>
      </c>
      <c r="B2782" s="0" t="s">
        <v>6085</v>
      </c>
      <c r="C2782" s="0" t="n">
        <v>1.25</v>
      </c>
    </row>
    <row r="2783" customFormat="false" ht="15" hidden="false" customHeight="false" outlineLevel="0" collapsed="false">
      <c r="A2783" s="0" t="s">
        <v>6086</v>
      </c>
      <c r="B2783" s="0" t="s">
        <v>873</v>
      </c>
      <c r="C2783" s="0" t="n">
        <v>0.42</v>
      </c>
    </row>
    <row r="2784" customFormat="false" ht="15" hidden="false" customHeight="false" outlineLevel="0" collapsed="false">
      <c r="A2784" s="0" t="s">
        <v>6087</v>
      </c>
      <c r="B2784" s="0" t="s">
        <v>6088</v>
      </c>
      <c r="C2784" s="0" t="n">
        <v>0.42</v>
      </c>
    </row>
    <row r="2785" customFormat="false" ht="15" hidden="false" customHeight="false" outlineLevel="0" collapsed="false">
      <c r="A2785" s="0" t="s">
        <v>6089</v>
      </c>
      <c r="B2785" s="0" t="s">
        <v>6090</v>
      </c>
      <c r="C2785" s="0" t="n">
        <v>3.43</v>
      </c>
    </row>
    <row r="2786" customFormat="false" ht="15" hidden="false" customHeight="false" outlineLevel="0" collapsed="false">
      <c r="A2786" s="0" t="s">
        <v>6091</v>
      </c>
      <c r="B2786" s="0" t="s">
        <v>6092</v>
      </c>
      <c r="C2786" s="0" t="n">
        <v>12.75</v>
      </c>
    </row>
    <row r="2787" customFormat="false" ht="15" hidden="false" customHeight="false" outlineLevel="0" collapsed="false">
      <c r="A2787" s="0" t="s">
        <v>6093</v>
      </c>
      <c r="B2787" s="0" t="s">
        <v>151</v>
      </c>
      <c r="C2787" s="0" t="n">
        <v>1.65</v>
      </c>
    </row>
    <row r="2788" customFormat="false" ht="15" hidden="false" customHeight="false" outlineLevel="0" collapsed="false">
      <c r="A2788" s="0" t="s">
        <v>6094</v>
      </c>
      <c r="B2788" s="0" t="s">
        <v>149</v>
      </c>
      <c r="C2788" s="0" t="n">
        <v>1.65</v>
      </c>
    </row>
    <row r="2789" customFormat="false" ht="15" hidden="false" customHeight="false" outlineLevel="0" collapsed="false">
      <c r="A2789" s="0" t="s">
        <v>6095</v>
      </c>
      <c r="B2789" s="0" t="s">
        <v>242</v>
      </c>
      <c r="C2789" s="0" t="n">
        <v>1.65</v>
      </c>
    </row>
    <row r="2790" customFormat="false" ht="15" hidden="false" customHeight="false" outlineLevel="0" collapsed="false">
      <c r="A2790" s="0" t="s">
        <v>6096</v>
      </c>
      <c r="B2790" s="0" t="s">
        <v>244</v>
      </c>
      <c r="C2790" s="0" t="n">
        <v>1.65</v>
      </c>
    </row>
    <row r="2791" customFormat="false" ht="15" hidden="false" customHeight="false" outlineLevel="0" collapsed="false">
      <c r="A2791" s="0" t="s">
        <v>6097</v>
      </c>
      <c r="B2791" s="0" t="s">
        <v>148</v>
      </c>
      <c r="C2791" s="0" t="n">
        <v>1.65</v>
      </c>
    </row>
    <row r="2792" customFormat="false" ht="15" hidden="false" customHeight="false" outlineLevel="0" collapsed="false">
      <c r="A2792" s="0" t="s">
        <v>6098</v>
      </c>
      <c r="B2792" s="0" t="s">
        <v>243</v>
      </c>
      <c r="C2792" s="0" t="n">
        <v>1.65</v>
      </c>
    </row>
    <row r="2793" customFormat="false" ht="15" hidden="false" customHeight="false" outlineLevel="0" collapsed="false">
      <c r="A2793" s="0" t="s">
        <v>6099</v>
      </c>
      <c r="B2793" s="0" t="s">
        <v>204</v>
      </c>
      <c r="C2793" s="0" t="n">
        <v>2.1</v>
      </c>
    </row>
    <row r="2794" customFormat="false" ht="15" hidden="false" customHeight="false" outlineLevel="0" collapsed="false">
      <c r="A2794" s="0" t="s">
        <v>6100</v>
      </c>
      <c r="B2794" s="0" t="s">
        <v>6101</v>
      </c>
      <c r="C2794" s="0" t="n">
        <v>2.1</v>
      </c>
    </row>
    <row r="2795" customFormat="false" ht="15" hidden="false" customHeight="false" outlineLevel="0" collapsed="false">
      <c r="A2795" s="0" t="s">
        <v>6102</v>
      </c>
      <c r="B2795" s="0" t="s">
        <v>6103</v>
      </c>
      <c r="C2795" s="0" t="n">
        <v>2.1</v>
      </c>
    </row>
    <row r="2796" customFormat="false" ht="15" hidden="false" customHeight="false" outlineLevel="0" collapsed="false">
      <c r="A2796" s="0" t="s">
        <v>6104</v>
      </c>
      <c r="B2796" s="0" t="s">
        <v>6105</v>
      </c>
      <c r="C2796" s="0" t="n">
        <v>1.25</v>
      </c>
    </row>
    <row r="2797" customFormat="false" ht="15" hidden="false" customHeight="false" outlineLevel="0" collapsed="false">
      <c r="A2797" s="0" t="s">
        <v>6106</v>
      </c>
      <c r="B2797" s="0" t="s">
        <v>6107</v>
      </c>
      <c r="C2797" s="0" t="n">
        <v>1.25</v>
      </c>
    </row>
    <row r="2798" customFormat="false" ht="15" hidden="false" customHeight="false" outlineLevel="0" collapsed="false">
      <c r="A2798" s="0" t="s">
        <v>6108</v>
      </c>
      <c r="B2798" s="0" t="s">
        <v>6109</v>
      </c>
      <c r="C2798" s="0" t="n">
        <v>1.25</v>
      </c>
    </row>
    <row r="2799" customFormat="false" ht="15" hidden="false" customHeight="false" outlineLevel="0" collapsed="false">
      <c r="A2799" s="0" t="s">
        <v>6110</v>
      </c>
      <c r="B2799" s="0" t="s">
        <v>6111</v>
      </c>
      <c r="C2799" s="0" t="n">
        <v>2.1</v>
      </c>
    </row>
    <row r="2800" customFormat="false" ht="15" hidden="false" customHeight="false" outlineLevel="0" collapsed="false">
      <c r="A2800" s="0" t="s">
        <v>6112</v>
      </c>
      <c r="B2800" s="0" t="s">
        <v>629</v>
      </c>
      <c r="C2800" s="0" t="n">
        <v>3.75</v>
      </c>
    </row>
    <row r="2801" customFormat="false" ht="15" hidden="false" customHeight="false" outlineLevel="0" collapsed="false">
      <c r="A2801" s="0" t="s">
        <v>6113</v>
      </c>
      <c r="B2801" s="0" t="s">
        <v>6114</v>
      </c>
      <c r="C2801" s="0" t="n">
        <v>12.75</v>
      </c>
    </row>
    <row r="2802" customFormat="false" ht="15" hidden="false" customHeight="false" outlineLevel="0" collapsed="false">
      <c r="A2802" s="0" t="s">
        <v>6115</v>
      </c>
      <c r="B2802" s="0" t="s">
        <v>6116</v>
      </c>
      <c r="C2802" s="0" t="n">
        <v>0.85</v>
      </c>
    </row>
    <row r="2803" customFormat="false" ht="15" hidden="false" customHeight="false" outlineLevel="0" collapsed="false">
      <c r="A2803" s="0" t="s">
        <v>6117</v>
      </c>
      <c r="B2803" s="0" t="s">
        <v>6118</v>
      </c>
      <c r="C2803" s="0" t="n">
        <v>1.25</v>
      </c>
    </row>
    <row r="2804" customFormat="false" ht="15" hidden="false" customHeight="false" outlineLevel="0" collapsed="false">
      <c r="A2804" s="0" t="s">
        <v>6119</v>
      </c>
      <c r="B2804" s="0" t="s">
        <v>6120</v>
      </c>
      <c r="C2804" s="0" t="n">
        <v>1.45</v>
      </c>
    </row>
    <row r="2805" customFormat="false" ht="15" hidden="false" customHeight="false" outlineLevel="0" collapsed="false">
      <c r="A2805" s="0" t="s">
        <v>6121</v>
      </c>
      <c r="B2805" s="0" t="s">
        <v>6122</v>
      </c>
      <c r="C2805" s="0" t="n">
        <v>1.45</v>
      </c>
    </row>
    <row r="2806" customFormat="false" ht="15" hidden="false" customHeight="false" outlineLevel="0" collapsed="false">
      <c r="A2806" s="0" t="s">
        <v>6123</v>
      </c>
      <c r="B2806" s="0" t="s">
        <v>6124</v>
      </c>
      <c r="C2806" s="0" t="n">
        <v>1.55</v>
      </c>
    </row>
    <row r="2807" customFormat="false" ht="15" hidden="false" customHeight="false" outlineLevel="0" collapsed="false">
      <c r="A2807" s="0" t="s">
        <v>6125</v>
      </c>
      <c r="B2807" s="0" t="s">
        <v>6126</v>
      </c>
      <c r="C2807" s="0" t="n">
        <v>2.55</v>
      </c>
    </row>
    <row r="2808" customFormat="false" ht="15" hidden="false" customHeight="false" outlineLevel="0" collapsed="false">
      <c r="A2808" s="0" t="s">
        <v>6127</v>
      </c>
      <c r="B2808" s="0" t="s">
        <v>6128</v>
      </c>
      <c r="C2808" s="0" t="n">
        <v>4.25</v>
      </c>
    </row>
    <row r="2809" customFormat="false" ht="15" hidden="false" customHeight="false" outlineLevel="0" collapsed="false">
      <c r="A2809" s="0" t="s">
        <v>6129</v>
      </c>
      <c r="B2809" s="0" t="s">
        <v>6130</v>
      </c>
      <c r="C2809" s="0" t="n">
        <v>6.95</v>
      </c>
    </row>
    <row r="2810" customFormat="false" ht="15" hidden="false" customHeight="false" outlineLevel="0" collapsed="false">
      <c r="A2810" s="0" t="s">
        <v>6131</v>
      </c>
      <c r="B2810" s="0" t="s">
        <v>6132</v>
      </c>
      <c r="C2810" s="0" t="n">
        <v>0.85</v>
      </c>
    </row>
    <row r="2811" customFormat="false" ht="15" hidden="false" customHeight="false" outlineLevel="0" collapsed="false">
      <c r="A2811" s="0" t="s">
        <v>6133</v>
      </c>
      <c r="B2811" s="0" t="s">
        <v>6134</v>
      </c>
      <c r="C2811" s="0" t="n">
        <v>0.42</v>
      </c>
    </row>
    <row r="2812" customFormat="false" ht="15" hidden="false" customHeight="false" outlineLevel="0" collapsed="false">
      <c r="A2812" s="0" t="s">
        <v>6135</v>
      </c>
      <c r="B2812" s="0" t="s">
        <v>6136</v>
      </c>
      <c r="C2812" s="0" t="n">
        <v>1.65</v>
      </c>
    </row>
    <row r="2813" customFormat="false" ht="15" hidden="false" customHeight="false" outlineLevel="0" collapsed="false">
      <c r="A2813" s="0" t="s">
        <v>6137</v>
      </c>
      <c r="B2813" s="0" t="s">
        <v>6138</v>
      </c>
      <c r="C2813" s="0" t="n">
        <v>0.42</v>
      </c>
    </row>
    <row r="2814" customFormat="false" ht="15" hidden="false" customHeight="false" outlineLevel="0" collapsed="false">
      <c r="A2814" s="0" t="s">
        <v>6139</v>
      </c>
      <c r="B2814" s="0" t="s">
        <v>6140</v>
      </c>
      <c r="C2814" s="0" t="n">
        <v>0.21</v>
      </c>
    </row>
    <row r="2815" customFormat="false" ht="15" hidden="false" customHeight="false" outlineLevel="0" collapsed="false">
      <c r="A2815" s="0" t="s">
        <v>6141</v>
      </c>
      <c r="B2815" s="0" t="s">
        <v>6142</v>
      </c>
      <c r="C2815" s="0" t="n">
        <v>0.42</v>
      </c>
    </row>
    <row r="2816" customFormat="false" ht="15" hidden="false" customHeight="false" outlineLevel="0" collapsed="false">
      <c r="A2816" s="0" t="s">
        <v>6143</v>
      </c>
      <c r="B2816" s="0" t="s">
        <v>6144</v>
      </c>
      <c r="C2816" s="0" t="n">
        <v>0.12</v>
      </c>
    </row>
    <row r="2817" customFormat="false" ht="15" hidden="false" customHeight="false" outlineLevel="0" collapsed="false">
      <c r="A2817" s="0" t="s">
        <v>6145</v>
      </c>
      <c r="B2817" s="0" t="s">
        <v>6146</v>
      </c>
      <c r="C2817" s="0" t="n">
        <v>2.1</v>
      </c>
    </row>
    <row r="2818" customFormat="false" ht="15" hidden="false" customHeight="false" outlineLevel="0" collapsed="false">
      <c r="A2818" s="0" t="s">
        <v>6147</v>
      </c>
      <c r="B2818" s="0" t="s">
        <v>6148</v>
      </c>
      <c r="C2818" s="0" t="n">
        <v>2.1</v>
      </c>
    </row>
    <row r="2819" customFormat="false" ht="15" hidden="false" customHeight="false" outlineLevel="0" collapsed="false">
      <c r="A2819" s="0" t="s">
        <v>6149</v>
      </c>
      <c r="B2819" s="0" t="s">
        <v>6150</v>
      </c>
      <c r="C2819" s="0" t="n">
        <v>2.1</v>
      </c>
    </row>
    <row r="2820" customFormat="false" ht="15" hidden="false" customHeight="false" outlineLevel="0" collapsed="false">
      <c r="A2820" s="0" t="s">
        <v>6151</v>
      </c>
      <c r="B2820" s="0" t="s">
        <v>6152</v>
      </c>
      <c r="C2820" s="0" t="n">
        <v>2.1</v>
      </c>
    </row>
    <row r="2821" customFormat="false" ht="15" hidden="false" customHeight="false" outlineLevel="0" collapsed="false">
      <c r="A2821" s="0" t="s">
        <v>6153</v>
      </c>
      <c r="B2821" s="0" t="s">
        <v>6154</v>
      </c>
      <c r="C2821" s="0" t="n">
        <v>0.1</v>
      </c>
    </row>
    <row r="2822" customFormat="false" ht="15" hidden="false" customHeight="false" outlineLevel="0" collapsed="false">
      <c r="A2822" s="0" t="s">
        <v>6155</v>
      </c>
      <c r="B2822" s="0" t="s">
        <v>6156</v>
      </c>
      <c r="C2822" s="0" t="n">
        <v>2.95</v>
      </c>
    </row>
    <row r="2823" customFormat="false" ht="15" hidden="false" customHeight="false" outlineLevel="0" collapsed="false">
      <c r="A2823" s="0" t="s">
        <v>6157</v>
      </c>
      <c r="B2823" s="0" t="s">
        <v>6158</v>
      </c>
      <c r="C2823" s="0" t="n">
        <v>1.65</v>
      </c>
    </row>
    <row r="2824" customFormat="false" ht="15" hidden="false" customHeight="false" outlineLevel="0" collapsed="false">
      <c r="A2824" s="0" t="s">
        <v>6159</v>
      </c>
      <c r="B2824" s="0" t="s">
        <v>6160</v>
      </c>
      <c r="C2824" s="0" t="n">
        <v>0.42</v>
      </c>
    </row>
    <row r="2825" customFormat="false" ht="15" hidden="false" customHeight="false" outlineLevel="0" collapsed="false">
      <c r="A2825" s="0" t="s">
        <v>6161</v>
      </c>
      <c r="B2825" s="0" t="s">
        <v>6162</v>
      </c>
      <c r="C2825" s="0" t="n">
        <v>1.95</v>
      </c>
    </row>
    <row r="2826" customFormat="false" ht="15" hidden="false" customHeight="false" outlineLevel="0" collapsed="false">
      <c r="A2826" s="0" t="s">
        <v>6163</v>
      </c>
      <c r="B2826" s="0" t="s">
        <v>6164</v>
      </c>
      <c r="C2826" s="0" t="n">
        <v>1.45</v>
      </c>
    </row>
    <row r="2827" customFormat="false" ht="15" hidden="false" customHeight="false" outlineLevel="0" collapsed="false">
      <c r="A2827" s="0" t="s">
        <v>6165</v>
      </c>
      <c r="B2827" s="0" t="s">
        <v>6166</v>
      </c>
      <c r="C2827" s="0" t="n">
        <v>1.25</v>
      </c>
    </row>
    <row r="2828" customFormat="false" ht="15" hidden="false" customHeight="false" outlineLevel="0" collapsed="false">
      <c r="A2828" s="0" t="s">
        <v>6167</v>
      </c>
      <c r="B2828" s="0" t="s">
        <v>6168</v>
      </c>
      <c r="C2828" s="0" t="n">
        <v>0.85</v>
      </c>
    </row>
    <row r="2829" customFormat="false" ht="15" hidden="false" customHeight="false" outlineLevel="0" collapsed="false">
      <c r="A2829" s="0" t="s">
        <v>6169</v>
      </c>
      <c r="B2829" s="0" t="s">
        <v>6170</v>
      </c>
      <c r="C2829" s="0" t="n">
        <v>1.25</v>
      </c>
    </row>
    <row r="2830" customFormat="false" ht="15" hidden="false" customHeight="false" outlineLevel="0" collapsed="false">
      <c r="A2830" s="0" t="s">
        <v>6171</v>
      </c>
      <c r="B2830" s="0" t="s">
        <v>39</v>
      </c>
      <c r="C2830" s="0" t="n">
        <v>18</v>
      </c>
    </row>
    <row r="2831" customFormat="false" ht="15" hidden="false" customHeight="false" outlineLevel="0" collapsed="false">
      <c r="A2831" s="0" t="s">
        <v>6172</v>
      </c>
      <c r="B2831" s="0" t="s">
        <v>6173</v>
      </c>
      <c r="C2831" s="0" t="n">
        <v>1.25</v>
      </c>
    </row>
    <row r="2832" customFormat="false" ht="15" hidden="false" customHeight="false" outlineLevel="0" collapsed="false">
      <c r="A2832" s="0" t="s">
        <v>6174</v>
      </c>
      <c r="B2832" s="0" t="s">
        <v>6175</v>
      </c>
      <c r="C2832" s="0" t="n">
        <v>0.38</v>
      </c>
    </row>
    <row r="2833" customFormat="false" ht="15" hidden="false" customHeight="false" outlineLevel="0" collapsed="false">
      <c r="A2833" s="0" t="s">
        <v>6176</v>
      </c>
      <c r="B2833" s="0" t="s">
        <v>6177</v>
      </c>
      <c r="C2833" s="0" t="n">
        <v>1.95</v>
      </c>
    </row>
    <row r="2834" customFormat="false" ht="15" hidden="false" customHeight="false" outlineLevel="0" collapsed="false">
      <c r="A2834" s="0" t="s">
        <v>6178</v>
      </c>
      <c r="B2834" s="0" t="s">
        <v>6179</v>
      </c>
      <c r="C2834" s="0" t="n">
        <v>1.25</v>
      </c>
    </row>
    <row r="2835" customFormat="false" ht="15" hidden="false" customHeight="false" outlineLevel="0" collapsed="false">
      <c r="A2835" s="0" t="s">
        <v>6180</v>
      </c>
      <c r="B2835" s="0" t="s">
        <v>6181</v>
      </c>
      <c r="C2835" s="0" t="n">
        <v>2.95</v>
      </c>
    </row>
    <row r="2836" customFormat="false" ht="15" hidden="false" customHeight="false" outlineLevel="0" collapsed="false">
      <c r="A2836" s="0" t="s">
        <v>6182</v>
      </c>
      <c r="B2836" s="0" t="s">
        <v>6183</v>
      </c>
      <c r="C2836" s="0" t="n">
        <v>1.25</v>
      </c>
    </row>
    <row r="2837" customFormat="false" ht="15" hidden="false" customHeight="false" outlineLevel="0" collapsed="false">
      <c r="A2837" s="0" t="s">
        <v>6184</v>
      </c>
      <c r="B2837" s="0" t="s">
        <v>6185</v>
      </c>
      <c r="C2837" s="0" t="n">
        <v>2.95</v>
      </c>
    </row>
    <row r="2838" customFormat="false" ht="15" hidden="false" customHeight="false" outlineLevel="0" collapsed="false">
      <c r="A2838" s="0" t="s">
        <v>6186</v>
      </c>
      <c r="B2838" s="0" t="s">
        <v>6187</v>
      </c>
      <c r="C2838" s="0" t="n">
        <v>1.25</v>
      </c>
    </row>
    <row r="2839" customFormat="false" ht="15" hidden="false" customHeight="false" outlineLevel="0" collapsed="false">
      <c r="A2839" s="0" t="s">
        <v>6188</v>
      </c>
      <c r="B2839" s="0" t="s">
        <v>6189</v>
      </c>
      <c r="C2839" s="0" t="n">
        <v>4.25</v>
      </c>
    </row>
    <row r="2840" customFormat="false" ht="15" hidden="false" customHeight="false" outlineLevel="0" collapsed="false">
      <c r="A2840" s="0" t="s">
        <v>6190</v>
      </c>
      <c r="B2840" s="0" t="s">
        <v>6191</v>
      </c>
      <c r="C2840" s="0" t="n">
        <v>4.25</v>
      </c>
    </row>
    <row r="2841" customFormat="false" ht="15" hidden="false" customHeight="false" outlineLevel="0" collapsed="false">
      <c r="A2841" s="0" t="s">
        <v>6192</v>
      </c>
      <c r="B2841" s="0" t="s">
        <v>6193</v>
      </c>
      <c r="C2841" s="0" t="n">
        <v>1.25</v>
      </c>
    </row>
    <row r="2842" customFormat="false" ht="15" hidden="false" customHeight="false" outlineLevel="0" collapsed="false">
      <c r="A2842" s="0" t="s">
        <v>6194</v>
      </c>
      <c r="B2842" s="0" t="s">
        <v>6195</v>
      </c>
      <c r="C2842" s="0" t="n">
        <v>2.1</v>
      </c>
    </row>
    <row r="2843" customFormat="false" ht="15" hidden="false" customHeight="false" outlineLevel="0" collapsed="false">
      <c r="A2843" s="0" t="s">
        <v>6196</v>
      </c>
      <c r="B2843" s="0" t="s">
        <v>6197</v>
      </c>
      <c r="C2843" s="0" t="n">
        <v>2.1</v>
      </c>
    </row>
    <row r="2844" customFormat="false" ht="15" hidden="false" customHeight="false" outlineLevel="0" collapsed="false">
      <c r="A2844" s="0" t="s">
        <v>6198</v>
      </c>
      <c r="B2844" s="0" t="s">
        <v>6199</v>
      </c>
      <c r="C2844" s="0" t="n">
        <v>0.21</v>
      </c>
    </row>
    <row r="2845" customFormat="false" ht="15" hidden="false" customHeight="false" outlineLevel="0" collapsed="false">
      <c r="A2845" s="0" t="s">
        <v>6200</v>
      </c>
      <c r="B2845" s="0" t="s">
        <v>6201</v>
      </c>
      <c r="C2845" s="0" t="n">
        <v>3.75</v>
      </c>
    </row>
    <row r="2846" customFormat="false" ht="15" hidden="false" customHeight="false" outlineLevel="0" collapsed="false">
      <c r="A2846" s="0" t="s">
        <v>6202</v>
      </c>
      <c r="B2846" s="0" t="s">
        <v>6203</v>
      </c>
      <c r="C2846" s="0" t="n">
        <v>1.25</v>
      </c>
    </row>
    <row r="2847" customFormat="false" ht="15" hidden="false" customHeight="false" outlineLevel="0" collapsed="false">
      <c r="A2847" s="0" t="s">
        <v>6204</v>
      </c>
      <c r="B2847" s="0" t="s">
        <v>6205</v>
      </c>
      <c r="C2847" s="0" t="n">
        <v>2.1</v>
      </c>
    </row>
    <row r="2848" customFormat="false" ht="15" hidden="false" customHeight="false" outlineLevel="0" collapsed="false">
      <c r="A2848" s="0" t="s">
        <v>6206</v>
      </c>
      <c r="B2848" s="0" t="s">
        <v>6207</v>
      </c>
      <c r="C2848" s="0" t="n">
        <v>2.55</v>
      </c>
    </row>
    <row r="2849" customFormat="false" ht="15" hidden="false" customHeight="false" outlineLevel="0" collapsed="false">
      <c r="A2849" s="0" t="s">
        <v>6208</v>
      </c>
      <c r="B2849" s="0" t="s">
        <v>6209</v>
      </c>
      <c r="C2849" s="0" t="n">
        <v>2.95</v>
      </c>
    </row>
    <row r="2850" customFormat="false" ht="15" hidden="false" customHeight="false" outlineLevel="0" collapsed="false">
      <c r="A2850" s="0" t="s">
        <v>6210</v>
      </c>
      <c r="B2850" s="0" t="s">
        <v>6211</v>
      </c>
      <c r="C2850" s="0" t="n">
        <v>9.95</v>
      </c>
    </row>
    <row r="2851" customFormat="false" ht="15" hidden="false" customHeight="false" outlineLevel="0" collapsed="false">
      <c r="A2851" s="0" t="s">
        <v>6212</v>
      </c>
      <c r="B2851" s="0" t="s">
        <v>6213</v>
      </c>
      <c r="C2851" s="0" t="n">
        <v>1.69</v>
      </c>
    </row>
    <row r="2852" customFormat="false" ht="15" hidden="false" customHeight="false" outlineLevel="0" collapsed="false">
      <c r="A2852" s="0" t="s">
        <v>6214</v>
      </c>
      <c r="B2852" s="0" t="s">
        <v>6215</v>
      </c>
      <c r="C2852" s="0" t="n">
        <v>4.21</v>
      </c>
    </row>
    <row r="2853" customFormat="false" ht="15" hidden="false" customHeight="false" outlineLevel="0" collapsed="false">
      <c r="A2853" s="0" t="s">
        <v>6216</v>
      </c>
      <c r="B2853" s="0" t="s">
        <v>6217</v>
      </c>
      <c r="C2853" s="0" t="n">
        <v>6.95</v>
      </c>
    </row>
    <row r="2854" customFormat="false" ht="15" hidden="false" customHeight="false" outlineLevel="0" collapsed="false">
      <c r="A2854" s="0" t="s">
        <v>6218</v>
      </c>
      <c r="B2854" s="0" t="s">
        <v>6219</v>
      </c>
      <c r="C2854" s="0" t="n">
        <v>11.95</v>
      </c>
    </row>
    <row r="2855" customFormat="false" ht="15" hidden="false" customHeight="false" outlineLevel="0" collapsed="false">
      <c r="A2855" s="0" t="s">
        <v>6220</v>
      </c>
      <c r="B2855" s="0" t="s">
        <v>6221</v>
      </c>
      <c r="C2855" s="0" t="n">
        <v>2.96</v>
      </c>
    </row>
    <row r="2856" customFormat="false" ht="15" hidden="false" customHeight="false" outlineLevel="0" collapsed="false">
      <c r="A2856" s="0" t="s">
        <v>6222</v>
      </c>
      <c r="B2856" s="0" t="s">
        <v>6223</v>
      </c>
      <c r="C2856" s="0" t="n">
        <v>0.19</v>
      </c>
    </row>
    <row r="2857" customFormat="false" ht="15" hidden="false" customHeight="false" outlineLevel="0" collapsed="false">
      <c r="A2857" s="0" t="s">
        <v>6224</v>
      </c>
      <c r="B2857" s="0" t="s">
        <v>6225</v>
      </c>
      <c r="C2857" s="0" t="n">
        <v>1.25</v>
      </c>
    </row>
    <row r="2858" customFormat="false" ht="15" hidden="false" customHeight="false" outlineLevel="0" collapsed="false">
      <c r="A2858" s="0" t="s">
        <v>6226</v>
      </c>
      <c r="B2858" s="0" t="s">
        <v>6227</v>
      </c>
      <c r="C2858" s="0" t="n">
        <v>2.95</v>
      </c>
    </row>
    <row r="2859" customFormat="false" ht="15" hidden="false" customHeight="false" outlineLevel="0" collapsed="false">
      <c r="A2859" s="0" t="s">
        <v>6228</v>
      </c>
      <c r="B2859" s="0" t="s">
        <v>6229</v>
      </c>
      <c r="C2859" s="0" t="n">
        <v>2.96</v>
      </c>
    </row>
    <row r="2860" customFormat="false" ht="15" hidden="false" customHeight="false" outlineLevel="0" collapsed="false">
      <c r="A2860" s="0" t="s">
        <v>6230</v>
      </c>
      <c r="B2860" s="0" t="s">
        <v>6231</v>
      </c>
      <c r="C2860" s="0" t="n">
        <v>2.96</v>
      </c>
    </row>
    <row r="2861" customFormat="false" ht="15" hidden="false" customHeight="false" outlineLevel="0" collapsed="false">
      <c r="A2861" s="0" t="s">
        <v>6232</v>
      </c>
      <c r="B2861" s="0" t="s">
        <v>6233</v>
      </c>
      <c r="C2861" s="0" t="n">
        <v>2.1</v>
      </c>
    </row>
    <row r="2862" customFormat="false" ht="15" hidden="false" customHeight="false" outlineLevel="0" collapsed="false">
      <c r="A2862" s="0" t="s">
        <v>6234</v>
      </c>
      <c r="B2862" s="0" t="s">
        <v>6235</v>
      </c>
      <c r="C2862" s="0" t="n">
        <v>5.95</v>
      </c>
    </row>
    <row r="2863" customFormat="false" ht="15" hidden="false" customHeight="false" outlineLevel="0" collapsed="false">
      <c r="A2863" s="0" t="s">
        <v>6236</v>
      </c>
      <c r="B2863" s="0" t="s">
        <v>6237</v>
      </c>
      <c r="C2863" s="0" t="n">
        <v>2.55</v>
      </c>
    </row>
    <row r="2864" customFormat="false" ht="15" hidden="false" customHeight="false" outlineLevel="0" collapsed="false">
      <c r="A2864" s="0" t="s">
        <v>6238</v>
      </c>
      <c r="B2864" s="0" t="s">
        <v>6239</v>
      </c>
      <c r="C2864" s="0" t="n">
        <v>0.83</v>
      </c>
    </row>
    <row r="2865" customFormat="false" ht="15" hidden="false" customHeight="false" outlineLevel="0" collapsed="false">
      <c r="A2865" s="0" t="s">
        <v>6240</v>
      </c>
      <c r="B2865" s="0" t="s">
        <v>6241</v>
      </c>
      <c r="C2865" s="0" t="n">
        <v>2.54</v>
      </c>
    </row>
    <row r="2866" customFormat="false" ht="15" hidden="false" customHeight="false" outlineLevel="0" collapsed="false">
      <c r="A2866" s="0" t="s">
        <v>6242</v>
      </c>
      <c r="B2866" s="0" t="s">
        <v>6243</v>
      </c>
      <c r="C2866" s="0" t="n">
        <v>8.95</v>
      </c>
    </row>
    <row r="2867" customFormat="false" ht="15" hidden="false" customHeight="false" outlineLevel="0" collapsed="false">
      <c r="A2867" s="0" t="s">
        <v>6244</v>
      </c>
      <c r="B2867" s="0" t="s">
        <v>6245</v>
      </c>
      <c r="C2867" s="0" t="n">
        <v>12.75</v>
      </c>
    </row>
    <row r="2868" customFormat="false" ht="15" hidden="false" customHeight="false" outlineLevel="0" collapsed="false">
      <c r="A2868" s="0" t="s">
        <v>6246</v>
      </c>
      <c r="B2868" s="0" t="s">
        <v>6247</v>
      </c>
      <c r="C2868" s="0" t="n">
        <v>1.66</v>
      </c>
    </row>
    <row r="2869" customFormat="false" ht="15" hidden="false" customHeight="false" outlineLevel="0" collapsed="false">
      <c r="A2869" s="0" t="s">
        <v>6248</v>
      </c>
      <c r="B2869" s="0" t="s">
        <v>6249</v>
      </c>
      <c r="C2869" s="0" t="n">
        <v>4.65</v>
      </c>
    </row>
    <row r="2870" customFormat="false" ht="15" hidden="false" customHeight="false" outlineLevel="0" collapsed="false">
      <c r="A2870" s="0" t="s">
        <v>6250</v>
      </c>
      <c r="B2870" s="0" t="s">
        <v>6251</v>
      </c>
      <c r="C2870" s="0" t="n">
        <v>3.75</v>
      </c>
    </row>
    <row r="2871" customFormat="false" ht="15" hidden="false" customHeight="false" outlineLevel="0" collapsed="false">
      <c r="A2871" s="0" t="s">
        <v>6252</v>
      </c>
      <c r="B2871" s="0" t="s">
        <v>6253</v>
      </c>
      <c r="C2871" s="0" t="n">
        <v>1.25</v>
      </c>
    </row>
    <row r="2872" customFormat="false" ht="15" hidden="false" customHeight="false" outlineLevel="0" collapsed="false">
      <c r="A2872" s="0" t="s">
        <v>6254</v>
      </c>
      <c r="B2872" s="0" t="s">
        <v>6255</v>
      </c>
      <c r="C2872" s="0" t="n">
        <v>2.95</v>
      </c>
    </row>
    <row r="2873" customFormat="false" ht="15" hidden="false" customHeight="false" outlineLevel="0" collapsed="false">
      <c r="A2873" s="0" t="s">
        <v>6256</v>
      </c>
      <c r="B2873" s="0" t="s">
        <v>6257</v>
      </c>
      <c r="C2873" s="0" t="n">
        <v>6.04</v>
      </c>
    </row>
    <row r="2874" customFormat="false" ht="15" hidden="false" customHeight="false" outlineLevel="0" collapsed="false">
      <c r="A2874" s="0" t="s">
        <v>6258</v>
      </c>
      <c r="B2874" s="0" t="s">
        <v>6259</v>
      </c>
      <c r="C2874" s="0" t="n">
        <v>4.25</v>
      </c>
    </row>
    <row r="2875" customFormat="false" ht="15" hidden="false" customHeight="false" outlineLevel="0" collapsed="false">
      <c r="A2875" s="0" t="s">
        <v>6260</v>
      </c>
      <c r="B2875" s="0" t="s">
        <v>6261</v>
      </c>
      <c r="C2875" s="0" t="n">
        <v>0.85</v>
      </c>
    </row>
    <row r="2876" customFormat="false" ht="15" hidden="false" customHeight="false" outlineLevel="0" collapsed="false">
      <c r="A2876" s="0" t="s">
        <v>6262</v>
      </c>
      <c r="B2876" s="0" t="s">
        <v>6263</v>
      </c>
      <c r="C2876" s="0" t="n">
        <v>3.75</v>
      </c>
    </row>
    <row r="2877" customFormat="false" ht="15" hidden="false" customHeight="false" outlineLevel="0" collapsed="false">
      <c r="A2877" s="0" t="s">
        <v>6264</v>
      </c>
      <c r="B2877" s="0" t="s">
        <v>6265</v>
      </c>
      <c r="C2877" s="0" t="n">
        <v>3.36</v>
      </c>
    </row>
    <row r="2878" customFormat="false" ht="15" hidden="false" customHeight="false" outlineLevel="0" collapsed="false">
      <c r="A2878" s="0" t="s">
        <v>6266</v>
      </c>
      <c r="B2878" s="0" t="s">
        <v>6267</v>
      </c>
      <c r="C2878" s="0" t="n">
        <v>0.85</v>
      </c>
    </row>
    <row r="2879" customFormat="false" ht="15" hidden="false" customHeight="false" outlineLevel="0" collapsed="false">
      <c r="A2879" s="0" t="s">
        <v>6268</v>
      </c>
      <c r="B2879" s="0" t="s">
        <v>6269</v>
      </c>
      <c r="C2879" s="0" t="n">
        <v>1.25</v>
      </c>
    </row>
    <row r="2880" customFormat="false" ht="15" hidden="false" customHeight="false" outlineLevel="0" collapsed="false">
      <c r="A2880" s="0" t="s">
        <v>6270</v>
      </c>
      <c r="B2880" s="0" t="s">
        <v>6271</v>
      </c>
      <c r="C2880" s="0" t="n">
        <v>1.25</v>
      </c>
    </row>
    <row r="2881" customFormat="false" ht="15" hidden="false" customHeight="false" outlineLevel="0" collapsed="false">
      <c r="A2881" s="0" t="s">
        <v>6272</v>
      </c>
      <c r="B2881" s="0" t="s">
        <v>6273</v>
      </c>
      <c r="C2881" s="0" t="n">
        <v>2.51</v>
      </c>
    </row>
    <row r="2882" customFormat="false" ht="15" hidden="false" customHeight="false" outlineLevel="0" collapsed="false">
      <c r="A2882" s="0" t="s">
        <v>6274</v>
      </c>
      <c r="B2882" s="0" t="s">
        <v>6275</v>
      </c>
      <c r="C2882" s="0" t="n">
        <v>2.1</v>
      </c>
    </row>
    <row r="2883" customFormat="false" ht="15" hidden="false" customHeight="false" outlineLevel="0" collapsed="false">
      <c r="A2883" s="0" t="s">
        <v>6276</v>
      </c>
      <c r="B2883" s="0" t="s">
        <v>6277</v>
      </c>
      <c r="C2883" s="0" t="n">
        <v>2.25</v>
      </c>
    </row>
    <row r="2884" customFormat="false" ht="15" hidden="false" customHeight="false" outlineLevel="0" collapsed="false">
      <c r="A2884" s="0" t="s">
        <v>6278</v>
      </c>
      <c r="B2884" s="0" t="s">
        <v>6279</v>
      </c>
      <c r="C2884" s="0" t="n">
        <v>2.95</v>
      </c>
    </row>
    <row r="2885" customFormat="false" ht="15" hidden="false" customHeight="false" outlineLevel="0" collapsed="false">
      <c r="A2885" s="0" t="s">
        <v>6280</v>
      </c>
      <c r="B2885" s="0" t="s">
        <v>6281</v>
      </c>
      <c r="C2885" s="0" t="n">
        <v>3.25</v>
      </c>
    </row>
    <row r="2886" customFormat="false" ht="15" hidden="false" customHeight="false" outlineLevel="0" collapsed="false">
      <c r="A2886" s="0" t="s">
        <v>6282</v>
      </c>
      <c r="B2886" s="0" t="s">
        <v>6283</v>
      </c>
      <c r="C2886" s="0" t="n">
        <v>0.42</v>
      </c>
    </row>
    <row r="2887" customFormat="false" ht="15" hidden="false" customHeight="false" outlineLevel="0" collapsed="false">
      <c r="A2887" s="0" t="s">
        <v>6284</v>
      </c>
      <c r="B2887" s="0" t="s">
        <v>6285</v>
      </c>
      <c r="C2887" s="0" t="n">
        <v>0.85</v>
      </c>
    </row>
    <row r="2888" customFormat="false" ht="15" hidden="false" customHeight="false" outlineLevel="0" collapsed="false">
      <c r="A2888" s="0" t="s">
        <v>6286</v>
      </c>
      <c r="B2888" s="0" t="s">
        <v>6287</v>
      </c>
      <c r="C2888" s="0" t="n">
        <v>0.85</v>
      </c>
    </row>
    <row r="2889" customFormat="false" ht="15" hidden="false" customHeight="false" outlineLevel="0" collapsed="false">
      <c r="A2889" s="0" t="s">
        <v>6288</v>
      </c>
      <c r="B2889" s="0" t="s">
        <v>6289</v>
      </c>
      <c r="C2889" s="0" t="n">
        <v>0.65</v>
      </c>
    </row>
    <row r="2890" customFormat="false" ht="15" hidden="false" customHeight="false" outlineLevel="0" collapsed="false">
      <c r="A2890" s="0" t="s">
        <v>6290</v>
      </c>
      <c r="B2890" s="0" t="s">
        <v>562</v>
      </c>
      <c r="C2890" s="0" t="n">
        <v>0.42</v>
      </c>
    </row>
    <row r="2891" customFormat="false" ht="15" hidden="false" customHeight="false" outlineLevel="0" collapsed="false">
      <c r="A2891" s="0" t="s">
        <v>6291</v>
      </c>
      <c r="B2891" s="0" t="s">
        <v>6292</v>
      </c>
      <c r="C2891" s="0" t="n">
        <v>5.95</v>
      </c>
    </row>
    <row r="2892" customFormat="false" ht="15" hidden="false" customHeight="false" outlineLevel="0" collapsed="false">
      <c r="A2892" s="0" t="s">
        <v>6293</v>
      </c>
      <c r="B2892" s="0" t="s">
        <v>6294</v>
      </c>
      <c r="C2892" s="0" t="n">
        <v>0.85</v>
      </c>
    </row>
    <row r="2893" customFormat="false" ht="15" hidden="false" customHeight="false" outlineLevel="0" collapsed="false">
      <c r="A2893" s="0" t="s">
        <v>6295</v>
      </c>
      <c r="B2893" s="0" t="s">
        <v>6296</v>
      </c>
      <c r="C2893" s="0" t="n">
        <v>1.25</v>
      </c>
    </row>
    <row r="2894" customFormat="false" ht="15" hidden="false" customHeight="false" outlineLevel="0" collapsed="false">
      <c r="A2894" s="0" t="s">
        <v>6297</v>
      </c>
      <c r="B2894" s="0" t="s">
        <v>6298</v>
      </c>
      <c r="C2894" s="0" t="n">
        <v>2.95</v>
      </c>
    </row>
    <row r="2895" customFormat="false" ht="15" hidden="false" customHeight="false" outlineLevel="0" collapsed="false">
      <c r="A2895" s="0" t="s">
        <v>6299</v>
      </c>
      <c r="B2895" s="0" t="s">
        <v>542</v>
      </c>
      <c r="C2895" s="0" t="n">
        <v>2.95</v>
      </c>
    </row>
    <row r="2896" customFormat="false" ht="15" hidden="false" customHeight="false" outlineLevel="0" collapsed="false">
      <c r="A2896" s="0" t="s">
        <v>6300</v>
      </c>
      <c r="B2896" s="0" t="s">
        <v>490</v>
      </c>
      <c r="C2896" s="0" t="n">
        <v>2.95</v>
      </c>
    </row>
    <row r="2897" customFormat="false" ht="15" hidden="false" customHeight="false" outlineLevel="0" collapsed="false">
      <c r="A2897" s="0" t="s">
        <v>6301</v>
      </c>
      <c r="B2897" s="0" t="s">
        <v>6302</v>
      </c>
      <c r="C2897" s="0" t="n">
        <v>7.95</v>
      </c>
    </row>
    <row r="2898" customFormat="false" ht="15" hidden="false" customHeight="false" outlineLevel="0" collapsed="false">
      <c r="A2898" s="0" t="s">
        <v>6303</v>
      </c>
      <c r="B2898" s="0" t="s">
        <v>6304</v>
      </c>
      <c r="C2898" s="0" t="n">
        <v>2.55</v>
      </c>
    </row>
    <row r="2899" customFormat="false" ht="15" hidden="false" customHeight="false" outlineLevel="0" collapsed="false">
      <c r="A2899" s="0" t="s">
        <v>6305</v>
      </c>
      <c r="B2899" s="0" t="s">
        <v>6306</v>
      </c>
      <c r="C2899" s="0" t="n">
        <v>1.69</v>
      </c>
    </row>
    <row r="2900" customFormat="false" ht="15" hidden="false" customHeight="false" outlineLevel="0" collapsed="false">
      <c r="A2900" s="0" t="s">
        <v>6307</v>
      </c>
      <c r="B2900" s="0" t="s">
        <v>6308</v>
      </c>
      <c r="C2900" s="0" t="n">
        <v>0.21</v>
      </c>
    </row>
    <row r="2901" customFormat="false" ht="15" hidden="false" customHeight="false" outlineLevel="0" collapsed="false">
      <c r="A2901" s="0" t="s">
        <v>6309</v>
      </c>
      <c r="B2901" s="0" t="s">
        <v>102</v>
      </c>
      <c r="C2901" s="0" t="n">
        <v>2.1</v>
      </c>
    </row>
    <row r="2902" customFormat="false" ht="15" hidden="false" customHeight="false" outlineLevel="0" collapsed="false">
      <c r="A2902" s="0" t="s">
        <v>6310</v>
      </c>
      <c r="B2902" s="0" t="s">
        <v>388</v>
      </c>
      <c r="C2902" s="0" t="n">
        <v>3.75</v>
      </c>
    </row>
    <row r="2903" customFormat="false" ht="15" hidden="false" customHeight="false" outlineLevel="0" collapsed="false">
      <c r="A2903" s="0" t="s">
        <v>6311</v>
      </c>
      <c r="B2903" s="0" t="s">
        <v>6312</v>
      </c>
      <c r="C2903" s="0" t="n">
        <v>2.95</v>
      </c>
    </row>
    <row r="2904" customFormat="false" ht="15" hidden="false" customHeight="false" outlineLevel="0" collapsed="false">
      <c r="A2904" s="0" t="s">
        <v>6313</v>
      </c>
      <c r="B2904" s="0" t="s">
        <v>371</v>
      </c>
      <c r="C2904" s="0" t="n">
        <v>0.65</v>
      </c>
    </row>
    <row r="2905" customFormat="false" ht="15" hidden="false" customHeight="false" outlineLevel="0" collapsed="false">
      <c r="A2905" s="0" t="s">
        <v>6314</v>
      </c>
      <c r="B2905" s="0" t="s">
        <v>6315</v>
      </c>
      <c r="C2905" s="0" t="n">
        <v>2.95</v>
      </c>
    </row>
    <row r="2906" customFormat="false" ht="15" hidden="false" customHeight="false" outlineLevel="0" collapsed="false">
      <c r="A2906" s="0" t="s">
        <v>6316</v>
      </c>
      <c r="B2906" s="0" t="s">
        <v>6317</v>
      </c>
      <c r="C2906" s="0" t="n">
        <v>0.85</v>
      </c>
    </row>
    <row r="2907" customFormat="false" ht="15" hidden="false" customHeight="false" outlineLevel="0" collapsed="false">
      <c r="A2907" s="0" t="s">
        <v>6318</v>
      </c>
      <c r="B2907" s="0" t="s">
        <v>6319</v>
      </c>
      <c r="C2907" s="0" t="n">
        <v>6.95</v>
      </c>
    </row>
    <row r="2908" customFormat="false" ht="15" hidden="false" customHeight="false" outlineLevel="0" collapsed="false">
      <c r="A2908" s="0" t="s">
        <v>6320</v>
      </c>
      <c r="B2908" s="0" t="s">
        <v>6321</v>
      </c>
      <c r="C2908" s="0" t="n">
        <v>2.95</v>
      </c>
    </row>
    <row r="2909" customFormat="false" ht="15" hidden="false" customHeight="false" outlineLevel="0" collapsed="false">
      <c r="A2909" s="0" t="s">
        <v>6322</v>
      </c>
      <c r="B2909" s="0" t="s">
        <v>76</v>
      </c>
      <c r="C2909" s="0" t="n">
        <v>4.95</v>
      </c>
    </row>
    <row r="2910" customFormat="false" ht="15" hidden="false" customHeight="false" outlineLevel="0" collapsed="false">
      <c r="A2910" s="0" t="s">
        <v>6323</v>
      </c>
      <c r="B2910" s="0" t="s">
        <v>6324</v>
      </c>
      <c r="C2910" s="0" t="n">
        <v>1.25</v>
      </c>
    </row>
    <row r="2911" customFormat="false" ht="15" hidden="false" customHeight="false" outlineLevel="0" collapsed="false">
      <c r="A2911" s="0" t="s">
        <v>6325</v>
      </c>
      <c r="B2911" s="0" t="s">
        <v>6326</v>
      </c>
      <c r="C2911" s="0" t="n">
        <v>0.85</v>
      </c>
    </row>
    <row r="2912" customFormat="false" ht="15" hidden="false" customHeight="false" outlineLevel="0" collapsed="false">
      <c r="A2912" s="0" t="s">
        <v>6327</v>
      </c>
      <c r="B2912" s="0" t="s">
        <v>6328</v>
      </c>
      <c r="C2912" s="0" t="n">
        <v>8.5</v>
      </c>
    </row>
    <row r="2913" customFormat="false" ht="15" hidden="false" customHeight="false" outlineLevel="0" collapsed="false">
      <c r="A2913" s="0" t="s">
        <v>6329</v>
      </c>
      <c r="B2913" s="0" t="s">
        <v>6330</v>
      </c>
      <c r="C2913" s="0" t="n">
        <v>8.47</v>
      </c>
    </row>
    <row r="2914" customFormat="false" ht="15" hidden="false" customHeight="false" outlineLevel="0" collapsed="false">
      <c r="A2914" s="0" t="s">
        <v>6331</v>
      </c>
      <c r="B2914" s="0" t="s">
        <v>664</v>
      </c>
      <c r="C2914" s="0" t="n">
        <v>1.25</v>
      </c>
    </row>
    <row r="2915" customFormat="false" ht="15" hidden="false" customHeight="false" outlineLevel="0" collapsed="false">
      <c r="A2915" s="0" t="s">
        <v>6332</v>
      </c>
      <c r="B2915" s="0" t="s">
        <v>6333</v>
      </c>
      <c r="C2915" s="0" t="n">
        <v>0.42</v>
      </c>
    </row>
    <row r="2916" customFormat="false" ht="15" hidden="false" customHeight="false" outlineLevel="0" collapsed="false">
      <c r="A2916" s="0" t="s">
        <v>6334</v>
      </c>
      <c r="B2916" s="0" t="s">
        <v>6335</v>
      </c>
      <c r="C2916" s="0" t="n">
        <v>2.96</v>
      </c>
    </row>
    <row r="2917" customFormat="false" ht="15" hidden="false" customHeight="false" outlineLevel="0" collapsed="false">
      <c r="A2917" s="0" t="s">
        <v>6336</v>
      </c>
      <c r="B2917" s="0" t="s">
        <v>483</v>
      </c>
      <c r="C2917" s="0" t="n">
        <v>1.65</v>
      </c>
    </row>
    <row r="2918" customFormat="false" ht="15" hidden="false" customHeight="false" outlineLevel="0" collapsed="false">
      <c r="A2918" s="0" t="s">
        <v>6337</v>
      </c>
      <c r="B2918" s="0" t="s">
        <v>6338</v>
      </c>
      <c r="C2918" s="0" t="n">
        <v>0.85</v>
      </c>
    </row>
    <row r="2919" customFormat="false" ht="15" hidden="false" customHeight="false" outlineLevel="0" collapsed="false">
      <c r="A2919" s="0" t="s">
        <v>6339</v>
      </c>
      <c r="B2919" s="0" t="s">
        <v>6340</v>
      </c>
      <c r="C2919" s="0" t="n">
        <v>3.75</v>
      </c>
    </row>
    <row r="2920" customFormat="false" ht="15" hidden="false" customHeight="false" outlineLevel="0" collapsed="false">
      <c r="A2920" s="0" t="s">
        <v>6341</v>
      </c>
      <c r="B2920" s="0" t="s">
        <v>6342</v>
      </c>
      <c r="C2920" s="0" t="n">
        <v>3.75</v>
      </c>
    </row>
    <row r="2921" customFormat="false" ht="15" hidden="false" customHeight="false" outlineLevel="0" collapsed="false">
      <c r="A2921" s="0" t="s">
        <v>6343</v>
      </c>
      <c r="B2921" s="0" t="s">
        <v>6344</v>
      </c>
      <c r="C2921" s="0" t="n">
        <v>1.65</v>
      </c>
    </row>
    <row r="2922" customFormat="false" ht="15" hidden="false" customHeight="false" outlineLevel="0" collapsed="false">
      <c r="A2922" s="0" t="s">
        <v>6345</v>
      </c>
      <c r="B2922" s="0" t="s">
        <v>599</v>
      </c>
      <c r="C2922" s="0" t="n">
        <v>2.95</v>
      </c>
    </row>
    <row r="2923" customFormat="false" ht="15" hidden="false" customHeight="false" outlineLevel="0" collapsed="false">
      <c r="A2923" s="0" t="s">
        <v>6346</v>
      </c>
      <c r="B2923" s="0" t="s">
        <v>6347</v>
      </c>
      <c r="C2923" s="0" t="n">
        <v>1.66</v>
      </c>
    </row>
    <row r="2924" customFormat="false" ht="15" hidden="false" customHeight="false" outlineLevel="0" collapsed="false">
      <c r="A2924" s="0" t="s">
        <v>6348</v>
      </c>
      <c r="B2924" s="0" t="s">
        <v>407</v>
      </c>
      <c r="C2924" s="0" t="n">
        <v>2.95</v>
      </c>
    </row>
    <row r="2925" customFormat="false" ht="15" hidden="false" customHeight="false" outlineLevel="0" collapsed="false">
      <c r="A2925" s="0" t="s">
        <v>6349</v>
      </c>
      <c r="B2925" s="0" t="s">
        <v>6350</v>
      </c>
      <c r="C2925" s="0" t="n">
        <v>3.75</v>
      </c>
    </row>
    <row r="2926" customFormat="false" ht="15" hidden="false" customHeight="false" outlineLevel="0" collapsed="false">
      <c r="A2926" s="0" t="s">
        <v>6351</v>
      </c>
      <c r="B2926" s="0" t="s">
        <v>6352</v>
      </c>
      <c r="C2926" s="0" t="n">
        <v>1.25</v>
      </c>
    </row>
    <row r="2927" customFormat="false" ht="15" hidden="false" customHeight="false" outlineLevel="0" collapsed="false">
      <c r="A2927" s="0" t="s">
        <v>6353</v>
      </c>
      <c r="B2927" s="0" t="s">
        <v>6354</v>
      </c>
      <c r="C2927" s="0" t="n">
        <v>4.95</v>
      </c>
    </row>
    <row r="2928" customFormat="false" ht="15" hidden="false" customHeight="false" outlineLevel="0" collapsed="false">
      <c r="A2928" s="0" t="s">
        <v>6355</v>
      </c>
      <c r="B2928" s="0" t="s">
        <v>6356</v>
      </c>
      <c r="C2928" s="0" t="n">
        <v>1.25</v>
      </c>
    </row>
    <row r="2929" customFormat="false" ht="15" hidden="false" customHeight="false" outlineLevel="0" collapsed="false">
      <c r="A2929" s="0" t="s">
        <v>6357</v>
      </c>
      <c r="B2929" s="0" t="s">
        <v>692</v>
      </c>
      <c r="C2929" s="0" t="n">
        <v>2.95</v>
      </c>
    </row>
    <row r="2930" customFormat="false" ht="15" hidden="false" customHeight="false" outlineLevel="0" collapsed="false">
      <c r="A2930" s="0" t="s">
        <v>6358</v>
      </c>
      <c r="B2930" s="0" t="s">
        <v>6359</v>
      </c>
      <c r="C2930" s="0" t="n">
        <v>4.65</v>
      </c>
    </row>
    <row r="2931" customFormat="false" ht="15" hidden="false" customHeight="false" outlineLevel="0" collapsed="false">
      <c r="A2931" s="0" t="s">
        <v>6360</v>
      </c>
      <c r="B2931" s="0" t="s">
        <v>381</v>
      </c>
      <c r="C2931" s="0" t="n">
        <v>8.5</v>
      </c>
    </row>
    <row r="2932" customFormat="false" ht="15" hidden="false" customHeight="false" outlineLevel="0" collapsed="false">
      <c r="A2932" s="0" t="s">
        <v>6361</v>
      </c>
      <c r="B2932" s="0" t="s">
        <v>6362</v>
      </c>
      <c r="C2932" s="0" t="n">
        <v>5.94</v>
      </c>
    </row>
    <row r="2933" customFormat="false" ht="15" hidden="false" customHeight="false" outlineLevel="0" collapsed="false">
      <c r="A2933" s="0" t="s">
        <v>6363</v>
      </c>
      <c r="B2933" s="0" t="s">
        <v>6364</v>
      </c>
      <c r="C2933" s="0" t="n">
        <v>0.85</v>
      </c>
    </row>
    <row r="2934" customFormat="false" ht="15" hidden="false" customHeight="false" outlineLevel="0" collapsed="false">
      <c r="A2934" s="0" t="s">
        <v>6365</v>
      </c>
      <c r="B2934" s="0" t="s">
        <v>6366</v>
      </c>
      <c r="C2934" s="0" t="n">
        <v>1.25</v>
      </c>
    </row>
    <row r="2935" customFormat="false" ht="15" hidden="false" customHeight="false" outlineLevel="0" collapsed="false">
      <c r="A2935" s="0" t="s">
        <v>6367</v>
      </c>
      <c r="B2935" s="0" t="s">
        <v>6368</v>
      </c>
      <c r="C2935" s="0" t="n">
        <v>1.7</v>
      </c>
    </row>
    <row r="2936" customFormat="false" ht="15" hidden="false" customHeight="false" outlineLevel="0" collapsed="false">
      <c r="A2936" s="0" t="s">
        <v>6369</v>
      </c>
      <c r="B2936" s="0" t="s">
        <v>6370</v>
      </c>
      <c r="C2936" s="0" t="n">
        <v>1.25</v>
      </c>
    </row>
    <row r="2937" customFormat="false" ht="15" hidden="false" customHeight="false" outlineLevel="0" collapsed="false">
      <c r="A2937" s="0" t="s">
        <v>6371</v>
      </c>
      <c r="B2937" s="0" t="s">
        <v>6372</v>
      </c>
      <c r="C2937" s="0" t="n">
        <v>2.95</v>
      </c>
    </row>
    <row r="2938" customFormat="false" ht="15" hidden="false" customHeight="false" outlineLevel="0" collapsed="false">
      <c r="A2938" s="0" t="s">
        <v>6373</v>
      </c>
      <c r="B2938" s="0" t="s">
        <v>6374</v>
      </c>
      <c r="C2938" s="0" t="n">
        <v>4.65</v>
      </c>
    </row>
    <row r="2939" customFormat="false" ht="15" hidden="false" customHeight="false" outlineLevel="0" collapsed="false">
      <c r="A2939" s="0" t="s">
        <v>6375</v>
      </c>
      <c r="B2939" s="0" t="s">
        <v>6376</v>
      </c>
      <c r="C2939" s="0" t="n">
        <v>4.65</v>
      </c>
    </row>
    <row r="2940" customFormat="false" ht="15" hidden="false" customHeight="false" outlineLevel="0" collapsed="false">
      <c r="A2940" s="0" t="s">
        <v>6377</v>
      </c>
      <c r="B2940" s="0" t="s">
        <v>6378</v>
      </c>
      <c r="C2940" s="0" t="n">
        <v>8.95</v>
      </c>
    </row>
    <row r="2941" customFormat="false" ht="15" hidden="false" customHeight="false" outlineLevel="0" collapsed="false">
      <c r="A2941" s="0" t="s">
        <v>6379</v>
      </c>
      <c r="B2941" s="0" t="s">
        <v>6380</v>
      </c>
      <c r="C2941" s="0" t="n">
        <v>1.25</v>
      </c>
    </row>
    <row r="2942" customFormat="false" ht="15" hidden="false" customHeight="false" outlineLevel="0" collapsed="false">
      <c r="A2942" s="0" t="s">
        <v>6381</v>
      </c>
      <c r="B2942" s="0" t="s">
        <v>6382</v>
      </c>
      <c r="C2942" s="0" t="n">
        <v>1.69</v>
      </c>
    </row>
    <row r="2943" customFormat="false" ht="15" hidden="false" customHeight="false" outlineLevel="0" collapsed="false">
      <c r="A2943" s="0" t="s">
        <v>6383</v>
      </c>
      <c r="B2943" s="0" t="s">
        <v>6384</v>
      </c>
      <c r="C2943" s="0" t="n">
        <v>0.42</v>
      </c>
    </row>
    <row r="2944" customFormat="false" ht="15" hidden="false" customHeight="false" outlineLevel="0" collapsed="false">
      <c r="A2944" s="0" t="s">
        <v>6385</v>
      </c>
      <c r="B2944" s="0" t="s">
        <v>6386</v>
      </c>
      <c r="C2944" s="0" t="n">
        <v>1.25</v>
      </c>
    </row>
    <row r="2945" customFormat="false" ht="15" hidden="false" customHeight="false" outlineLevel="0" collapsed="false">
      <c r="A2945" s="0" t="s">
        <v>6387</v>
      </c>
      <c r="B2945" s="0" t="s">
        <v>6388</v>
      </c>
      <c r="C2945" s="0" t="n">
        <v>4.95</v>
      </c>
    </row>
    <row r="2946" customFormat="false" ht="15" hidden="false" customHeight="false" outlineLevel="0" collapsed="false">
      <c r="A2946" s="0" t="s">
        <v>6389</v>
      </c>
      <c r="B2946" s="0" t="s">
        <v>6390</v>
      </c>
      <c r="C2946" s="0" t="n">
        <v>34</v>
      </c>
    </row>
    <row r="2947" customFormat="false" ht="15" hidden="false" customHeight="false" outlineLevel="0" collapsed="false">
      <c r="A2947" s="0" t="s">
        <v>6391</v>
      </c>
      <c r="B2947" s="0" t="s">
        <v>6392</v>
      </c>
      <c r="C2947" s="0" t="n">
        <v>4.95</v>
      </c>
    </row>
    <row r="2948" customFormat="false" ht="15" hidden="false" customHeight="false" outlineLevel="0" collapsed="false">
      <c r="A2948" s="0" t="s">
        <v>6393</v>
      </c>
      <c r="B2948" s="0" t="s">
        <v>630</v>
      </c>
      <c r="C2948" s="0" t="n">
        <v>10.95</v>
      </c>
    </row>
    <row r="2949" customFormat="false" ht="15" hidden="false" customHeight="false" outlineLevel="0" collapsed="false">
      <c r="A2949" s="0" t="s">
        <v>6394</v>
      </c>
      <c r="B2949" s="0" t="s">
        <v>6395</v>
      </c>
      <c r="C2949" s="0" t="n">
        <v>2.95</v>
      </c>
    </row>
    <row r="2950" customFormat="false" ht="15" hidden="false" customHeight="false" outlineLevel="0" collapsed="false">
      <c r="A2950" s="0" t="s">
        <v>6396</v>
      </c>
      <c r="B2950" s="0" t="s">
        <v>6397</v>
      </c>
      <c r="C2950" s="0" t="n">
        <v>2.95</v>
      </c>
    </row>
    <row r="2951" customFormat="false" ht="15" hidden="false" customHeight="false" outlineLevel="0" collapsed="false">
      <c r="A2951" s="0" t="s">
        <v>6398</v>
      </c>
      <c r="B2951" s="0" t="s">
        <v>71</v>
      </c>
      <c r="C2951" s="0" t="n">
        <v>4.25</v>
      </c>
    </row>
    <row r="2952" customFormat="false" ht="15" hidden="false" customHeight="false" outlineLevel="0" collapsed="false">
      <c r="A2952" s="0" t="s">
        <v>6399</v>
      </c>
      <c r="B2952" s="0" t="s">
        <v>6400</v>
      </c>
      <c r="C2952" s="0" t="n">
        <v>2.55</v>
      </c>
    </row>
    <row r="2953" customFormat="false" ht="15" hidden="false" customHeight="false" outlineLevel="0" collapsed="false">
      <c r="A2953" s="0" t="s">
        <v>6401</v>
      </c>
      <c r="B2953" s="0" t="s">
        <v>6402</v>
      </c>
      <c r="C2953" s="0" t="n">
        <v>3.75</v>
      </c>
    </row>
    <row r="2954" customFormat="false" ht="15" hidden="false" customHeight="false" outlineLevel="0" collapsed="false">
      <c r="A2954" s="0" t="s">
        <v>6403</v>
      </c>
      <c r="B2954" s="0" t="s">
        <v>566</v>
      </c>
      <c r="C2954" s="0" t="n">
        <v>2.55</v>
      </c>
    </row>
    <row r="2955" customFormat="false" ht="15" hidden="false" customHeight="false" outlineLevel="0" collapsed="false">
      <c r="A2955" s="0" t="s">
        <v>6404</v>
      </c>
      <c r="B2955" s="0" t="s">
        <v>569</v>
      </c>
      <c r="C2955" s="0" t="n">
        <v>3.75</v>
      </c>
    </row>
    <row r="2956" customFormat="false" ht="15" hidden="false" customHeight="false" outlineLevel="0" collapsed="false">
      <c r="A2956" s="0" t="s">
        <v>6405</v>
      </c>
      <c r="B2956" s="0" t="s">
        <v>6406</v>
      </c>
      <c r="C2956" s="0" t="n">
        <v>7.95</v>
      </c>
    </row>
    <row r="2957" customFormat="false" ht="15" hidden="false" customHeight="false" outlineLevel="0" collapsed="false">
      <c r="A2957" s="0" t="s">
        <v>6407</v>
      </c>
      <c r="B2957" s="0" t="s">
        <v>6408</v>
      </c>
      <c r="C2957" s="0" t="n">
        <v>2.95</v>
      </c>
    </row>
    <row r="2958" customFormat="false" ht="15" hidden="false" customHeight="false" outlineLevel="0" collapsed="false">
      <c r="A2958" s="0" t="s">
        <v>6409</v>
      </c>
      <c r="B2958" s="0" t="s">
        <v>6410</v>
      </c>
      <c r="C2958" s="0" t="n">
        <v>7.95</v>
      </c>
    </row>
    <row r="2959" customFormat="false" ht="15" hidden="false" customHeight="false" outlineLevel="0" collapsed="false">
      <c r="A2959" s="0" t="s">
        <v>6411</v>
      </c>
      <c r="B2959" s="0" t="s">
        <v>705</v>
      </c>
      <c r="C2959" s="0" t="n">
        <v>1.25</v>
      </c>
    </row>
    <row r="2960" customFormat="false" ht="15" hidden="false" customHeight="false" outlineLevel="0" collapsed="false">
      <c r="A2960" s="0" t="s">
        <v>6412</v>
      </c>
      <c r="B2960" s="0" t="s">
        <v>300</v>
      </c>
      <c r="C2960" s="0" t="n">
        <v>4.95</v>
      </c>
    </row>
    <row r="2961" customFormat="false" ht="15" hidden="false" customHeight="false" outlineLevel="0" collapsed="false">
      <c r="A2961" s="0" t="s">
        <v>6413</v>
      </c>
      <c r="B2961" s="0" t="s">
        <v>157</v>
      </c>
      <c r="C2961" s="0" t="n">
        <v>0.42</v>
      </c>
    </row>
    <row r="2962" customFormat="false" ht="15" hidden="false" customHeight="false" outlineLevel="0" collapsed="false">
      <c r="A2962" s="0" t="s">
        <v>6414</v>
      </c>
      <c r="B2962" s="0" t="s">
        <v>6415</v>
      </c>
      <c r="C2962" s="0" t="n">
        <v>5.95</v>
      </c>
    </row>
    <row r="2963" customFormat="false" ht="15" hidden="false" customHeight="false" outlineLevel="0" collapsed="false">
      <c r="A2963" s="0" t="s">
        <v>6416</v>
      </c>
      <c r="B2963" s="0" t="s">
        <v>6417</v>
      </c>
      <c r="C2963" s="0" t="n">
        <v>1.95</v>
      </c>
    </row>
    <row r="2964" customFormat="false" ht="15" hidden="false" customHeight="false" outlineLevel="0" collapsed="false">
      <c r="A2964" s="0" t="s">
        <v>6418</v>
      </c>
      <c r="B2964" s="0" t="s">
        <v>6419</v>
      </c>
      <c r="C2964" s="0" t="n">
        <v>4.95</v>
      </c>
    </row>
    <row r="2965" customFormat="false" ht="15" hidden="false" customHeight="false" outlineLevel="0" collapsed="false">
      <c r="A2965" s="0" t="s">
        <v>6420</v>
      </c>
      <c r="B2965" s="0" t="s">
        <v>544</v>
      </c>
      <c r="C2965" s="0" t="n">
        <v>3.75</v>
      </c>
    </row>
    <row r="2966" customFormat="false" ht="15" hidden="false" customHeight="false" outlineLevel="0" collapsed="false">
      <c r="A2966" s="0" t="s">
        <v>6421</v>
      </c>
      <c r="B2966" s="0" t="s">
        <v>396</v>
      </c>
      <c r="C2966" s="0" t="n">
        <v>1.25</v>
      </c>
    </row>
    <row r="2967" customFormat="false" ht="15" hidden="false" customHeight="false" outlineLevel="0" collapsed="false">
      <c r="A2967" s="0" t="s">
        <v>6422</v>
      </c>
      <c r="B2967" s="0" t="s">
        <v>6423</v>
      </c>
      <c r="C2967" s="0" t="n">
        <v>1.25</v>
      </c>
    </row>
    <row r="2968" customFormat="false" ht="15" hidden="false" customHeight="false" outlineLevel="0" collapsed="false">
      <c r="A2968" s="0" t="s">
        <v>6424</v>
      </c>
      <c r="B2968" s="0" t="s">
        <v>254</v>
      </c>
      <c r="C2968" s="0" t="n">
        <v>0.85</v>
      </c>
    </row>
    <row r="2969" customFormat="false" ht="15" hidden="false" customHeight="false" outlineLevel="0" collapsed="false">
      <c r="A2969" s="0" t="s">
        <v>6425</v>
      </c>
      <c r="B2969" s="0" t="s">
        <v>370</v>
      </c>
      <c r="C2969" s="0" t="n">
        <v>3.25</v>
      </c>
    </row>
    <row r="2970" customFormat="false" ht="15" hidden="false" customHeight="false" outlineLevel="0" collapsed="false">
      <c r="A2970" s="0" t="s">
        <v>6426</v>
      </c>
      <c r="B2970" s="0" t="s">
        <v>6427</v>
      </c>
      <c r="C2970" s="0" t="n">
        <v>2.1</v>
      </c>
    </row>
    <row r="2971" customFormat="false" ht="15" hidden="false" customHeight="false" outlineLevel="0" collapsed="false">
      <c r="A2971" s="0" t="s">
        <v>6428</v>
      </c>
      <c r="B2971" s="0" t="s">
        <v>386</v>
      </c>
      <c r="C2971" s="0" t="n">
        <v>0.85</v>
      </c>
    </row>
    <row r="2972" customFormat="false" ht="15" hidden="false" customHeight="false" outlineLevel="0" collapsed="false">
      <c r="A2972" s="0" t="s">
        <v>6429</v>
      </c>
      <c r="B2972" s="0" t="s">
        <v>6430</v>
      </c>
      <c r="C2972" s="0" t="n">
        <v>1.25</v>
      </c>
    </row>
    <row r="2973" customFormat="false" ht="15" hidden="false" customHeight="false" outlineLevel="0" collapsed="false">
      <c r="A2973" s="0" t="s">
        <v>6431</v>
      </c>
      <c r="B2973" s="0" t="s">
        <v>6432</v>
      </c>
      <c r="C2973" s="0" t="n">
        <v>1.25</v>
      </c>
    </row>
    <row r="2974" customFormat="false" ht="15" hidden="false" customHeight="false" outlineLevel="0" collapsed="false">
      <c r="A2974" s="0" t="s">
        <v>6433</v>
      </c>
      <c r="B2974" s="0" t="s">
        <v>314</v>
      </c>
      <c r="C2974" s="0" t="n">
        <v>1.25</v>
      </c>
    </row>
    <row r="2975" customFormat="false" ht="15" hidden="false" customHeight="false" outlineLevel="0" collapsed="false">
      <c r="A2975" s="0" t="s">
        <v>6434</v>
      </c>
      <c r="B2975" s="0" t="s">
        <v>6435</v>
      </c>
      <c r="C2975" s="0" t="n">
        <v>2.95</v>
      </c>
    </row>
    <row r="2976" customFormat="false" ht="15" hidden="false" customHeight="false" outlineLevel="0" collapsed="false">
      <c r="A2976" s="0" t="s">
        <v>6436</v>
      </c>
      <c r="B2976" s="0" t="s">
        <v>6437</v>
      </c>
      <c r="C2976" s="0" t="n">
        <v>4.3</v>
      </c>
    </row>
    <row r="2977" customFormat="false" ht="15" hidden="false" customHeight="false" outlineLevel="0" collapsed="false">
      <c r="A2977" s="0" t="s">
        <v>6438</v>
      </c>
      <c r="B2977" s="0" t="s">
        <v>814</v>
      </c>
      <c r="C2977" s="0" t="n">
        <v>2.1</v>
      </c>
    </row>
    <row r="2978" customFormat="false" ht="15" hidden="false" customHeight="false" outlineLevel="0" collapsed="false">
      <c r="A2978" s="0" t="s">
        <v>6439</v>
      </c>
      <c r="B2978" s="0" t="s">
        <v>383</v>
      </c>
      <c r="C2978" s="0" t="n">
        <v>1.69</v>
      </c>
    </row>
    <row r="2979" customFormat="false" ht="15" hidden="false" customHeight="false" outlineLevel="0" collapsed="false">
      <c r="A2979" s="0" t="s">
        <v>6440</v>
      </c>
      <c r="B2979" s="0" t="s">
        <v>6441</v>
      </c>
      <c r="C2979" s="0" t="n">
        <v>2.1</v>
      </c>
    </row>
    <row r="2980" customFormat="false" ht="15" hidden="false" customHeight="false" outlineLevel="0" collapsed="false">
      <c r="A2980" s="0" t="s">
        <v>6442</v>
      </c>
      <c r="B2980" s="0" t="s">
        <v>6443</v>
      </c>
      <c r="C2980" s="0" t="n">
        <v>2.95</v>
      </c>
    </row>
    <row r="2981" customFormat="false" ht="15" hidden="false" customHeight="false" outlineLevel="0" collapsed="false">
      <c r="A2981" s="0" t="s">
        <v>6444</v>
      </c>
      <c r="B2981" s="0" t="s">
        <v>6445</v>
      </c>
      <c r="C2981" s="0" t="n">
        <v>9.95</v>
      </c>
    </row>
    <row r="2982" customFormat="false" ht="15" hidden="false" customHeight="false" outlineLevel="0" collapsed="false">
      <c r="A2982" s="0" t="s">
        <v>6446</v>
      </c>
      <c r="B2982" s="0" t="s">
        <v>469</v>
      </c>
      <c r="C2982" s="0" t="n">
        <v>1.25</v>
      </c>
    </row>
    <row r="2983" customFormat="false" ht="15" hidden="false" customHeight="false" outlineLevel="0" collapsed="false">
      <c r="A2983" s="0" t="s">
        <v>6447</v>
      </c>
      <c r="B2983" s="0" t="s">
        <v>6448</v>
      </c>
      <c r="C2983" s="0" t="n">
        <v>2.55</v>
      </c>
    </row>
    <row r="2984" customFormat="false" ht="15" hidden="false" customHeight="false" outlineLevel="0" collapsed="false">
      <c r="A2984" s="0" t="s">
        <v>6449</v>
      </c>
      <c r="B2984" s="0" t="s">
        <v>6450</v>
      </c>
      <c r="C2984" s="0" t="n">
        <v>10.65</v>
      </c>
    </row>
    <row r="2985" customFormat="false" ht="15" hidden="false" customHeight="false" outlineLevel="0" collapsed="false">
      <c r="A2985" s="0" t="s">
        <v>6451</v>
      </c>
      <c r="B2985" s="0" t="s">
        <v>6452</v>
      </c>
      <c r="C2985" s="0" t="n">
        <v>2.1</v>
      </c>
    </row>
    <row r="2986" customFormat="false" ht="15" hidden="false" customHeight="false" outlineLevel="0" collapsed="false">
      <c r="A2986" s="0" t="s">
        <v>6453</v>
      </c>
      <c r="B2986" s="0" t="s">
        <v>6454</v>
      </c>
      <c r="C2986" s="0" t="n">
        <v>2.95</v>
      </c>
    </row>
    <row r="2987" customFormat="false" ht="15" hidden="false" customHeight="false" outlineLevel="0" collapsed="false">
      <c r="A2987" s="0" t="s">
        <v>6455</v>
      </c>
      <c r="B2987" s="0" t="s">
        <v>6456</v>
      </c>
      <c r="C2987" s="0" t="n">
        <v>2.96</v>
      </c>
    </row>
    <row r="2988" customFormat="false" ht="15" hidden="false" customHeight="false" outlineLevel="0" collapsed="false">
      <c r="A2988" s="0" t="s">
        <v>6457</v>
      </c>
      <c r="B2988" s="0" t="s">
        <v>6458</v>
      </c>
      <c r="C2988" s="0" t="n">
        <v>1.25</v>
      </c>
    </row>
    <row r="2989" customFormat="false" ht="15" hidden="false" customHeight="false" outlineLevel="0" collapsed="false">
      <c r="A2989" s="0" t="s">
        <v>6459</v>
      </c>
      <c r="B2989" s="0" t="s">
        <v>6460</v>
      </c>
      <c r="C2989" s="0" t="n">
        <v>1.25</v>
      </c>
    </row>
    <row r="2990" customFormat="false" ht="15" hidden="false" customHeight="false" outlineLevel="0" collapsed="false">
      <c r="A2990" s="0" t="s">
        <v>6461</v>
      </c>
      <c r="B2990" s="0" t="s">
        <v>83</v>
      </c>
      <c r="C2990" s="0" t="n">
        <v>1.65</v>
      </c>
    </row>
    <row r="2991" customFormat="false" ht="15" hidden="false" customHeight="false" outlineLevel="0" collapsed="false">
      <c r="A2991" s="0" t="s">
        <v>6462</v>
      </c>
      <c r="B2991" s="0" t="s">
        <v>6463</v>
      </c>
      <c r="C2991" s="0" t="n">
        <v>0.38</v>
      </c>
    </row>
    <row r="2992" customFormat="false" ht="15" hidden="false" customHeight="false" outlineLevel="0" collapsed="false">
      <c r="A2992" s="0" t="s">
        <v>6464</v>
      </c>
      <c r="B2992" s="0" t="s">
        <v>6465</v>
      </c>
      <c r="C2992" s="0" t="n">
        <v>0.42</v>
      </c>
    </row>
    <row r="2993" customFormat="false" ht="15" hidden="false" customHeight="false" outlineLevel="0" collapsed="false">
      <c r="A2993" s="0" t="s">
        <v>6466</v>
      </c>
      <c r="B2993" s="0" t="s">
        <v>6467</v>
      </c>
      <c r="C2993" s="0" t="n">
        <v>0.42</v>
      </c>
    </row>
    <row r="2994" customFormat="false" ht="15" hidden="false" customHeight="false" outlineLevel="0" collapsed="false">
      <c r="A2994" s="0" t="s">
        <v>6468</v>
      </c>
      <c r="B2994" s="0" t="s">
        <v>6469</v>
      </c>
      <c r="C2994" s="0" t="n">
        <v>3.95</v>
      </c>
    </row>
    <row r="2995" customFormat="false" ht="15" hidden="false" customHeight="false" outlineLevel="0" collapsed="false">
      <c r="A2995" s="0" t="s">
        <v>6470</v>
      </c>
      <c r="B2995" s="0" t="s">
        <v>6471</v>
      </c>
      <c r="C2995" s="0" t="n">
        <v>3.75</v>
      </c>
    </row>
    <row r="2996" customFormat="false" ht="15" hidden="false" customHeight="false" outlineLevel="0" collapsed="false">
      <c r="A2996" s="0" t="s">
        <v>6472</v>
      </c>
      <c r="B2996" s="0" t="s">
        <v>6473</v>
      </c>
      <c r="C2996" s="0" t="n">
        <v>1.25</v>
      </c>
    </row>
    <row r="2997" customFormat="false" ht="15" hidden="false" customHeight="false" outlineLevel="0" collapsed="false">
      <c r="A2997" s="0" t="s">
        <v>6474</v>
      </c>
      <c r="B2997" s="0" t="s">
        <v>6475</v>
      </c>
      <c r="C2997" s="0" t="n">
        <v>7.95</v>
      </c>
    </row>
    <row r="2998" customFormat="false" ht="15" hidden="false" customHeight="false" outlineLevel="0" collapsed="false">
      <c r="A2998" s="0" t="s">
        <v>6476</v>
      </c>
      <c r="B2998" s="0" t="s">
        <v>47</v>
      </c>
      <c r="C2998" s="0" t="n">
        <v>7.95</v>
      </c>
    </row>
    <row r="2999" customFormat="false" ht="15" hidden="false" customHeight="false" outlineLevel="0" collapsed="false">
      <c r="A2999" s="0" t="s">
        <v>6477</v>
      </c>
      <c r="B2999" s="0" t="s">
        <v>656</v>
      </c>
      <c r="C2999" s="0" t="n">
        <v>5.95</v>
      </c>
    </row>
    <row r="3000" customFormat="false" ht="15" hidden="false" customHeight="false" outlineLevel="0" collapsed="false">
      <c r="A3000" s="0" t="s">
        <v>6478</v>
      </c>
      <c r="B3000" s="0" t="s">
        <v>6479</v>
      </c>
      <c r="C3000" s="0" t="n">
        <v>0.38</v>
      </c>
    </row>
    <row r="3001" customFormat="false" ht="15" hidden="false" customHeight="false" outlineLevel="0" collapsed="false">
      <c r="A3001" s="0" t="s">
        <v>6480</v>
      </c>
      <c r="B3001" s="0" t="s">
        <v>54</v>
      </c>
      <c r="C3001" s="0" t="n">
        <v>12.75</v>
      </c>
    </row>
    <row r="3002" customFormat="false" ht="15" hidden="false" customHeight="false" outlineLevel="0" collapsed="false">
      <c r="A3002" s="0" t="s">
        <v>6481</v>
      </c>
      <c r="B3002" s="0" t="s">
        <v>6482</v>
      </c>
      <c r="C3002" s="0" t="n">
        <v>145</v>
      </c>
    </row>
    <row r="3003" customFormat="false" ht="15" hidden="false" customHeight="false" outlineLevel="0" collapsed="false">
      <c r="A3003" s="0" t="s">
        <v>6483</v>
      </c>
      <c r="B3003" s="0" t="s">
        <v>6484</v>
      </c>
      <c r="C3003" s="0" t="n">
        <v>15.95</v>
      </c>
    </row>
    <row r="3004" customFormat="false" ht="15" hidden="false" customHeight="false" outlineLevel="0" collapsed="false">
      <c r="A3004" s="0" t="s">
        <v>6485</v>
      </c>
      <c r="B3004" s="0" t="s">
        <v>6486</v>
      </c>
      <c r="C3004" s="0" t="n">
        <v>4.95</v>
      </c>
    </row>
    <row r="3005" customFormat="false" ht="15" hidden="false" customHeight="false" outlineLevel="0" collapsed="false">
      <c r="A3005" s="0" t="s">
        <v>6487</v>
      </c>
      <c r="B3005" s="0" t="s">
        <v>6488</v>
      </c>
      <c r="C3005" s="0" t="n">
        <v>7.5</v>
      </c>
    </row>
    <row r="3006" customFormat="false" ht="15" hidden="false" customHeight="false" outlineLevel="0" collapsed="false">
      <c r="A3006" s="0" t="s">
        <v>6489</v>
      </c>
      <c r="B3006" s="0" t="s">
        <v>6490</v>
      </c>
      <c r="C3006" s="0" t="n">
        <v>4.95</v>
      </c>
    </row>
    <row r="3007" customFormat="false" ht="15" hidden="false" customHeight="false" outlineLevel="0" collapsed="false">
      <c r="A3007" s="0" t="s">
        <v>6491</v>
      </c>
      <c r="B3007" s="0" t="s">
        <v>6492</v>
      </c>
      <c r="C3007" s="0" t="n">
        <v>2.1</v>
      </c>
    </row>
    <row r="3008" customFormat="false" ht="15" hidden="false" customHeight="false" outlineLevel="0" collapsed="false">
      <c r="A3008" s="0" t="s">
        <v>6493</v>
      </c>
      <c r="B3008" s="0" t="s">
        <v>6494</v>
      </c>
      <c r="C3008" s="0" t="n">
        <v>1.25</v>
      </c>
    </row>
    <row r="3009" customFormat="false" ht="15" hidden="false" customHeight="false" outlineLevel="0" collapsed="false">
      <c r="A3009" s="0" t="s">
        <v>6495</v>
      </c>
      <c r="B3009" s="0" t="s">
        <v>6496</v>
      </c>
      <c r="C3009" s="0" t="n">
        <v>1.25</v>
      </c>
    </row>
    <row r="3010" customFormat="false" ht="15" hidden="false" customHeight="false" outlineLevel="0" collapsed="false">
      <c r="A3010" s="0" t="s">
        <v>6497</v>
      </c>
      <c r="B3010" s="0" t="s">
        <v>6498</v>
      </c>
      <c r="C3010" s="0" t="n">
        <v>8.5</v>
      </c>
    </row>
    <row r="3011" customFormat="false" ht="15" hidden="false" customHeight="false" outlineLevel="0" collapsed="false">
      <c r="A3011" s="0" t="s">
        <v>6499</v>
      </c>
      <c r="B3011" s="0" t="s">
        <v>6500</v>
      </c>
      <c r="C3011" s="0" t="n">
        <v>8.5</v>
      </c>
    </row>
    <row r="3012" customFormat="false" ht="15" hidden="false" customHeight="false" outlineLevel="0" collapsed="false">
      <c r="A3012" s="0" t="s">
        <v>6501</v>
      </c>
      <c r="B3012" s="0" t="s">
        <v>6502</v>
      </c>
      <c r="C3012" s="0" t="n">
        <v>5.91</v>
      </c>
    </row>
    <row r="3013" customFormat="false" ht="15" hidden="false" customHeight="false" outlineLevel="0" collapsed="false">
      <c r="A3013" s="0" t="s">
        <v>6503</v>
      </c>
      <c r="B3013" s="0" t="s">
        <v>6504</v>
      </c>
      <c r="C3013" s="0" t="n">
        <v>0.85</v>
      </c>
    </row>
    <row r="3014" customFormat="false" ht="15" hidden="false" customHeight="false" outlineLevel="0" collapsed="false">
      <c r="A3014" s="0" t="s">
        <v>6505</v>
      </c>
      <c r="B3014" s="0" t="s">
        <v>6506</v>
      </c>
      <c r="C3014" s="0" t="n">
        <v>1.25</v>
      </c>
    </row>
    <row r="3015" customFormat="false" ht="15" hidden="false" customHeight="false" outlineLevel="0" collapsed="false">
      <c r="A3015" s="0" t="s">
        <v>6507</v>
      </c>
      <c r="B3015" s="0" t="s">
        <v>6508</v>
      </c>
      <c r="C3015" s="0" t="n">
        <v>2.1</v>
      </c>
    </row>
    <row r="3016" customFormat="false" ht="15" hidden="false" customHeight="false" outlineLevel="0" collapsed="false">
      <c r="A3016" s="0" t="s">
        <v>6509</v>
      </c>
      <c r="B3016" s="0" t="s">
        <v>872</v>
      </c>
      <c r="C3016" s="0" t="n">
        <v>0.42</v>
      </c>
    </row>
    <row r="3017" customFormat="false" ht="15" hidden="false" customHeight="false" outlineLevel="0" collapsed="false">
      <c r="A3017" s="0" t="s">
        <v>6509</v>
      </c>
      <c r="B3017" s="0" t="s">
        <v>6510</v>
      </c>
      <c r="C3017" s="0" t="n">
        <v>1.25</v>
      </c>
    </row>
    <row r="3018" customFormat="false" ht="15" hidden="false" customHeight="false" outlineLevel="0" collapsed="false">
      <c r="A3018" s="0" t="s">
        <v>6511</v>
      </c>
      <c r="B3018" s="0" t="s">
        <v>6512</v>
      </c>
      <c r="C3018" s="0" t="n">
        <v>0.42</v>
      </c>
    </row>
    <row r="3019" customFormat="false" ht="15" hidden="false" customHeight="false" outlineLevel="0" collapsed="false">
      <c r="A3019" s="0" t="s">
        <v>6511</v>
      </c>
      <c r="B3019" s="0" t="s">
        <v>6513</v>
      </c>
      <c r="C3019" s="0" t="n">
        <v>0.85</v>
      </c>
    </row>
    <row r="3020" customFormat="false" ht="15" hidden="false" customHeight="false" outlineLevel="0" collapsed="false">
      <c r="A3020" s="0" t="s">
        <v>6514</v>
      </c>
      <c r="B3020" s="0" t="s">
        <v>229</v>
      </c>
      <c r="C3020" s="0" t="n">
        <v>0.85</v>
      </c>
    </row>
    <row r="3021" customFormat="false" ht="15" hidden="false" customHeight="false" outlineLevel="0" collapsed="false">
      <c r="A3021" s="0" t="s">
        <v>6515</v>
      </c>
      <c r="B3021" s="0" t="s">
        <v>871</v>
      </c>
      <c r="C3021" s="0" t="n">
        <v>0.42</v>
      </c>
    </row>
    <row r="3022" customFormat="false" ht="15" hidden="false" customHeight="false" outlineLevel="0" collapsed="false">
      <c r="A3022" s="0" t="s">
        <v>6515</v>
      </c>
      <c r="B3022" s="0" t="s">
        <v>874</v>
      </c>
      <c r="C3022" s="0" t="n">
        <v>0.85</v>
      </c>
    </row>
    <row r="3023" customFormat="false" ht="15" hidden="false" customHeight="false" outlineLevel="0" collapsed="false">
      <c r="A3023" s="0" t="s">
        <v>6516</v>
      </c>
      <c r="B3023" s="0" t="s">
        <v>6517</v>
      </c>
      <c r="C3023" s="0" t="n">
        <v>2.1</v>
      </c>
    </row>
    <row r="3024" customFormat="false" ht="15" hidden="false" customHeight="false" outlineLevel="0" collapsed="false">
      <c r="A3024" s="0" t="s">
        <v>6518</v>
      </c>
      <c r="B3024" s="0" t="s">
        <v>6519</v>
      </c>
      <c r="C3024" s="0" t="n">
        <v>5.95</v>
      </c>
    </row>
    <row r="3025" customFormat="false" ht="15" hidden="false" customHeight="false" outlineLevel="0" collapsed="false">
      <c r="A3025" s="0" t="s">
        <v>6520</v>
      </c>
      <c r="B3025" s="0" t="s">
        <v>6521</v>
      </c>
      <c r="C3025" s="0" t="n">
        <v>1.65</v>
      </c>
    </row>
    <row r="3026" customFormat="false" ht="15" hidden="false" customHeight="false" outlineLevel="0" collapsed="false">
      <c r="A3026" s="0" t="s">
        <v>6522</v>
      </c>
      <c r="B3026" s="0" t="s">
        <v>654</v>
      </c>
      <c r="C3026" s="0" t="n">
        <v>2.55</v>
      </c>
    </row>
    <row r="3027" customFormat="false" ht="15" hidden="false" customHeight="false" outlineLevel="0" collapsed="false">
      <c r="A3027" s="0" t="s">
        <v>6523</v>
      </c>
      <c r="B3027" s="0" t="s">
        <v>653</v>
      </c>
      <c r="C3027" s="0" t="n">
        <v>2.1</v>
      </c>
    </row>
    <row r="3028" customFormat="false" ht="15" hidden="false" customHeight="false" outlineLevel="0" collapsed="false">
      <c r="A3028" s="0" t="s">
        <v>6524</v>
      </c>
      <c r="B3028" s="0" t="s">
        <v>652</v>
      </c>
      <c r="C3028" s="0" t="n">
        <v>1.69</v>
      </c>
    </row>
    <row r="3029" customFormat="false" ht="15" hidden="false" customHeight="false" outlineLevel="0" collapsed="false">
      <c r="A3029" s="0" t="s">
        <v>6525</v>
      </c>
      <c r="B3029" s="0" t="s">
        <v>6526</v>
      </c>
      <c r="C3029" s="0" t="n">
        <v>3.45</v>
      </c>
    </row>
    <row r="3030" customFormat="false" ht="15" hidden="false" customHeight="false" outlineLevel="0" collapsed="false">
      <c r="A3030" s="0" t="s">
        <v>6527</v>
      </c>
      <c r="B3030" s="0" t="s">
        <v>6528</v>
      </c>
      <c r="C3030" s="0" t="n">
        <v>1.25</v>
      </c>
    </row>
    <row r="3031" customFormat="false" ht="15" hidden="false" customHeight="false" outlineLevel="0" collapsed="false">
      <c r="A3031" s="0" t="s">
        <v>6529</v>
      </c>
      <c r="B3031" s="0" t="s">
        <v>6530</v>
      </c>
      <c r="C3031" s="0" t="n">
        <v>2.55</v>
      </c>
    </row>
    <row r="3032" customFormat="false" ht="15" hidden="false" customHeight="false" outlineLevel="0" collapsed="false">
      <c r="A3032" s="0" t="s">
        <v>6531</v>
      </c>
      <c r="B3032" s="0" t="s">
        <v>6532</v>
      </c>
      <c r="C3032" s="0" t="n">
        <v>9.95</v>
      </c>
    </row>
    <row r="3033" customFormat="false" ht="15" hidden="false" customHeight="false" outlineLevel="0" collapsed="false">
      <c r="A3033" s="0" t="s">
        <v>6533</v>
      </c>
      <c r="B3033" s="0" t="s">
        <v>856</v>
      </c>
      <c r="C3033" s="0" t="n">
        <v>4.95</v>
      </c>
    </row>
    <row r="3034" customFormat="false" ht="15" hidden="false" customHeight="false" outlineLevel="0" collapsed="false">
      <c r="A3034" s="0" t="s">
        <v>6534</v>
      </c>
      <c r="B3034" s="0" t="s">
        <v>6535</v>
      </c>
      <c r="C3034" s="0" t="n">
        <v>1.65</v>
      </c>
    </row>
    <row r="3035" customFormat="false" ht="15" hidden="false" customHeight="false" outlineLevel="0" collapsed="false">
      <c r="A3035" s="0" t="s">
        <v>6536</v>
      </c>
      <c r="B3035" s="0" t="s">
        <v>99</v>
      </c>
      <c r="C3035" s="0" t="n">
        <v>4.95</v>
      </c>
    </row>
    <row r="3036" customFormat="false" ht="15" hidden="false" customHeight="false" outlineLevel="0" collapsed="false">
      <c r="A3036" s="0" t="s">
        <v>6537</v>
      </c>
      <c r="B3036" s="0" t="s">
        <v>257</v>
      </c>
      <c r="C3036" s="0" t="n">
        <v>1.95</v>
      </c>
    </row>
    <row r="3037" customFormat="false" ht="15" hidden="false" customHeight="false" outlineLevel="0" collapsed="false">
      <c r="A3037" s="0" t="s">
        <v>6538</v>
      </c>
      <c r="B3037" s="0" t="s">
        <v>6539</v>
      </c>
      <c r="C3037" s="0" t="n">
        <v>3.75</v>
      </c>
    </row>
    <row r="3038" customFormat="false" ht="15" hidden="false" customHeight="false" outlineLevel="0" collapsed="false">
      <c r="A3038" s="0" t="s">
        <v>6540</v>
      </c>
      <c r="B3038" s="0" t="s">
        <v>6541</v>
      </c>
      <c r="C3038" s="0" t="n">
        <v>0.95</v>
      </c>
    </row>
    <row r="3039" customFormat="false" ht="15" hidden="false" customHeight="false" outlineLevel="0" collapsed="false">
      <c r="A3039" s="0" t="s">
        <v>6542</v>
      </c>
      <c r="B3039" s="0" t="s">
        <v>6543</v>
      </c>
      <c r="C3039" s="0" t="n">
        <v>1.95</v>
      </c>
    </row>
    <row r="3040" customFormat="false" ht="15" hidden="false" customHeight="false" outlineLevel="0" collapsed="false">
      <c r="A3040" s="0" t="s">
        <v>6544</v>
      </c>
      <c r="B3040" s="0" t="s">
        <v>787</v>
      </c>
      <c r="C3040" s="0" t="n">
        <v>1.65</v>
      </c>
    </row>
    <row r="3041" customFormat="false" ht="15" hidden="false" customHeight="false" outlineLevel="0" collapsed="false">
      <c r="A3041" s="0" t="s">
        <v>6545</v>
      </c>
      <c r="B3041" s="0" t="s">
        <v>786</v>
      </c>
      <c r="C3041" s="0" t="n">
        <v>1.65</v>
      </c>
    </row>
    <row r="3042" customFormat="false" ht="15" hidden="false" customHeight="false" outlineLevel="0" collapsed="false">
      <c r="A3042" s="0" t="s">
        <v>6546</v>
      </c>
      <c r="B3042" s="0" t="s">
        <v>902</v>
      </c>
      <c r="C3042" s="0" t="n">
        <v>1.65</v>
      </c>
    </row>
    <row r="3043" customFormat="false" ht="15" hidden="false" customHeight="false" outlineLevel="0" collapsed="false">
      <c r="A3043" s="0" t="s">
        <v>6547</v>
      </c>
      <c r="B3043" s="0" t="s">
        <v>6548</v>
      </c>
      <c r="C3043" s="0" t="n">
        <v>1.65</v>
      </c>
    </row>
    <row r="3044" customFormat="false" ht="15" hidden="false" customHeight="false" outlineLevel="0" collapsed="false">
      <c r="A3044" s="0" t="s">
        <v>6549</v>
      </c>
      <c r="B3044" s="0" t="s">
        <v>791</v>
      </c>
      <c r="C3044" s="0" t="n">
        <v>2.1</v>
      </c>
    </row>
    <row r="3045" customFormat="false" ht="15" hidden="false" customHeight="false" outlineLevel="0" collapsed="false">
      <c r="A3045" s="0" t="s">
        <v>6550</v>
      </c>
      <c r="B3045" s="0" t="s">
        <v>785</v>
      </c>
      <c r="C3045" s="0" t="n">
        <v>1.65</v>
      </c>
    </row>
    <row r="3046" customFormat="false" ht="15" hidden="false" customHeight="false" outlineLevel="0" collapsed="false">
      <c r="A3046" s="0" t="s">
        <v>6551</v>
      </c>
      <c r="B3046" s="0" t="s">
        <v>788</v>
      </c>
      <c r="C3046" s="0" t="n">
        <v>1.65</v>
      </c>
    </row>
    <row r="3047" customFormat="false" ht="15" hidden="false" customHeight="false" outlineLevel="0" collapsed="false">
      <c r="A3047" s="0" t="s">
        <v>6552</v>
      </c>
      <c r="B3047" s="0" t="s">
        <v>6553</v>
      </c>
      <c r="C3047" s="0" t="n">
        <v>1.65</v>
      </c>
    </row>
    <row r="3048" customFormat="false" ht="15" hidden="false" customHeight="false" outlineLevel="0" collapsed="false">
      <c r="A3048" s="0" t="s">
        <v>6554</v>
      </c>
      <c r="B3048" s="0" t="s">
        <v>903</v>
      </c>
      <c r="C3048" s="0" t="n">
        <v>1.65</v>
      </c>
    </row>
    <row r="3049" customFormat="false" ht="15" hidden="false" customHeight="false" outlineLevel="0" collapsed="false">
      <c r="A3049" s="0" t="s">
        <v>6555</v>
      </c>
      <c r="B3049" s="0" t="s">
        <v>6556</v>
      </c>
      <c r="C3049" s="0" t="n">
        <v>1.65</v>
      </c>
    </row>
    <row r="3050" customFormat="false" ht="15" hidden="false" customHeight="false" outlineLevel="0" collapsed="false">
      <c r="A3050" s="0" t="s">
        <v>6557</v>
      </c>
      <c r="B3050" s="0" t="s">
        <v>6558</v>
      </c>
      <c r="C3050" s="0" t="n">
        <v>2.1</v>
      </c>
    </row>
    <row r="3051" customFormat="false" ht="15" hidden="false" customHeight="false" outlineLevel="0" collapsed="false">
      <c r="A3051" s="0" t="s">
        <v>6559</v>
      </c>
      <c r="B3051" s="0" t="s">
        <v>6560</v>
      </c>
      <c r="C3051" s="0" t="n">
        <v>1.45</v>
      </c>
    </row>
    <row r="3052" customFormat="false" ht="15" hidden="false" customHeight="false" outlineLevel="0" collapsed="false">
      <c r="A3052" s="0" t="s">
        <v>6561</v>
      </c>
      <c r="B3052" s="0" t="s">
        <v>6562</v>
      </c>
      <c r="C3052" s="0" t="n">
        <v>16.95</v>
      </c>
    </row>
    <row r="3053" customFormat="false" ht="15" hidden="false" customHeight="false" outlineLevel="0" collapsed="false">
      <c r="A3053" s="0" t="s">
        <v>6563</v>
      </c>
      <c r="B3053" s="0" t="s">
        <v>6564</v>
      </c>
      <c r="C3053" s="0" t="n">
        <v>1.45</v>
      </c>
    </row>
    <row r="3054" customFormat="false" ht="15" hidden="false" customHeight="false" outlineLevel="0" collapsed="false">
      <c r="A3054" s="0" t="s">
        <v>6565</v>
      </c>
      <c r="B3054" s="0" t="s">
        <v>6566</v>
      </c>
      <c r="C3054" s="0" t="n">
        <v>3.75</v>
      </c>
    </row>
    <row r="3055" customFormat="false" ht="15" hidden="false" customHeight="false" outlineLevel="0" collapsed="false">
      <c r="A3055" s="0" t="s">
        <v>6567</v>
      </c>
      <c r="B3055" s="0" t="s">
        <v>6568</v>
      </c>
      <c r="C3055" s="0" t="n">
        <v>0.65</v>
      </c>
    </row>
    <row r="3056" customFormat="false" ht="15" hidden="false" customHeight="false" outlineLevel="0" collapsed="false">
      <c r="A3056" s="0" t="s">
        <v>6569</v>
      </c>
      <c r="B3056" s="0" t="s">
        <v>6570</v>
      </c>
      <c r="C3056" s="0" t="n">
        <v>0.42</v>
      </c>
    </row>
    <row r="3057" customFormat="false" ht="15" hidden="false" customHeight="false" outlineLevel="0" collapsed="false">
      <c r="A3057" s="0" t="s">
        <v>6571</v>
      </c>
      <c r="B3057" s="0" t="s">
        <v>6572</v>
      </c>
      <c r="C3057" s="0" t="n">
        <v>7.95</v>
      </c>
    </row>
    <row r="3058" customFormat="false" ht="15" hidden="false" customHeight="false" outlineLevel="0" collapsed="false">
      <c r="A3058" s="0" t="s">
        <v>6573</v>
      </c>
      <c r="B3058" s="0" t="s">
        <v>6574</v>
      </c>
      <c r="C3058" s="0" t="n">
        <v>4.95</v>
      </c>
    </row>
    <row r="3059" customFormat="false" ht="15" hidden="false" customHeight="false" outlineLevel="0" collapsed="false">
      <c r="A3059" s="0" t="s">
        <v>6575</v>
      </c>
      <c r="B3059" s="0" t="s">
        <v>6576</v>
      </c>
      <c r="C3059" s="0" t="n">
        <v>2.51</v>
      </c>
    </row>
    <row r="3060" customFormat="false" ht="15" hidden="false" customHeight="false" outlineLevel="0" collapsed="false">
      <c r="A3060" s="0" t="s">
        <v>6577</v>
      </c>
      <c r="B3060" s="0" t="s">
        <v>6578</v>
      </c>
      <c r="C3060" s="0" t="n">
        <v>0.42</v>
      </c>
    </row>
    <row r="3061" customFormat="false" ht="15" hidden="false" customHeight="false" outlineLevel="0" collapsed="false">
      <c r="A3061" s="0" t="s">
        <v>6579</v>
      </c>
      <c r="B3061" s="0" t="s">
        <v>499</v>
      </c>
      <c r="C3061" s="0" t="n">
        <v>0.42</v>
      </c>
    </row>
    <row r="3062" customFormat="false" ht="15" hidden="false" customHeight="false" outlineLevel="0" collapsed="false">
      <c r="A3062" s="0" t="s">
        <v>6580</v>
      </c>
      <c r="B3062" s="0" t="s">
        <v>6581</v>
      </c>
      <c r="C3062" s="0" t="n">
        <v>1.25</v>
      </c>
    </row>
    <row r="3063" customFormat="false" ht="15" hidden="false" customHeight="false" outlineLevel="0" collapsed="false">
      <c r="A3063" s="0" t="s">
        <v>6582</v>
      </c>
      <c r="B3063" s="0" t="s">
        <v>6583</v>
      </c>
      <c r="C3063" s="0" t="n">
        <v>5.17</v>
      </c>
    </row>
    <row r="3064" customFormat="false" ht="15" hidden="false" customHeight="false" outlineLevel="0" collapsed="false">
      <c r="A3064" s="0" t="s">
        <v>6584</v>
      </c>
      <c r="B3064" s="0" t="s">
        <v>6585</v>
      </c>
      <c r="C3064" s="0" t="n">
        <v>0.85</v>
      </c>
    </row>
    <row r="3065" customFormat="false" ht="15" hidden="false" customHeight="false" outlineLevel="0" collapsed="false">
      <c r="A3065" s="0" t="s">
        <v>6586</v>
      </c>
      <c r="B3065" s="0" t="s">
        <v>660</v>
      </c>
      <c r="C3065" s="0" t="n">
        <v>0.85</v>
      </c>
    </row>
    <row r="3066" customFormat="false" ht="15" hidden="false" customHeight="false" outlineLevel="0" collapsed="false">
      <c r="A3066" s="0" t="s">
        <v>6587</v>
      </c>
      <c r="B3066" s="0" t="s">
        <v>6588</v>
      </c>
      <c r="C3066" s="0" t="n">
        <v>2.1</v>
      </c>
    </row>
    <row r="3067" customFormat="false" ht="15" hidden="false" customHeight="false" outlineLevel="0" collapsed="false">
      <c r="A3067" s="0" t="s">
        <v>6589</v>
      </c>
      <c r="B3067" s="0" t="s">
        <v>6590</v>
      </c>
      <c r="C3067" s="0" t="n">
        <v>4.25</v>
      </c>
    </row>
    <row r="3068" customFormat="false" ht="15" hidden="false" customHeight="false" outlineLevel="0" collapsed="false">
      <c r="A3068" s="0" t="s">
        <v>6591</v>
      </c>
      <c r="B3068" s="0" t="s">
        <v>6592</v>
      </c>
      <c r="C3068" s="0" t="n">
        <v>3.36</v>
      </c>
    </row>
    <row r="3069" customFormat="false" ht="15" hidden="false" customHeight="false" outlineLevel="0" collapsed="false">
      <c r="A3069" s="0" t="s">
        <v>6593</v>
      </c>
      <c r="B3069" s="0" t="s">
        <v>6594</v>
      </c>
      <c r="C3069" s="0" t="n">
        <v>1.25</v>
      </c>
    </row>
    <row r="3070" customFormat="false" ht="15" hidden="false" customHeight="false" outlineLevel="0" collapsed="false">
      <c r="A3070" s="0" t="s">
        <v>6595</v>
      </c>
      <c r="B3070" s="0" t="s">
        <v>6596</v>
      </c>
      <c r="C3070" s="0" t="n">
        <v>4.25</v>
      </c>
    </row>
    <row r="3071" customFormat="false" ht="15" hidden="false" customHeight="false" outlineLevel="0" collapsed="false">
      <c r="A3071" s="0" t="s">
        <v>6597</v>
      </c>
      <c r="B3071" s="0" t="s">
        <v>6598</v>
      </c>
      <c r="C3071" s="0" t="n">
        <v>4.25</v>
      </c>
    </row>
    <row r="3072" customFormat="false" ht="15" hidden="false" customHeight="false" outlineLevel="0" collapsed="false">
      <c r="A3072" s="0" t="s">
        <v>6599</v>
      </c>
      <c r="B3072" s="0" t="s">
        <v>326</v>
      </c>
      <c r="C3072" s="0" t="n">
        <v>6.75</v>
      </c>
    </row>
    <row r="3073" customFormat="false" ht="15" hidden="false" customHeight="false" outlineLevel="0" collapsed="false">
      <c r="A3073" s="0" t="s">
        <v>6600</v>
      </c>
      <c r="B3073" s="0" t="s">
        <v>6601</v>
      </c>
      <c r="C3073" s="0" t="n">
        <v>3.81</v>
      </c>
    </row>
    <row r="3074" customFormat="false" ht="15" hidden="false" customHeight="false" outlineLevel="0" collapsed="false">
      <c r="A3074" s="0" t="s">
        <v>6602</v>
      </c>
      <c r="B3074" s="0" t="s">
        <v>6603</v>
      </c>
      <c r="C3074" s="0" t="n">
        <v>9.95</v>
      </c>
    </row>
    <row r="3075" customFormat="false" ht="15" hidden="false" customHeight="false" outlineLevel="0" collapsed="false">
      <c r="A3075" s="0" t="s">
        <v>6604</v>
      </c>
      <c r="B3075" s="0" t="s">
        <v>6605</v>
      </c>
      <c r="C3075" s="0" t="n">
        <v>2.95</v>
      </c>
    </row>
    <row r="3076" customFormat="false" ht="15" hidden="false" customHeight="false" outlineLevel="0" collapsed="false">
      <c r="A3076" s="0" t="s">
        <v>6606</v>
      </c>
      <c r="B3076" s="0" t="s">
        <v>6607</v>
      </c>
      <c r="C3076" s="0" t="n">
        <v>4.25</v>
      </c>
    </row>
    <row r="3077" customFormat="false" ht="15" hidden="false" customHeight="false" outlineLevel="0" collapsed="false">
      <c r="A3077" s="0" t="s">
        <v>6608</v>
      </c>
      <c r="B3077" s="0" t="s">
        <v>6609</v>
      </c>
      <c r="C3077" s="0" t="n">
        <v>4.25</v>
      </c>
    </row>
    <row r="3078" customFormat="false" ht="15" hidden="false" customHeight="false" outlineLevel="0" collapsed="false">
      <c r="A3078" s="0" t="s">
        <v>6610</v>
      </c>
      <c r="B3078" s="0" t="s">
        <v>6611</v>
      </c>
      <c r="C3078" s="0" t="n">
        <v>4.21</v>
      </c>
    </row>
    <row r="3079" customFormat="false" ht="15" hidden="false" customHeight="false" outlineLevel="0" collapsed="false">
      <c r="A3079" s="0" t="s">
        <v>6610</v>
      </c>
      <c r="B3079" s="0" t="s">
        <v>6612</v>
      </c>
      <c r="C3079" s="0" t="n">
        <v>5.91</v>
      </c>
    </row>
    <row r="3080" customFormat="false" ht="15" hidden="false" customHeight="false" outlineLevel="0" collapsed="false">
      <c r="A3080" s="0" t="s">
        <v>6613</v>
      </c>
      <c r="B3080" s="0" t="s">
        <v>6614</v>
      </c>
      <c r="C3080" s="0" t="n">
        <v>3.36</v>
      </c>
    </row>
    <row r="3081" customFormat="false" ht="15" hidden="false" customHeight="false" outlineLevel="0" collapsed="false">
      <c r="A3081" s="0" t="s">
        <v>6615</v>
      </c>
      <c r="B3081" s="0" t="s">
        <v>6616</v>
      </c>
      <c r="C3081" s="0" t="n">
        <v>2.95</v>
      </c>
    </row>
    <row r="3082" customFormat="false" ht="15" hidden="false" customHeight="false" outlineLevel="0" collapsed="false">
      <c r="A3082" s="0" t="s">
        <v>6617</v>
      </c>
      <c r="B3082" s="0" t="s">
        <v>6618</v>
      </c>
      <c r="C3082" s="0" t="n">
        <v>4.21</v>
      </c>
    </row>
    <row r="3083" customFormat="false" ht="15" hidden="false" customHeight="false" outlineLevel="0" collapsed="false">
      <c r="A3083" s="0" t="s">
        <v>6619</v>
      </c>
      <c r="B3083" s="0" t="s">
        <v>6620</v>
      </c>
      <c r="C3083" s="0" t="n">
        <v>3.75</v>
      </c>
    </row>
    <row r="3084" customFormat="false" ht="15" hidden="false" customHeight="false" outlineLevel="0" collapsed="false">
      <c r="A3084" s="0" t="s">
        <v>6621</v>
      </c>
      <c r="B3084" s="0" t="s">
        <v>6622</v>
      </c>
      <c r="C3084" s="0" t="n">
        <v>1.25</v>
      </c>
    </row>
    <row r="3085" customFormat="false" ht="15" hidden="false" customHeight="false" outlineLevel="0" collapsed="false">
      <c r="A3085" s="0" t="s">
        <v>6623</v>
      </c>
      <c r="B3085" s="0" t="s">
        <v>6624</v>
      </c>
      <c r="C3085" s="0" t="n">
        <v>5.51</v>
      </c>
    </row>
    <row r="3086" customFormat="false" ht="15" hidden="false" customHeight="false" outlineLevel="0" collapsed="false">
      <c r="A3086" s="0" t="s">
        <v>6625</v>
      </c>
      <c r="B3086" s="0" t="s">
        <v>6626</v>
      </c>
      <c r="C3086" s="0" t="n">
        <v>7.95</v>
      </c>
    </row>
    <row r="3087" customFormat="false" ht="15" hidden="false" customHeight="false" outlineLevel="0" collapsed="false">
      <c r="A3087" s="0" t="s">
        <v>6627</v>
      </c>
      <c r="B3087" s="0" t="s">
        <v>6628</v>
      </c>
      <c r="C3087" s="0" t="n">
        <v>5.09</v>
      </c>
    </row>
    <row r="3088" customFormat="false" ht="15" hidden="false" customHeight="false" outlineLevel="0" collapsed="false">
      <c r="A3088" s="0" t="s">
        <v>6629</v>
      </c>
      <c r="B3088" s="0" t="s">
        <v>6630</v>
      </c>
      <c r="C3088" s="0" t="n">
        <v>4.25</v>
      </c>
    </row>
    <row r="3089" customFormat="false" ht="15" hidden="false" customHeight="false" outlineLevel="0" collapsed="false">
      <c r="A3089" s="0" t="s">
        <v>6631</v>
      </c>
      <c r="B3089" s="0" t="s">
        <v>6632</v>
      </c>
      <c r="C3089" s="0" t="n">
        <v>4.25</v>
      </c>
    </row>
    <row r="3090" customFormat="false" ht="15" hidden="false" customHeight="false" outlineLevel="0" collapsed="false">
      <c r="A3090" s="0" t="s">
        <v>6633</v>
      </c>
      <c r="B3090" s="0" t="s">
        <v>6634</v>
      </c>
      <c r="C3090" s="0" t="n">
        <v>0.85</v>
      </c>
    </row>
    <row r="3091" customFormat="false" ht="15" hidden="false" customHeight="false" outlineLevel="0" collapsed="false">
      <c r="A3091" s="0" t="s">
        <v>6635</v>
      </c>
      <c r="B3091" s="0" t="s">
        <v>6636</v>
      </c>
      <c r="C3091" s="0" t="n">
        <v>0.29</v>
      </c>
    </row>
    <row r="3092" customFormat="false" ht="15" hidden="false" customHeight="false" outlineLevel="0" collapsed="false">
      <c r="A3092" s="0" t="s">
        <v>6637</v>
      </c>
      <c r="B3092" s="0" t="s">
        <v>6638</v>
      </c>
      <c r="C3092" s="0" t="n">
        <v>5.91</v>
      </c>
    </row>
    <row r="3093" customFormat="false" ht="15" hidden="false" customHeight="false" outlineLevel="0" collapsed="false">
      <c r="A3093" s="0" t="s">
        <v>6639</v>
      </c>
      <c r="B3093" s="0" t="s">
        <v>6640</v>
      </c>
      <c r="C3093" s="0" t="n">
        <v>1.25</v>
      </c>
    </row>
    <row r="3094" customFormat="false" ht="15" hidden="false" customHeight="false" outlineLevel="0" collapsed="false">
      <c r="A3094" s="0" t="s">
        <v>6641</v>
      </c>
      <c r="B3094" s="0" t="s">
        <v>6642</v>
      </c>
      <c r="C3094" s="0" t="n">
        <v>1.69</v>
      </c>
    </row>
    <row r="3095" customFormat="false" ht="15" hidden="false" customHeight="false" outlineLevel="0" collapsed="false">
      <c r="A3095" s="0" t="s">
        <v>6643</v>
      </c>
      <c r="B3095" s="0" t="s">
        <v>59</v>
      </c>
      <c r="C3095" s="0" t="n">
        <v>2.95</v>
      </c>
    </row>
    <row r="3096" customFormat="false" ht="15" hidden="false" customHeight="false" outlineLevel="0" collapsed="false">
      <c r="A3096" s="0" t="s">
        <v>6644</v>
      </c>
      <c r="B3096" s="0" t="s">
        <v>6645</v>
      </c>
      <c r="C3096" s="0" t="n">
        <v>1.49</v>
      </c>
    </row>
    <row r="3097" customFormat="false" ht="15" hidden="false" customHeight="false" outlineLevel="0" collapsed="false">
      <c r="A3097" s="0" t="s">
        <v>6646</v>
      </c>
      <c r="B3097" s="0" t="s">
        <v>602</v>
      </c>
      <c r="C3097" s="0" t="n">
        <v>1.25</v>
      </c>
    </row>
    <row r="3098" customFormat="false" ht="15" hidden="false" customHeight="false" outlineLevel="0" collapsed="false">
      <c r="A3098" s="0" t="s">
        <v>6647</v>
      </c>
      <c r="B3098" s="0" t="s">
        <v>600</v>
      </c>
      <c r="C3098" s="0" t="n">
        <v>2.55</v>
      </c>
    </row>
    <row r="3099" customFormat="false" ht="15" hidden="false" customHeight="false" outlineLevel="0" collapsed="false">
      <c r="A3099" s="0" t="s">
        <v>6648</v>
      </c>
      <c r="B3099" s="0" t="s">
        <v>6649</v>
      </c>
      <c r="C3099" s="0" t="n">
        <v>0.85</v>
      </c>
    </row>
    <row r="3100" customFormat="false" ht="15" hidden="false" customHeight="false" outlineLevel="0" collapsed="false">
      <c r="A3100" s="0" t="s">
        <v>6650</v>
      </c>
      <c r="B3100" s="0" t="s">
        <v>6651</v>
      </c>
      <c r="C3100" s="0" t="n">
        <v>0.85</v>
      </c>
    </row>
    <row r="3101" customFormat="false" ht="15" hidden="false" customHeight="false" outlineLevel="0" collapsed="false">
      <c r="A3101" s="0" t="s">
        <v>6652</v>
      </c>
      <c r="B3101" s="0" t="s">
        <v>6653</v>
      </c>
      <c r="C3101" s="0" t="n">
        <v>0.85</v>
      </c>
    </row>
    <row r="3102" customFormat="false" ht="15" hidden="false" customHeight="false" outlineLevel="0" collapsed="false">
      <c r="A3102" s="0" t="s">
        <v>6654</v>
      </c>
      <c r="B3102" s="0" t="s">
        <v>6655</v>
      </c>
      <c r="C3102" s="0" t="n">
        <v>2.95</v>
      </c>
    </row>
    <row r="3103" customFormat="false" ht="15" hidden="false" customHeight="false" outlineLevel="0" collapsed="false">
      <c r="A3103" s="0" t="s">
        <v>6656</v>
      </c>
      <c r="B3103" s="0" t="s">
        <v>6657</v>
      </c>
      <c r="C3103" s="0" t="n">
        <v>7.95</v>
      </c>
    </row>
    <row r="3104" customFormat="false" ht="15" hidden="false" customHeight="false" outlineLevel="0" collapsed="false">
      <c r="A3104" s="0" t="s">
        <v>6658</v>
      </c>
      <c r="B3104" s="0" t="s">
        <v>6659</v>
      </c>
      <c r="C3104" s="0" t="n">
        <v>7.95</v>
      </c>
    </row>
    <row r="3105" customFormat="false" ht="15" hidden="false" customHeight="false" outlineLevel="0" collapsed="false">
      <c r="A3105" s="0" t="s">
        <v>6660</v>
      </c>
      <c r="B3105" s="0" t="s">
        <v>6661</v>
      </c>
      <c r="C3105" s="0" t="n">
        <v>1.65</v>
      </c>
    </row>
    <row r="3106" customFormat="false" ht="15" hidden="false" customHeight="false" outlineLevel="0" collapsed="false">
      <c r="A3106" s="0" t="s">
        <v>6662</v>
      </c>
      <c r="B3106" s="0" t="s">
        <v>6663</v>
      </c>
      <c r="C3106" s="0" t="n">
        <v>2.95</v>
      </c>
    </row>
    <row r="3107" customFormat="false" ht="15" hidden="false" customHeight="false" outlineLevel="0" collapsed="false">
      <c r="A3107" s="0" t="s">
        <v>6664</v>
      </c>
      <c r="B3107" s="0" t="s">
        <v>6665</v>
      </c>
      <c r="C3107" s="0" t="n">
        <v>2.1</v>
      </c>
    </row>
    <row r="3108" customFormat="false" ht="15" hidden="false" customHeight="false" outlineLevel="0" collapsed="false">
      <c r="A3108" s="0" t="s">
        <v>6666</v>
      </c>
      <c r="B3108" s="0" t="s">
        <v>6667</v>
      </c>
      <c r="C3108" s="0" t="n">
        <v>1.66</v>
      </c>
    </row>
    <row r="3109" customFormat="false" ht="15" hidden="false" customHeight="false" outlineLevel="0" collapsed="false">
      <c r="A3109" s="0" t="s">
        <v>6668</v>
      </c>
      <c r="B3109" s="0" t="s">
        <v>441</v>
      </c>
      <c r="C3109" s="0" t="n">
        <v>2.95</v>
      </c>
    </row>
    <row r="3110" customFormat="false" ht="15" hidden="false" customHeight="false" outlineLevel="0" collapsed="false">
      <c r="A3110" s="0" t="s">
        <v>6669</v>
      </c>
      <c r="B3110" s="0" t="s">
        <v>505</v>
      </c>
      <c r="C3110" s="0" t="n">
        <v>2.95</v>
      </c>
    </row>
    <row r="3111" customFormat="false" ht="15" hidden="false" customHeight="false" outlineLevel="0" collapsed="false">
      <c r="A3111" s="0" t="s">
        <v>6670</v>
      </c>
      <c r="B3111" s="0" t="s">
        <v>482</v>
      </c>
      <c r="C3111" s="0" t="n">
        <v>2.95</v>
      </c>
    </row>
    <row r="3112" customFormat="false" ht="15" hidden="false" customHeight="false" outlineLevel="0" collapsed="false">
      <c r="A3112" s="0" t="s">
        <v>6671</v>
      </c>
      <c r="B3112" s="0" t="s">
        <v>645</v>
      </c>
      <c r="C3112" s="0" t="n">
        <v>1.65</v>
      </c>
    </row>
    <row r="3113" customFormat="false" ht="15" hidden="false" customHeight="false" outlineLevel="0" collapsed="false">
      <c r="A3113" s="0" t="s">
        <v>6672</v>
      </c>
      <c r="B3113" s="0" t="s">
        <v>6673</v>
      </c>
      <c r="C3113" s="0" t="n">
        <v>4.24</v>
      </c>
    </row>
    <row r="3114" customFormat="false" ht="15" hidden="false" customHeight="false" outlineLevel="0" collapsed="false">
      <c r="A3114" s="0" t="s">
        <v>6674</v>
      </c>
      <c r="B3114" s="0" t="s">
        <v>6675</v>
      </c>
      <c r="C3114" s="0" t="n">
        <v>5.95</v>
      </c>
    </row>
    <row r="3115" customFormat="false" ht="15" hidden="false" customHeight="false" outlineLevel="0" collapsed="false">
      <c r="A3115" s="0" t="s">
        <v>6676</v>
      </c>
      <c r="B3115" s="0" t="s">
        <v>6677</v>
      </c>
      <c r="C3115" s="0" t="n">
        <v>1.26</v>
      </c>
    </row>
    <row r="3116" customFormat="false" ht="15" hidden="false" customHeight="false" outlineLevel="0" collapsed="false">
      <c r="A3116" s="0" t="s">
        <v>6678</v>
      </c>
      <c r="B3116" s="0" t="s">
        <v>6679</v>
      </c>
      <c r="C3116" s="0" t="n">
        <v>7.5</v>
      </c>
    </row>
    <row r="3117" customFormat="false" ht="15" hidden="false" customHeight="false" outlineLevel="0" collapsed="false">
      <c r="A3117" s="0" t="s">
        <v>6680</v>
      </c>
      <c r="B3117" s="0" t="s">
        <v>6681</v>
      </c>
      <c r="C3117" s="0" t="n">
        <v>7.5</v>
      </c>
    </row>
    <row r="3118" customFormat="false" ht="15" hidden="false" customHeight="false" outlineLevel="0" collapsed="false">
      <c r="A3118" s="0" t="s">
        <v>6682</v>
      </c>
      <c r="B3118" s="0" t="s">
        <v>6683</v>
      </c>
      <c r="C3118" s="0" t="n">
        <v>4.95</v>
      </c>
    </row>
    <row r="3119" customFormat="false" ht="15" hidden="false" customHeight="false" outlineLevel="0" collapsed="false">
      <c r="A3119" s="0" t="s">
        <v>6684</v>
      </c>
      <c r="B3119" s="0" t="s">
        <v>6685</v>
      </c>
      <c r="C3119" s="0" t="n">
        <v>24.95</v>
      </c>
    </row>
    <row r="3120" customFormat="false" ht="15" hidden="false" customHeight="false" outlineLevel="0" collapsed="false">
      <c r="A3120" s="0" t="s">
        <v>6686</v>
      </c>
      <c r="B3120" s="0" t="s">
        <v>6687</v>
      </c>
      <c r="C3120" s="0" t="n">
        <v>1.65</v>
      </c>
    </row>
    <row r="3121" customFormat="false" ht="15" hidden="false" customHeight="false" outlineLevel="0" collapsed="false">
      <c r="A3121" s="0" t="s">
        <v>6688</v>
      </c>
      <c r="B3121" s="0" t="s">
        <v>6689</v>
      </c>
      <c r="C3121" s="0" t="n">
        <v>2.95</v>
      </c>
    </row>
    <row r="3122" customFormat="false" ht="15" hidden="false" customHeight="false" outlineLevel="0" collapsed="false">
      <c r="A3122" s="0" t="s">
        <v>6690</v>
      </c>
      <c r="B3122" s="0" t="s">
        <v>6691</v>
      </c>
      <c r="C3122" s="0" t="n">
        <v>1.25</v>
      </c>
    </row>
    <row r="3123" customFormat="false" ht="15" hidden="false" customHeight="false" outlineLevel="0" collapsed="false">
      <c r="A3123" s="0" t="s">
        <v>6692</v>
      </c>
      <c r="B3123" s="0" t="s">
        <v>6693</v>
      </c>
      <c r="C3123" s="0" t="n">
        <v>0.42</v>
      </c>
    </row>
    <row r="3124" customFormat="false" ht="15" hidden="false" customHeight="false" outlineLevel="0" collapsed="false">
      <c r="A3124" s="0" t="s">
        <v>6694</v>
      </c>
      <c r="B3124" s="0" t="s">
        <v>6695</v>
      </c>
      <c r="C3124" s="0" t="n">
        <v>12.75</v>
      </c>
    </row>
    <row r="3125" customFormat="false" ht="15" hidden="false" customHeight="false" outlineLevel="0" collapsed="false">
      <c r="A3125" s="0" t="s">
        <v>6696</v>
      </c>
      <c r="B3125" s="0" t="s">
        <v>6697</v>
      </c>
      <c r="C3125" s="0" t="n">
        <v>12.75</v>
      </c>
    </row>
    <row r="3126" customFormat="false" ht="15" hidden="false" customHeight="false" outlineLevel="0" collapsed="false">
      <c r="A3126" s="0" t="s">
        <v>6698</v>
      </c>
      <c r="B3126" s="0" t="s">
        <v>6699</v>
      </c>
      <c r="C3126" s="0" t="n">
        <v>12.75</v>
      </c>
    </row>
    <row r="3127" customFormat="false" ht="15" hidden="false" customHeight="false" outlineLevel="0" collapsed="false">
      <c r="A3127" s="0" t="s">
        <v>6700</v>
      </c>
      <c r="B3127" s="0" t="s">
        <v>6701</v>
      </c>
      <c r="C3127" s="0" t="n">
        <v>12.75</v>
      </c>
    </row>
    <row r="3128" customFormat="false" ht="15" hidden="false" customHeight="false" outlineLevel="0" collapsed="false">
      <c r="A3128" s="0" t="s">
        <v>6702</v>
      </c>
      <c r="B3128" s="0" t="s">
        <v>6703</v>
      </c>
      <c r="C3128" s="0" t="n">
        <v>12.75</v>
      </c>
    </row>
    <row r="3129" customFormat="false" ht="15" hidden="false" customHeight="false" outlineLevel="0" collapsed="false">
      <c r="A3129" s="0" t="s">
        <v>6704</v>
      </c>
      <c r="B3129" s="0" t="s">
        <v>6705</v>
      </c>
      <c r="C3129" s="0" t="n">
        <v>12.75</v>
      </c>
    </row>
    <row r="3130" customFormat="false" ht="15" hidden="false" customHeight="false" outlineLevel="0" collapsed="false">
      <c r="A3130" s="0" t="s">
        <v>6706</v>
      </c>
      <c r="B3130" s="0" t="s">
        <v>6707</v>
      </c>
      <c r="C3130" s="0" t="n">
        <v>7.95</v>
      </c>
    </row>
    <row r="3131" customFormat="false" ht="15" hidden="false" customHeight="false" outlineLevel="0" collapsed="false">
      <c r="A3131" s="0" t="s">
        <v>6708</v>
      </c>
      <c r="B3131" s="0" t="s">
        <v>6709</v>
      </c>
      <c r="C3131" s="0" t="n">
        <v>5.95</v>
      </c>
    </row>
    <row r="3132" customFormat="false" ht="15" hidden="false" customHeight="false" outlineLevel="0" collapsed="false">
      <c r="A3132" s="0" t="s">
        <v>6710</v>
      </c>
      <c r="B3132" s="0" t="s">
        <v>6711</v>
      </c>
      <c r="C3132" s="0" t="n">
        <v>2.55</v>
      </c>
    </row>
    <row r="3133" customFormat="false" ht="15" hidden="false" customHeight="false" outlineLevel="0" collapsed="false">
      <c r="A3133" s="0" t="s">
        <v>6712</v>
      </c>
      <c r="B3133" s="0" t="s">
        <v>6713</v>
      </c>
      <c r="C3133" s="0" t="n">
        <v>9.95</v>
      </c>
    </row>
    <row r="3134" customFormat="false" ht="15" hidden="false" customHeight="false" outlineLevel="0" collapsed="false">
      <c r="A3134" s="0" t="s">
        <v>6714</v>
      </c>
      <c r="B3134" s="0" t="s">
        <v>6715</v>
      </c>
      <c r="C3134" s="0" t="n">
        <v>2.55</v>
      </c>
    </row>
    <row r="3135" customFormat="false" ht="15" hidden="false" customHeight="false" outlineLevel="0" collapsed="false">
      <c r="A3135" s="0" t="s">
        <v>6716</v>
      </c>
      <c r="B3135" s="0" t="s">
        <v>6717</v>
      </c>
      <c r="C3135" s="0" t="n">
        <v>1.65</v>
      </c>
    </row>
    <row r="3136" customFormat="false" ht="15" hidden="false" customHeight="false" outlineLevel="0" collapsed="false">
      <c r="A3136" s="0" t="s">
        <v>6718</v>
      </c>
      <c r="B3136" s="0" t="s">
        <v>6719</v>
      </c>
      <c r="C3136" s="0" t="n">
        <v>2.1</v>
      </c>
    </row>
    <row r="3137" customFormat="false" ht="15" hidden="false" customHeight="false" outlineLevel="0" collapsed="false">
      <c r="A3137" s="0" t="s">
        <v>6720</v>
      </c>
      <c r="B3137" s="0" t="s">
        <v>6721</v>
      </c>
      <c r="C3137" s="0" t="n">
        <v>2.1</v>
      </c>
    </row>
    <row r="3138" customFormat="false" ht="15" hidden="false" customHeight="false" outlineLevel="0" collapsed="false">
      <c r="A3138" s="0" t="s">
        <v>6722</v>
      </c>
      <c r="B3138" s="0" t="s">
        <v>6723</v>
      </c>
      <c r="C3138" s="0" t="n">
        <v>2.1</v>
      </c>
    </row>
    <row r="3139" customFormat="false" ht="15" hidden="false" customHeight="false" outlineLevel="0" collapsed="false">
      <c r="A3139" s="0" t="s">
        <v>6724</v>
      </c>
      <c r="B3139" s="0" t="s">
        <v>6725</v>
      </c>
      <c r="C3139" s="0" t="n">
        <v>2.1</v>
      </c>
    </row>
    <row r="3140" customFormat="false" ht="15" hidden="false" customHeight="false" outlineLevel="0" collapsed="false">
      <c r="A3140" s="0" t="s">
        <v>6726</v>
      </c>
      <c r="B3140" s="0" t="s">
        <v>6727</v>
      </c>
      <c r="C3140" s="0" t="n">
        <v>1.65</v>
      </c>
    </row>
    <row r="3141" customFormat="false" ht="15" hidden="false" customHeight="false" outlineLevel="0" collapsed="false">
      <c r="A3141" s="0" t="s">
        <v>6728</v>
      </c>
      <c r="B3141" s="0" t="s">
        <v>6729</v>
      </c>
      <c r="C3141" s="0" t="n">
        <v>12.75</v>
      </c>
    </row>
    <row r="3142" customFormat="false" ht="15" hidden="false" customHeight="false" outlineLevel="0" collapsed="false">
      <c r="A3142" s="0" t="s">
        <v>6730</v>
      </c>
      <c r="B3142" s="0" t="s">
        <v>6731</v>
      </c>
      <c r="C3142" s="0" t="n">
        <v>10.95</v>
      </c>
    </row>
    <row r="3143" customFormat="false" ht="15" hidden="false" customHeight="false" outlineLevel="0" collapsed="false">
      <c r="A3143" s="0" t="s">
        <v>6732</v>
      </c>
      <c r="B3143" s="0" t="s">
        <v>6733</v>
      </c>
      <c r="C3143" s="0" t="n">
        <v>2.1</v>
      </c>
    </row>
    <row r="3144" customFormat="false" ht="15" hidden="false" customHeight="false" outlineLevel="0" collapsed="false">
      <c r="A3144" s="0" t="s">
        <v>6734</v>
      </c>
      <c r="B3144" s="0" t="s">
        <v>6735</v>
      </c>
      <c r="C3144" s="0" t="n">
        <v>6.04</v>
      </c>
    </row>
    <row r="3145" customFormat="false" ht="15" hidden="false" customHeight="false" outlineLevel="0" collapsed="false">
      <c r="A3145" s="0" t="s">
        <v>6736</v>
      </c>
      <c r="B3145" s="0" t="s">
        <v>6737</v>
      </c>
      <c r="C3145" s="0" t="n">
        <v>0.85</v>
      </c>
    </row>
    <row r="3146" customFormat="false" ht="15" hidden="false" customHeight="false" outlineLevel="0" collapsed="false">
      <c r="A3146" s="0" t="s">
        <v>6738</v>
      </c>
      <c r="B3146" s="0" t="s">
        <v>6739</v>
      </c>
      <c r="C3146" s="0" t="n">
        <v>1.65</v>
      </c>
    </row>
    <row r="3147" customFormat="false" ht="15" hidden="false" customHeight="false" outlineLevel="0" collapsed="false">
      <c r="A3147" s="0" t="s">
        <v>6740</v>
      </c>
      <c r="B3147" s="0" t="s">
        <v>6741</v>
      </c>
      <c r="C3147" s="0" t="n">
        <v>1.25</v>
      </c>
    </row>
    <row r="3148" customFormat="false" ht="15" hidden="false" customHeight="false" outlineLevel="0" collapsed="false">
      <c r="A3148" s="0" t="s">
        <v>6742</v>
      </c>
      <c r="B3148" s="0" t="s">
        <v>6743</v>
      </c>
      <c r="C3148" s="0" t="n">
        <v>2.55</v>
      </c>
    </row>
    <row r="3149" customFormat="false" ht="15" hidden="false" customHeight="false" outlineLevel="0" collapsed="false">
      <c r="A3149" s="0" t="s">
        <v>6744</v>
      </c>
      <c r="B3149" s="0" t="s">
        <v>6745</v>
      </c>
      <c r="C3149" s="0" t="n">
        <v>4.25</v>
      </c>
    </row>
    <row r="3150" customFormat="false" ht="15" hidden="false" customHeight="false" outlineLevel="0" collapsed="false">
      <c r="A3150" s="0" t="s">
        <v>6746</v>
      </c>
      <c r="B3150" s="0" t="s">
        <v>6747</v>
      </c>
      <c r="C3150" s="0" t="n">
        <v>1.66</v>
      </c>
    </row>
    <row r="3151" customFormat="false" ht="15" hidden="false" customHeight="false" outlineLevel="0" collapsed="false">
      <c r="A3151" s="0" t="s">
        <v>6748</v>
      </c>
      <c r="B3151" s="0" t="s">
        <v>6749</v>
      </c>
      <c r="C3151" s="0" t="n">
        <v>1.65</v>
      </c>
    </row>
    <row r="3152" customFormat="false" ht="15" hidden="false" customHeight="false" outlineLevel="0" collapsed="false">
      <c r="A3152" s="0" t="s">
        <v>6750</v>
      </c>
      <c r="B3152" s="0" t="s">
        <v>6751</v>
      </c>
      <c r="C3152" s="0" t="n">
        <v>2.55</v>
      </c>
    </row>
    <row r="3153" customFormat="false" ht="15" hidden="false" customHeight="false" outlineLevel="0" collapsed="false">
      <c r="A3153" s="0" t="s">
        <v>6752</v>
      </c>
      <c r="B3153" s="0" t="s">
        <v>6753</v>
      </c>
      <c r="C3153" s="0" t="n">
        <v>2.95</v>
      </c>
    </row>
    <row r="3154" customFormat="false" ht="15" hidden="false" customHeight="false" outlineLevel="0" collapsed="false">
      <c r="A3154" s="0" t="s">
        <v>6754</v>
      </c>
      <c r="B3154" s="0" t="s">
        <v>6755</v>
      </c>
      <c r="C3154" s="0" t="n">
        <v>4.95</v>
      </c>
    </row>
    <row r="3155" customFormat="false" ht="15" hidden="false" customHeight="false" outlineLevel="0" collapsed="false">
      <c r="A3155" s="0" t="s">
        <v>6756</v>
      </c>
      <c r="B3155" s="0" t="s">
        <v>6757</v>
      </c>
      <c r="C3155" s="0" t="n">
        <v>2.1</v>
      </c>
    </row>
    <row r="3156" customFormat="false" ht="15" hidden="false" customHeight="false" outlineLevel="0" collapsed="false">
      <c r="A3156" s="0" t="s">
        <v>6758</v>
      </c>
      <c r="B3156" s="0" t="s">
        <v>6759</v>
      </c>
      <c r="C3156" s="0" t="n">
        <v>2.1</v>
      </c>
    </row>
    <row r="3157" customFormat="false" ht="15" hidden="false" customHeight="false" outlineLevel="0" collapsed="false">
      <c r="A3157" s="0" t="s">
        <v>6760</v>
      </c>
      <c r="B3157" s="0" t="s">
        <v>6761</v>
      </c>
      <c r="C3157" s="0" t="n">
        <v>1.25</v>
      </c>
    </row>
    <row r="3158" customFormat="false" ht="15" hidden="false" customHeight="false" outlineLevel="0" collapsed="false">
      <c r="A3158" s="0" t="s">
        <v>6762</v>
      </c>
      <c r="B3158" s="0" t="s">
        <v>6763</v>
      </c>
      <c r="C3158" s="0" t="n">
        <v>1.25</v>
      </c>
    </row>
    <row r="3159" customFormat="false" ht="15" hidden="false" customHeight="false" outlineLevel="0" collapsed="false">
      <c r="A3159" s="0" t="s">
        <v>6764</v>
      </c>
      <c r="B3159" s="0" t="s">
        <v>6765</v>
      </c>
      <c r="C3159" s="0" t="n">
        <v>1.65</v>
      </c>
    </row>
    <row r="3160" customFormat="false" ht="15" hidden="false" customHeight="false" outlineLevel="0" collapsed="false">
      <c r="A3160" s="0" t="s">
        <v>6766</v>
      </c>
      <c r="B3160" s="0" t="s">
        <v>6767</v>
      </c>
      <c r="C3160" s="0" t="n">
        <v>1.25</v>
      </c>
    </row>
    <row r="3161" customFormat="false" ht="15" hidden="false" customHeight="false" outlineLevel="0" collapsed="false">
      <c r="A3161" s="0" t="s">
        <v>6768</v>
      </c>
      <c r="B3161" s="0" t="s">
        <v>6769</v>
      </c>
      <c r="C3161" s="0" t="n">
        <v>1.65</v>
      </c>
    </row>
    <row r="3162" customFormat="false" ht="15" hidden="false" customHeight="false" outlineLevel="0" collapsed="false">
      <c r="A3162" s="0" t="s">
        <v>6770</v>
      </c>
      <c r="B3162" s="0" t="s">
        <v>6771</v>
      </c>
      <c r="C3162" s="0" t="n">
        <v>2.55</v>
      </c>
    </row>
    <row r="3163" customFormat="false" ht="15" hidden="false" customHeight="false" outlineLevel="0" collapsed="false">
      <c r="A3163" s="0" t="s">
        <v>6772</v>
      </c>
      <c r="B3163" s="0" t="s">
        <v>6773</v>
      </c>
      <c r="C3163" s="0" t="n">
        <v>1.65</v>
      </c>
    </row>
    <row r="3164" customFormat="false" ht="15" hidden="false" customHeight="false" outlineLevel="0" collapsed="false">
      <c r="A3164" s="0" t="s">
        <v>6774</v>
      </c>
      <c r="B3164" s="0" t="s">
        <v>6775</v>
      </c>
      <c r="C3164" s="0" t="n">
        <v>2.55</v>
      </c>
    </row>
    <row r="3165" customFormat="false" ht="15" hidden="false" customHeight="false" outlineLevel="0" collapsed="false">
      <c r="A3165" s="0" t="s">
        <v>6776</v>
      </c>
      <c r="B3165" s="0" t="s">
        <v>6777</v>
      </c>
      <c r="C3165" s="0" t="n">
        <v>2.55</v>
      </c>
    </row>
    <row r="3166" customFormat="false" ht="15" hidden="false" customHeight="false" outlineLevel="0" collapsed="false">
      <c r="A3166" s="0" t="s">
        <v>6778</v>
      </c>
      <c r="B3166" s="0" t="s">
        <v>6779</v>
      </c>
      <c r="C3166" s="0" t="n">
        <v>3.75</v>
      </c>
    </row>
    <row r="3167" customFormat="false" ht="15" hidden="false" customHeight="false" outlineLevel="0" collapsed="false">
      <c r="A3167" s="0" t="s">
        <v>6780</v>
      </c>
      <c r="B3167" s="0" t="s">
        <v>6781</v>
      </c>
      <c r="C3167" s="0" t="n">
        <v>1.25</v>
      </c>
    </row>
    <row r="3168" customFormat="false" ht="15" hidden="false" customHeight="false" outlineLevel="0" collapsed="false">
      <c r="A3168" s="0" t="s">
        <v>6782</v>
      </c>
      <c r="B3168" s="0" t="s">
        <v>6783</v>
      </c>
      <c r="C3168" s="0" t="n">
        <v>1.25</v>
      </c>
    </row>
    <row r="3169" customFormat="false" ht="15" hidden="false" customHeight="false" outlineLevel="0" collapsed="false">
      <c r="A3169" s="0" t="s">
        <v>6784</v>
      </c>
      <c r="B3169" s="0" t="s">
        <v>6785</v>
      </c>
      <c r="C3169" s="0" t="n">
        <v>2.95</v>
      </c>
    </row>
    <row r="3170" customFormat="false" ht="15" hidden="false" customHeight="false" outlineLevel="0" collapsed="false">
      <c r="A3170" s="0" t="s">
        <v>6786</v>
      </c>
      <c r="B3170" s="0" t="s">
        <v>6787</v>
      </c>
      <c r="C3170" s="0" t="n">
        <v>0.3</v>
      </c>
    </row>
    <row r="3171" customFormat="false" ht="15" hidden="false" customHeight="false" outlineLevel="0" collapsed="false">
      <c r="A3171" s="0" t="s">
        <v>6788</v>
      </c>
      <c r="B3171" s="0" t="s">
        <v>6789</v>
      </c>
      <c r="C3171" s="0" t="n">
        <v>3.75</v>
      </c>
    </row>
    <row r="3172" customFormat="false" ht="15" hidden="false" customHeight="false" outlineLevel="0" collapsed="false">
      <c r="A3172" s="0" t="s">
        <v>6790</v>
      </c>
      <c r="B3172" s="0" t="s">
        <v>6791</v>
      </c>
      <c r="C3172" s="0" t="n">
        <v>0.42</v>
      </c>
    </row>
    <row r="3173" customFormat="false" ht="15" hidden="false" customHeight="false" outlineLevel="0" collapsed="false">
      <c r="A3173" s="0" t="s">
        <v>6792</v>
      </c>
      <c r="B3173" s="0" t="s">
        <v>6793</v>
      </c>
      <c r="C3173" s="0" t="n">
        <v>0.85</v>
      </c>
    </row>
    <row r="3174" customFormat="false" ht="15" hidden="false" customHeight="false" outlineLevel="0" collapsed="false">
      <c r="A3174" s="0" t="s">
        <v>6794</v>
      </c>
      <c r="B3174" s="0" t="s">
        <v>6795</v>
      </c>
      <c r="C3174" s="0" t="n">
        <v>4.25</v>
      </c>
    </row>
    <row r="3175" customFormat="false" ht="15" hidden="false" customHeight="false" outlineLevel="0" collapsed="false">
      <c r="A3175" s="0" t="s">
        <v>6796</v>
      </c>
      <c r="B3175" s="0" t="s">
        <v>6797</v>
      </c>
      <c r="C3175" s="0" t="n">
        <v>4.25</v>
      </c>
    </row>
    <row r="3176" customFormat="false" ht="15" hidden="false" customHeight="false" outlineLevel="0" collapsed="false">
      <c r="A3176" s="0" t="s">
        <v>6798</v>
      </c>
      <c r="B3176" s="0" t="s">
        <v>6799</v>
      </c>
      <c r="C3176" s="0" t="n">
        <v>4.25</v>
      </c>
    </row>
    <row r="3177" customFormat="false" ht="15" hidden="false" customHeight="false" outlineLevel="0" collapsed="false">
      <c r="A3177" s="0" t="s">
        <v>6800</v>
      </c>
      <c r="B3177" s="0" t="s">
        <v>6801</v>
      </c>
      <c r="C3177" s="0" t="n">
        <v>0.85</v>
      </c>
    </row>
    <row r="3178" customFormat="false" ht="15" hidden="false" customHeight="false" outlineLevel="0" collapsed="false">
      <c r="A3178" s="0" t="s">
        <v>6802</v>
      </c>
      <c r="B3178" s="0" t="s">
        <v>6803</v>
      </c>
      <c r="C3178" s="0" t="n">
        <v>2.55</v>
      </c>
    </row>
    <row r="3179" customFormat="false" ht="15" hidden="false" customHeight="false" outlineLevel="0" collapsed="false">
      <c r="A3179" s="0" t="s">
        <v>6804</v>
      </c>
      <c r="B3179" s="0" t="s">
        <v>6805</v>
      </c>
      <c r="C3179" s="0" t="n">
        <v>1.25</v>
      </c>
    </row>
    <row r="3180" customFormat="false" ht="15" hidden="false" customHeight="false" outlineLevel="0" collapsed="false">
      <c r="A3180" s="0" t="s">
        <v>6806</v>
      </c>
      <c r="B3180" s="0" t="s">
        <v>6807</v>
      </c>
      <c r="C3180" s="0" t="n">
        <v>0.85</v>
      </c>
    </row>
    <row r="3181" customFormat="false" ht="15" hidden="false" customHeight="false" outlineLevel="0" collapsed="false">
      <c r="A3181" s="0" t="s">
        <v>6808</v>
      </c>
      <c r="B3181" s="0" t="s">
        <v>6809</v>
      </c>
      <c r="C3181" s="0" t="n">
        <v>2.95</v>
      </c>
    </row>
    <row r="3182" customFormat="false" ht="15" hidden="false" customHeight="false" outlineLevel="0" collapsed="false">
      <c r="A3182" s="0" t="s">
        <v>6810</v>
      </c>
      <c r="B3182" s="0" t="s">
        <v>6811</v>
      </c>
      <c r="C3182" s="0" t="n">
        <v>2.55</v>
      </c>
    </row>
    <row r="3183" customFormat="false" ht="15" hidden="false" customHeight="false" outlineLevel="0" collapsed="false">
      <c r="A3183" s="0" t="s">
        <v>6812</v>
      </c>
      <c r="B3183" s="0" t="s">
        <v>6813</v>
      </c>
      <c r="C3183" s="0" t="n">
        <v>1.25</v>
      </c>
    </row>
    <row r="3184" customFormat="false" ht="15" hidden="false" customHeight="false" outlineLevel="0" collapsed="false">
      <c r="A3184" s="0" t="s">
        <v>6814</v>
      </c>
      <c r="B3184" s="0" t="s">
        <v>6815</v>
      </c>
      <c r="C3184" s="0" t="n">
        <v>73.8</v>
      </c>
    </row>
    <row r="3185" customFormat="false" ht="15" hidden="false" customHeight="false" outlineLevel="0" collapsed="false">
      <c r="A3185" s="0" t="s">
        <v>6816</v>
      </c>
      <c r="B3185" s="0" t="s">
        <v>6817</v>
      </c>
      <c r="C3185" s="0" t="n">
        <v>0.85</v>
      </c>
    </row>
    <row r="3186" customFormat="false" ht="15" hidden="false" customHeight="false" outlineLevel="0" collapsed="false">
      <c r="A3186" s="0" t="s">
        <v>6818</v>
      </c>
      <c r="B3186" s="0" t="s">
        <v>6819</v>
      </c>
      <c r="C3186" s="0" t="n">
        <v>1.25</v>
      </c>
    </row>
    <row r="3187" customFormat="false" ht="15" hidden="false" customHeight="false" outlineLevel="0" collapsed="false">
      <c r="A3187" s="0" t="s">
        <v>6820</v>
      </c>
      <c r="B3187" s="0" t="s">
        <v>6821</v>
      </c>
      <c r="C3187" s="0" t="n">
        <v>1.25</v>
      </c>
    </row>
    <row r="3188" customFormat="false" ht="15" hidden="false" customHeight="false" outlineLevel="0" collapsed="false">
      <c r="A3188" s="0" t="s">
        <v>6822</v>
      </c>
      <c r="B3188" s="0" t="s">
        <v>6823</v>
      </c>
      <c r="C3188" s="0" t="n">
        <v>2.25</v>
      </c>
    </row>
    <row r="3189" customFormat="false" ht="15" hidden="false" customHeight="false" outlineLevel="0" collapsed="false">
      <c r="A3189" s="0" t="s">
        <v>6824</v>
      </c>
      <c r="B3189" s="0" t="s">
        <v>61</v>
      </c>
      <c r="C3189" s="0" t="n">
        <v>1.25</v>
      </c>
    </row>
    <row r="3190" customFormat="false" ht="15" hidden="false" customHeight="false" outlineLevel="0" collapsed="false">
      <c r="A3190" s="0" t="s">
        <v>6825</v>
      </c>
      <c r="B3190" s="0" t="s">
        <v>6826</v>
      </c>
      <c r="C3190" s="0" t="n">
        <v>12.75</v>
      </c>
    </row>
    <row r="3191" customFormat="false" ht="15" hidden="false" customHeight="false" outlineLevel="0" collapsed="false">
      <c r="A3191" s="0" t="s">
        <v>6827</v>
      </c>
      <c r="B3191" s="0" t="s">
        <v>6828</v>
      </c>
      <c r="C3191" s="0" t="n">
        <v>2.1</v>
      </c>
    </row>
    <row r="3192" customFormat="false" ht="15" hidden="false" customHeight="false" outlineLevel="0" collapsed="false">
      <c r="A3192" s="0" t="s">
        <v>6829</v>
      </c>
      <c r="B3192" s="0" t="s">
        <v>6830</v>
      </c>
      <c r="C3192" s="0" t="n">
        <v>0.65</v>
      </c>
    </row>
    <row r="3193" customFormat="false" ht="15" hidden="false" customHeight="false" outlineLevel="0" collapsed="false">
      <c r="A3193" s="0" t="s">
        <v>6831</v>
      </c>
      <c r="B3193" s="0" t="s">
        <v>6832</v>
      </c>
      <c r="C3193" s="0" t="n">
        <v>2.95</v>
      </c>
    </row>
    <row r="3194" customFormat="false" ht="15" hidden="false" customHeight="false" outlineLevel="0" collapsed="false">
      <c r="A3194" s="0" t="s">
        <v>6833</v>
      </c>
      <c r="B3194" s="0" t="s">
        <v>6834</v>
      </c>
      <c r="C3194" s="0" t="n">
        <v>1.25</v>
      </c>
    </row>
    <row r="3195" customFormat="false" ht="15" hidden="false" customHeight="false" outlineLevel="0" collapsed="false">
      <c r="A3195" s="0" t="s">
        <v>6835</v>
      </c>
      <c r="B3195" s="0" t="s">
        <v>6836</v>
      </c>
      <c r="C3195" s="0" t="n">
        <v>2.1</v>
      </c>
    </row>
    <row r="3196" customFormat="false" ht="15" hidden="false" customHeight="false" outlineLevel="0" collapsed="false">
      <c r="A3196" s="0" t="s">
        <v>6837</v>
      </c>
      <c r="B3196" s="0" t="s">
        <v>6838</v>
      </c>
      <c r="C3196" s="0" t="n">
        <v>1.25</v>
      </c>
    </row>
    <row r="3197" customFormat="false" ht="15" hidden="false" customHeight="false" outlineLevel="0" collapsed="false">
      <c r="A3197" s="0" t="s">
        <v>6839</v>
      </c>
      <c r="B3197" s="0" t="s">
        <v>6840</v>
      </c>
      <c r="C3197" s="0" t="n">
        <v>65</v>
      </c>
    </row>
    <row r="3198" customFormat="false" ht="15" hidden="false" customHeight="false" outlineLevel="0" collapsed="false">
      <c r="A3198" s="0" t="s">
        <v>6841</v>
      </c>
      <c r="B3198" s="0" t="s">
        <v>297</v>
      </c>
      <c r="C3198" s="0" t="n">
        <v>4.95</v>
      </c>
    </row>
    <row r="3199" customFormat="false" ht="15" hidden="false" customHeight="false" outlineLevel="0" collapsed="false">
      <c r="A3199" s="0" t="s">
        <v>6842</v>
      </c>
      <c r="B3199" s="0" t="s">
        <v>703</v>
      </c>
      <c r="C3199" s="0" t="n">
        <v>0.85</v>
      </c>
    </row>
    <row r="3200" customFormat="false" ht="15" hidden="false" customHeight="false" outlineLevel="0" collapsed="false">
      <c r="A3200" s="0" t="s">
        <v>6843</v>
      </c>
      <c r="B3200" s="0" t="s">
        <v>6844</v>
      </c>
      <c r="C3200" s="0" t="n">
        <v>1.65</v>
      </c>
    </row>
    <row r="3201" customFormat="false" ht="15" hidden="false" customHeight="false" outlineLevel="0" collapsed="false">
      <c r="A3201" s="0" t="s">
        <v>6845</v>
      </c>
      <c r="B3201" s="0" t="s">
        <v>6846</v>
      </c>
      <c r="C3201" s="0" t="n">
        <v>2.1</v>
      </c>
    </row>
    <row r="3202" customFormat="false" ht="15" hidden="false" customHeight="false" outlineLevel="0" collapsed="false">
      <c r="A3202" s="0" t="s">
        <v>6847</v>
      </c>
      <c r="B3202" s="0" t="s">
        <v>6848</v>
      </c>
      <c r="C3202" s="0" t="n">
        <v>1.95</v>
      </c>
    </row>
    <row r="3203" customFormat="false" ht="15" hidden="false" customHeight="false" outlineLevel="0" collapsed="false">
      <c r="A3203" s="0" t="s">
        <v>6849</v>
      </c>
      <c r="B3203" s="0" t="s">
        <v>6850</v>
      </c>
      <c r="C3203" s="0" t="n">
        <v>1.25</v>
      </c>
    </row>
    <row r="3204" customFormat="false" ht="15" hidden="false" customHeight="false" outlineLevel="0" collapsed="false">
      <c r="A3204" s="0" t="s">
        <v>6851</v>
      </c>
      <c r="B3204" s="0" t="s">
        <v>6852</v>
      </c>
      <c r="C3204" s="0" t="n">
        <v>0.21</v>
      </c>
    </row>
    <row r="3205" customFormat="false" ht="15" hidden="false" customHeight="false" outlineLevel="0" collapsed="false">
      <c r="A3205" s="0" t="s">
        <v>6853</v>
      </c>
      <c r="B3205" s="0" t="s">
        <v>6854</v>
      </c>
      <c r="C3205" s="0" t="n">
        <v>15.95</v>
      </c>
    </row>
    <row r="3206" customFormat="false" ht="15" hidden="false" customHeight="false" outlineLevel="0" collapsed="false">
      <c r="A3206" s="0" t="s">
        <v>6855</v>
      </c>
      <c r="B3206" s="0" t="s">
        <v>6856</v>
      </c>
      <c r="C3206" s="0" t="n">
        <v>10</v>
      </c>
    </row>
    <row r="3207" customFormat="false" ht="15" hidden="false" customHeight="false" outlineLevel="0" collapsed="false">
      <c r="A3207" s="0" t="s">
        <v>6857</v>
      </c>
      <c r="B3207" s="0" t="s">
        <v>6858</v>
      </c>
      <c r="C3207" s="0" t="n">
        <v>1.25</v>
      </c>
    </row>
    <row r="3208" customFormat="false" ht="15" hidden="false" customHeight="false" outlineLevel="0" collapsed="false">
      <c r="A3208" s="0" t="s">
        <v>6859</v>
      </c>
      <c r="B3208" s="0" t="s">
        <v>6860</v>
      </c>
      <c r="C3208" s="0" t="n">
        <v>7.95</v>
      </c>
    </row>
    <row r="3209" customFormat="false" ht="15" hidden="false" customHeight="false" outlineLevel="0" collapsed="false">
      <c r="A3209" s="0" t="s">
        <v>6861</v>
      </c>
      <c r="B3209" s="0" t="s">
        <v>6862</v>
      </c>
      <c r="C3209" s="0" t="n">
        <v>6.75</v>
      </c>
    </row>
    <row r="3210" customFormat="false" ht="15" hidden="false" customHeight="false" outlineLevel="0" collapsed="false">
      <c r="A3210" s="0" t="s">
        <v>6863</v>
      </c>
      <c r="B3210" s="0" t="s">
        <v>892</v>
      </c>
      <c r="C3210" s="0" t="n">
        <v>0.42</v>
      </c>
    </row>
    <row r="3211" customFormat="false" ht="15" hidden="false" customHeight="false" outlineLevel="0" collapsed="false">
      <c r="A3211" s="0" t="s">
        <v>6864</v>
      </c>
      <c r="B3211" s="0" t="s">
        <v>6865</v>
      </c>
      <c r="C3211" s="0" t="n">
        <v>0.42</v>
      </c>
    </row>
    <row r="3212" customFormat="false" ht="15" hidden="false" customHeight="false" outlineLevel="0" collapsed="false">
      <c r="A3212" s="0" t="s">
        <v>6866</v>
      </c>
      <c r="B3212" s="0" t="s">
        <v>6867</v>
      </c>
      <c r="C3212" s="0" t="n">
        <v>2.95</v>
      </c>
    </row>
    <row r="3213" customFormat="false" ht="15" hidden="false" customHeight="false" outlineLevel="0" collapsed="false">
      <c r="A3213" s="0" t="s">
        <v>6868</v>
      </c>
      <c r="B3213" s="0" t="s">
        <v>6869</v>
      </c>
      <c r="C3213" s="0" t="n">
        <v>2.95</v>
      </c>
    </row>
    <row r="3214" customFormat="false" ht="15" hidden="false" customHeight="false" outlineLevel="0" collapsed="false">
      <c r="A3214" s="0" t="s">
        <v>6870</v>
      </c>
      <c r="B3214" s="0" t="s">
        <v>6871</v>
      </c>
      <c r="C3214" s="0" t="n">
        <v>0.42</v>
      </c>
    </row>
    <row r="3215" customFormat="false" ht="15" hidden="false" customHeight="false" outlineLevel="0" collapsed="false">
      <c r="A3215" s="0" t="s">
        <v>6872</v>
      </c>
      <c r="B3215" s="0" t="s">
        <v>6873</v>
      </c>
      <c r="C3215" s="0" t="n">
        <v>2.95</v>
      </c>
    </row>
    <row r="3216" customFormat="false" ht="15" hidden="false" customHeight="false" outlineLevel="0" collapsed="false">
      <c r="A3216" s="0" t="s">
        <v>6874</v>
      </c>
      <c r="B3216" s="0" t="s">
        <v>6875</v>
      </c>
      <c r="C3216" s="0" t="n">
        <v>2.95</v>
      </c>
    </row>
    <row r="3217" customFormat="false" ht="15" hidden="false" customHeight="false" outlineLevel="0" collapsed="false">
      <c r="A3217" s="0" t="s">
        <v>6876</v>
      </c>
      <c r="B3217" s="0" t="s">
        <v>763</v>
      </c>
      <c r="C3217" s="0" t="n">
        <v>0.85</v>
      </c>
    </row>
    <row r="3218" customFormat="false" ht="15" hidden="false" customHeight="false" outlineLevel="0" collapsed="false">
      <c r="A3218" s="0" t="s">
        <v>6877</v>
      </c>
      <c r="B3218" s="0" t="s">
        <v>6878</v>
      </c>
      <c r="C3218" s="0" t="n">
        <v>1.25</v>
      </c>
    </row>
    <row r="3219" customFormat="false" ht="15" hidden="false" customHeight="false" outlineLevel="0" collapsed="false">
      <c r="A3219" s="0" t="s">
        <v>6879</v>
      </c>
      <c r="B3219" s="0" t="s">
        <v>753</v>
      </c>
      <c r="C3219" s="0" t="n">
        <v>4.95</v>
      </c>
    </row>
    <row r="3220" customFormat="false" ht="15" hidden="false" customHeight="false" outlineLevel="0" collapsed="false">
      <c r="A3220" s="0" t="s">
        <v>6880</v>
      </c>
      <c r="B3220" s="0" t="s">
        <v>6881</v>
      </c>
      <c r="C3220" s="0" t="n">
        <v>19.95</v>
      </c>
    </row>
    <row r="3221" customFormat="false" ht="15" hidden="false" customHeight="false" outlineLevel="0" collapsed="false">
      <c r="A3221" s="0" t="s">
        <v>6882</v>
      </c>
      <c r="B3221" s="0" t="s">
        <v>6883</v>
      </c>
      <c r="C3221" s="0" t="n">
        <v>19.95</v>
      </c>
    </row>
    <row r="3222" customFormat="false" ht="15" hidden="false" customHeight="false" outlineLevel="0" collapsed="false">
      <c r="A3222" s="0" t="s">
        <v>6884</v>
      </c>
      <c r="B3222" s="0" t="s">
        <v>674</v>
      </c>
      <c r="C3222" s="0" t="n">
        <v>24.95</v>
      </c>
    </row>
    <row r="3223" customFormat="false" ht="15" hidden="false" customHeight="false" outlineLevel="0" collapsed="false">
      <c r="A3223" s="0" t="s">
        <v>6885</v>
      </c>
      <c r="B3223" s="0" t="s">
        <v>6886</v>
      </c>
      <c r="C3223" s="0" t="n">
        <v>2.95</v>
      </c>
    </row>
    <row r="3224" customFormat="false" ht="15" hidden="false" customHeight="false" outlineLevel="0" collapsed="false">
      <c r="A3224" s="0" t="s">
        <v>6887</v>
      </c>
      <c r="B3224" s="0" t="s">
        <v>6888</v>
      </c>
      <c r="C3224" s="0" t="n">
        <v>2.95</v>
      </c>
    </row>
    <row r="3225" customFormat="false" ht="15" hidden="false" customHeight="false" outlineLevel="0" collapsed="false">
      <c r="A3225" s="0" t="s">
        <v>6889</v>
      </c>
      <c r="B3225" s="0" t="s">
        <v>6890</v>
      </c>
      <c r="C3225" s="0" t="n">
        <v>1.69</v>
      </c>
    </row>
    <row r="3226" customFormat="false" ht="15" hidden="false" customHeight="false" outlineLevel="0" collapsed="false">
      <c r="A3226" s="0" t="s">
        <v>6891</v>
      </c>
      <c r="B3226" s="0" t="s">
        <v>6892</v>
      </c>
      <c r="C3226" s="0" t="n">
        <v>1.69</v>
      </c>
    </row>
    <row r="3227" customFormat="false" ht="15" hidden="false" customHeight="false" outlineLevel="0" collapsed="false">
      <c r="A3227" s="0" t="s">
        <v>6893</v>
      </c>
      <c r="B3227" s="0" t="s">
        <v>6894</v>
      </c>
      <c r="C3227" s="0" t="n">
        <v>1.69</v>
      </c>
    </row>
    <row r="3228" customFormat="false" ht="15" hidden="false" customHeight="false" outlineLevel="0" collapsed="false">
      <c r="A3228" s="0" t="s">
        <v>6895</v>
      </c>
      <c r="B3228" s="0" t="s">
        <v>6896</v>
      </c>
      <c r="C3228" s="0" t="n">
        <v>1.25</v>
      </c>
    </row>
    <row r="3229" customFormat="false" ht="15" hidden="false" customHeight="false" outlineLevel="0" collapsed="false">
      <c r="A3229" s="0" t="s">
        <v>6897</v>
      </c>
      <c r="B3229" s="0" t="s">
        <v>119</v>
      </c>
      <c r="C3229" s="0" t="n">
        <v>8.5</v>
      </c>
    </row>
    <row r="3230" customFormat="false" ht="15" hidden="false" customHeight="false" outlineLevel="0" collapsed="false">
      <c r="A3230" s="0" t="s">
        <v>6898</v>
      </c>
      <c r="B3230" s="0" t="s">
        <v>6899</v>
      </c>
      <c r="C3230" s="0" t="n">
        <v>2.95</v>
      </c>
    </row>
    <row r="3231" customFormat="false" ht="15" hidden="false" customHeight="false" outlineLevel="0" collapsed="false">
      <c r="A3231" s="0" t="s">
        <v>6900</v>
      </c>
      <c r="B3231" s="0" t="s">
        <v>6901</v>
      </c>
      <c r="C3231" s="0" t="n">
        <v>2.1</v>
      </c>
    </row>
    <row r="3232" customFormat="false" ht="15" hidden="false" customHeight="false" outlineLevel="0" collapsed="false">
      <c r="A3232" s="0" t="s">
        <v>6902</v>
      </c>
      <c r="B3232" s="0" t="s">
        <v>6903</v>
      </c>
      <c r="C3232" s="0" t="n">
        <v>2.95</v>
      </c>
    </row>
    <row r="3233" customFormat="false" ht="15" hidden="false" customHeight="false" outlineLevel="0" collapsed="false">
      <c r="A3233" s="0" t="s">
        <v>6904</v>
      </c>
      <c r="B3233" s="0" t="s">
        <v>6905</v>
      </c>
      <c r="C3233" s="0" t="n">
        <v>2.51</v>
      </c>
    </row>
    <row r="3234" customFormat="false" ht="15" hidden="false" customHeight="false" outlineLevel="0" collapsed="false">
      <c r="A3234" s="0" t="s">
        <v>6906</v>
      </c>
      <c r="B3234" s="0" t="s">
        <v>6907</v>
      </c>
      <c r="C3234" s="0" t="n">
        <v>12.72</v>
      </c>
    </row>
    <row r="3235" customFormat="false" ht="15" hidden="false" customHeight="false" outlineLevel="0" collapsed="false">
      <c r="A3235" s="0" t="s">
        <v>6908</v>
      </c>
      <c r="B3235" s="0" t="s">
        <v>6909</v>
      </c>
      <c r="C3235" s="0" t="n">
        <v>1.66</v>
      </c>
    </row>
    <row r="3236" customFormat="false" ht="15" hidden="false" customHeight="false" outlineLevel="0" collapsed="false">
      <c r="A3236" s="0" t="s">
        <v>6910</v>
      </c>
      <c r="B3236" s="0" t="s">
        <v>6911</v>
      </c>
      <c r="C3236" s="0" t="n">
        <v>2.95</v>
      </c>
    </row>
    <row r="3237" customFormat="false" ht="15" hidden="false" customHeight="false" outlineLevel="0" collapsed="false">
      <c r="A3237" s="0" t="s">
        <v>6912</v>
      </c>
      <c r="B3237" s="0" t="s">
        <v>6913</v>
      </c>
      <c r="C3237" s="0" t="n">
        <v>2.95</v>
      </c>
    </row>
    <row r="3238" customFormat="false" ht="15" hidden="false" customHeight="false" outlineLevel="0" collapsed="false">
      <c r="A3238" s="0" t="s">
        <v>6914</v>
      </c>
      <c r="B3238" s="0" t="s">
        <v>736</v>
      </c>
      <c r="C3238" s="0" t="n">
        <v>2.95</v>
      </c>
    </row>
    <row r="3239" customFormat="false" ht="15" hidden="false" customHeight="false" outlineLevel="0" collapsed="false">
      <c r="A3239" s="0" t="s">
        <v>6915</v>
      </c>
      <c r="B3239" s="0" t="s">
        <v>439</v>
      </c>
      <c r="C3239" s="0" t="n">
        <v>2.95</v>
      </c>
    </row>
    <row r="3240" customFormat="false" ht="15" hidden="false" customHeight="false" outlineLevel="0" collapsed="false">
      <c r="A3240" s="0" t="s">
        <v>6916</v>
      </c>
      <c r="B3240" s="0" t="s">
        <v>743</v>
      </c>
      <c r="C3240" s="0" t="n">
        <v>2.51</v>
      </c>
    </row>
    <row r="3241" customFormat="false" ht="15" hidden="false" customHeight="false" outlineLevel="0" collapsed="false">
      <c r="A3241" s="0" t="s">
        <v>6917</v>
      </c>
      <c r="B3241" s="0" t="s">
        <v>6918</v>
      </c>
      <c r="C3241" s="0" t="n">
        <v>4.95</v>
      </c>
    </row>
    <row r="3242" customFormat="false" ht="15" hidden="false" customHeight="false" outlineLevel="0" collapsed="false">
      <c r="A3242" s="0" t="s">
        <v>6919</v>
      </c>
      <c r="B3242" s="0" t="s">
        <v>6920</v>
      </c>
      <c r="C3242" s="0" t="n">
        <v>4.25</v>
      </c>
    </row>
    <row r="3243" customFormat="false" ht="15" hidden="false" customHeight="false" outlineLevel="0" collapsed="false">
      <c r="A3243" s="0" t="s">
        <v>6921</v>
      </c>
      <c r="B3243" s="0" t="s">
        <v>6922</v>
      </c>
      <c r="C3243" s="0" t="n">
        <v>12.75</v>
      </c>
    </row>
    <row r="3244" customFormat="false" ht="15" hidden="false" customHeight="false" outlineLevel="0" collapsed="false">
      <c r="A3244" s="0" t="s">
        <v>6923</v>
      </c>
      <c r="B3244" s="0" t="s">
        <v>472</v>
      </c>
      <c r="C3244" s="0" t="n">
        <v>1.95</v>
      </c>
    </row>
    <row r="3245" customFormat="false" ht="15" hidden="false" customHeight="false" outlineLevel="0" collapsed="false">
      <c r="A3245" s="0" t="s">
        <v>6924</v>
      </c>
      <c r="B3245" s="0" t="s">
        <v>130</v>
      </c>
      <c r="C3245" s="0" t="n">
        <v>0.85</v>
      </c>
    </row>
    <row r="3246" customFormat="false" ht="15" hidden="false" customHeight="false" outlineLevel="0" collapsed="false">
      <c r="A3246" s="0" t="s">
        <v>6925</v>
      </c>
      <c r="B3246" s="0" t="s">
        <v>6926</v>
      </c>
      <c r="C3246" s="0" t="n">
        <v>1.25</v>
      </c>
    </row>
    <row r="3247" customFormat="false" ht="15" hidden="false" customHeight="false" outlineLevel="0" collapsed="false">
      <c r="A3247" s="0" t="s">
        <v>6927</v>
      </c>
      <c r="B3247" s="0" t="s">
        <v>104</v>
      </c>
      <c r="C3247" s="0" t="n">
        <v>1.25</v>
      </c>
    </row>
    <row r="3248" customFormat="false" ht="15" hidden="false" customHeight="false" outlineLevel="0" collapsed="false">
      <c r="A3248" s="0" t="s">
        <v>6928</v>
      </c>
      <c r="B3248" s="0" t="s">
        <v>6929</v>
      </c>
      <c r="C3248" s="0" t="n">
        <v>5.91</v>
      </c>
    </row>
    <row r="3249" customFormat="false" ht="15" hidden="false" customHeight="false" outlineLevel="0" collapsed="false">
      <c r="A3249" s="0" t="s">
        <v>6930</v>
      </c>
      <c r="B3249" s="0" t="s">
        <v>6931</v>
      </c>
      <c r="C3249" s="0" t="n">
        <v>12.75</v>
      </c>
    </row>
    <row r="3250" customFormat="false" ht="15" hidden="false" customHeight="false" outlineLevel="0" collapsed="false">
      <c r="A3250" s="0" t="s">
        <v>6932</v>
      </c>
      <c r="B3250" s="0" t="s">
        <v>6933</v>
      </c>
      <c r="C3250" s="0" t="n">
        <v>1.25</v>
      </c>
    </row>
    <row r="3251" customFormat="false" ht="15" hidden="false" customHeight="false" outlineLevel="0" collapsed="false">
      <c r="A3251" s="0" t="s">
        <v>6934</v>
      </c>
      <c r="B3251" s="0" t="s">
        <v>6935</v>
      </c>
      <c r="C3251" s="0" t="n">
        <v>5.95</v>
      </c>
    </row>
    <row r="3252" customFormat="false" ht="15" hidden="false" customHeight="false" outlineLevel="0" collapsed="false">
      <c r="A3252" s="0" t="s">
        <v>6936</v>
      </c>
      <c r="B3252" s="0" t="s">
        <v>6937</v>
      </c>
      <c r="C3252" s="0" t="n">
        <v>3.75</v>
      </c>
    </row>
    <row r="3253" customFormat="false" ht="15" hidden="false" customHeight="false" outlineLevel="0" collapsed="false">
      <c r="A3253" s="0" t="s">
        <v>6938</v>
      </c>
      <c r="B3253" s="0" t="s">
        <v>6939</v>
      </c>
      <c r="C3253" s="0" t="n">
        <v>5.45</v>
      </c>
    </row>
    <row r="3254" customFormat="false" ht="15" hidden="false" customHeight="false" outlineLevel="0" collapsed="false">
      <c r="A3254" s="0" t="s">
        <v>6940</v>
      </c>
      <c r="B3254" s="0" t="s">
        <v>6941</v>
      </c>
      <c r="C3254" s="0" t="n">
        <v>4.95</v>
      </c>
    </row>
    <row r="3255" customFormat="false" ht="15" hidden="false" customHeight="false" outlineLevel="0" collapsed="false">
      <c r="A3255" s="0" t="s">
        <v>6942</v>
      </c>
      <c r="B3255" s="0" t="s">
        <v>6943</v>
      </c>
      <c r="C3255" s="0" t="n">
        <v>4.25</v>
      </c>
    </row>
    <row r="3256" customFormat="false" ht="15" hidden="false" customHeight="false" outlineLevel="0" collapsed="false">
      <c r="A3256" s="0" t="s">
        <v>6944</v>
      </c>
      <c r="B3256" s="0" t="s">
        <v>6945</v>
      </c>
      <c r="C3256" s="0" t="n">
        <v>6.35</v>
      </c>
    </row>
    <row r="3257" customFormat="false" ht="15" hidden="false" customHeight="false" outlineLevel="0" collapsed="false">
      <c r="A3257" s="0" t="s">
        <v>6946</v>
      </c>
      <c r="B3257" s="0" t="s">
        <v>45</v>
      </c>
      <c r="C3257" s="0" t="n">
        <v>1.25</v>
      </c>
    </row>
    <row r="3258" customFormat="false" ht="15" hidden="false" customHeight="false" outlineLevel="0" collapsed="false">
      <c r="A3258" s="0" t="s">
        <v>6947</v>
      </c>
      <c r="B3258" s="0" t="s">
        <v>6948</v>
      </c>
      <c r="C3258" s="0" t="n">
        <v>1.65</v>
      </c>
    </row>
    <row r="3259" customFormat="false" ht="15" hidden="false" customHeight="false" outlineLevel="0" collapsed="false">
      <c r="A3259" s="0" t="s">
        <v>6949</v>
      </c>
      <c r="B3259" s="0" t="s">
        <v>6950</v>
      </c>
      <c r="C3259" s="0" t="n">
        <v>5.45</v>
      </c>
    </row>
    <row r="3260" customFormat="false" ht="15" hidden="false" customHeight="false" outlineLevel="0" collapsed="false">
      <c r="A3260" s="0" t="s">
        <v>6951</v>
      </c>
      <c r="B3260" s="0" t="s">
        <v>6952</v>
      </c>
      <c r="C3260" s="0" t="n">
        <v>0.85</v>
      </c>
    </row>
    <row r="3261" customFormat="false" ht="15" hidden="false" customHeight="false" outlineLevel="0" collapsed="false">
      <c r="A3261" s="0" t="s">
        <v>6953</v>
      </c>
      <c r="B3261" s="0" t="s">
        <v>6954</v>
      </c>
      <c r="C3261" s="0" t="n">
        <v>0.85</v>
      </c>
    </row>
    <row r="3262" customFormat="false" ht="15" hidden="false" customHeight="false" outlineLevel="0" collapsed="false">
      <c r="A3262" s="0" t="s">
        <v>6955</v>
      </c>
      <c r="B3262" s="0" t="s">
        <v>6956</v>
      </c>
      <c r="C3262" s="0" t="n">
        <v>12.75</v>
      </c>
    </row>
    <row r="3263" customFormat="false" ht="15" hidden="false" customHeight="false" outlineLevel="0" collapsed="false">
      <c r="A3263" s="0" t="s">
        <v>6957</v>
      </c>
      <c r="B3263" s="0" t="s">
        <v>6958</v>
      </c>
      <c r="C3263" s="0" t="n">
        <v>6.35</v>
      </c>
    </row>
    <row r="3264" customFormat="false" ht="15" hidden="false" customHeight="false" outlineLevel="0" collapsed="false">
      <c r="A3264" s="0" t="s">
        <v>6959</v>
      </c>
      <c r="B3264" s="0" t="s">
        <v>6960</v>
      </c>
      <c r="C3264" s="0" t="n">
        <v>4.65</v>
      </c>
    </row>
    <row r="3265" customFormat="false" ht="15" hidden="false" customHeight="false" outlineLevel="0" collapsed="false">
      <c r="A3265" s="0" t="s">
        <v>6961</v>
      </c>
      <c r="B3265" s="0" t="s">
        <v>6962</v>
      </c>
      <c r="C3265" s="0" t="n">
        <v>24.95</v>
      </c>
    </row>
    <row r="3266" customFormat="false" ht="15" hidden="false" customHeight="false" outlineLevel="0" collapsed="false">
      <c r="A3266" s="0" t="s">
        <v>6963</v>
      </c>
      <c r="B3266" s="0" t="s">
        <v>6964</v>
      </c>
      <c r="C3266" s="0" t="n">
        <v>24.95</v>
      </c>
    </row>
    <row r="3267" customFormat="false" ht="15" hidden="false" customHeight="false" outlineLevel="0" collapsed="false">
      <c r="A3267" s="0" t="s">
        <v>6965</v>
      </c>
      <c r="B3267" s="0" t="s">
        <v>6966</v>
      </c>
      <c r="C3267" s="0" t="n">
        <v>1.45</v>
      </c>
    </row>
    <row r="3268" customFormat="false" ht="15" hidden="false" customHeight="false" outlineLevel="0" collapsed="false">
      <c r="A3268" s="0" t="s">
        <v>6967</v>
      </c>
      <c r="B3268" s="0" t="s">
        <v>6968</v>
      </c>
      <c r="C3268" s="0" t="n">
        <v>1.45</v>
      </c>
    </row>
    <row r="3269" customFormat="false" ht="15" hidden="false" customHeight="false" outlineLevel="0" collapsed="false">
      <c r="A3269" s="0" t="s">
        <v>6969</v>
      </c>
      <c r="B3269" s="0" t="s">
        <v>525</v>
      </c>
      <c r="C3269" s="0" t="n">
        <v>1.45</v>
      </c>
    </row>
    <row r="3270" customFormat="false" ht="15" hidden="false" customHeight="false" outlineLevel="0" collapsed="false">
      <c r="A3270" s="0" t="s">
        <v>6970</v>
      </c>
      <c r="B3270" s="0" t="s">
        <v>6971</v>
      </c>
      <c r="C3270" s="0" t="n">
        <v>1.45</v>
      </c>
    </row>
    <row r="3271" customFormat="false" ht="15" hidden="false" customHeight="false" outlineLevel="0" collapsed="false">
      <c r="A3271" s="0" t="s">
        <v>6972</v>
      </c>
      <c r="B3271" s="0" t="s">
        <v>6973</v>
      </c>
      <c r="C3271" s="0" t="n">
        <v>1.45</v>
      </c>
    </row>
    <row r="3272" customFormat="false" ht="15" hidden="false" customHeight="false" outlineLevel="0" collapsed="false">
      <c r="A3272" s="0" t="s">
        <v>6974</v>
      </c>
      <c r="B3272" s="0" t="s">
        <v>6975</v>
      </c>
      <c r="C3272" s="0" t="n">
        <v>7.62</v>
      </c>
    </row>
    <row r="3273" customFormat="false" ht="15" hidden="false" customHeight="false" outlineLevel="0" collapsed="false">
      <c r="A3273" s="0" t="s">
        <v>6976</v>
      </c>
      <c r="B3273" s="0" t="s">
        <v>6977</v>
      </c>
      <c r="C3273" s="0" t="n">
        <v>12.75</v>
      </c>
    </row>
    <row r="3274" customFormat="false" ht="15" hidden="false" customHeight="false" outlineLevel="0" collapsed="false">
      <c r="A3274" s="0" t="s">
        <v>6978</v>
      </c>
      <c r="B3274" s="0" t="s">
        <v>6979</v>
      </c>
      <c r="C3274" s="0" t="n">
        <v>3.75</v>
      </c>
    </row>
    <row r="3275" customFormat="false" ht="15" hidden="false" customHeight="false" outlineLevel="0" collapsed="false">
      <c r="A3275" s="0" t="s">
        <v>6980</v>
      </c>
      <c r="B3275" s="0" t="s">
        <v>311</v>
      </c>
      <c r="C3275" s="0" t="n">
        <v>1.25</v>
      </c>
    </row>
    <row r="3276" customFormat="false" ht="15" hidden="false" customHeight="false" outlineLevel="0" collapsed="false">
      <c r="A3276" s="0" t="s">
        <v>6981</v>
      </c>
      <c r="B3276" s="0" t="s">
        <v>6982</v>
      </c>
      <c r="C3276" s="0" t="n">
        <v>3.75</v>
      </c>
    </row>
    <row r="3277" customFormat="false" ht="15" hidden="false" customHeight="false" outlineLevel="0" collapsed="false">
      <c r="A3277" s="0" t="s">
        <v>6983</v>
      </c>
      <c r="B3277" s="0" t="s">
        <v>831</v>
      </c>
      <c r="C3277" s="0" t="n">
        <v>3.75</v>
      </c>
    </row>
    <row r="3278" customFormat="false" ht="15" hidden="false" customHeight="false" outlineLevel="0" collapsed="false">
      <c r="A3278" s="0" t="s">
        <v>6983</v>
      </c>
      <c r="B3278" s="0" t="s">
        <v>824</v>
      </c>
      <c r="C3278" s="0" t="n">
        <v>3.75</v>
      </c>
    </row>
    <row r="3279" customFormat="false" ht="15" hidden="false" customHeight="false" outlineLevel="0" collapsed="false">
      <c r="A3279" s="0" t="s">
        <v>6984</v>
      </c>
      <c r="B3279" s="0" t="s">
        <v>6985</v>
      </c>
      <c r="C3279" s="0" t="n">
        <v>1.25</v>
      </c>
    </row>
    <row r="3280" customFormat="false" ht="15" hidden="false" customHeight="false" outlineLevel="0" collapsed="false">
      <c r="A3280" s="0" t="s">
        <v>6986</v>
      </c>
      <c r="B3280" s="0" t="s">
        <v>6987</v>
      </c>
      <c r="C3280" s="0" t="n">
        <v>2.51</v>
      </c>
    </row>
    <row r="3281" customFormat="false" ht="15" hidden="false" customHeight="false" outlineLevel="0" collapsed="false">
      <c r="A3281" s="0" t="s">
        <v>6988</v>
      </c>
      <c r="B3281" s="0" t="s">
        <v>6989</v>
      </c>
      <c r="C3281" s="0" t="n">
        <v>2.55</v>
      </c>
    </row>
    <row r="3282" customFormat="false" ht="15" hidden="false" customHeight="false" outlineLevel="0" collapsed="false">
      <c r="A3282" s="0" t="s">
        <v>6990</v>
      </c>
      <c r="B3282" s="0" t="s">
        <v>6991</v>
      </c>
      <c r="C3282" s="0" t="n">
        <v>2.55</v>
      </c>
    </row>
    <row r="3283" customFormat="false" ht="15" hidden="false" customHeight="false" outlineLevel="0" collapsed="false">
      <c r="A3283" s="0" t="s">
        <v>6992</v>
      </c>
      <c r="B3283" s="0" t="s">
        <v>6993</v>
      </c>
      <c r="C3283" s="0" t="n">
        <v>2.55</v>
      </c>
    </row>
    <row r="3284" customFormat="false" ht="15" hidden="false" customHeight="false" outlineLevel="0" collapsed="false">
      <c r="A3284" s="0" t="s">
        <v>6994</v>
      </c>
      <c r="B3284" s="0" t="s">
        <v>6995</v>
      </c>
      <c r="C3284" s="0" t="n">
        <v>2.55</v>
      </c>
    </row>
    <row r="3285" customFormat="false" ht="15" hidden="false" customHeight="false" outlineLevel="0" collapsed="false">
      <c r="A3285" s="0" t="s">
        <v>6996</v>
      </c>
      <c r="B3285" s="0" t="s">
        <v>6997</v>
      </c>
      <c r="C3285" s="0" t="n">
        <v>2.55</v>
      </c>
    </row>
    <row r="3286" customFormat="false" ht="15" hidden="false" customHeight="false" outlineLevel="0" collapsed="false">
      <c r="A3286" s="0" t="s">
        <v>6998</v>
      </c>
      <c r="B3286" s="0" t="s">
        <v>6999</v>
      </c>
      <c r="C3286" s="0" t="n">
        <v>2.55</v>
      </c>
    </row>
    <row r="3287" customFormat="false" ht="15" hidden="false" customHeight="false" outlineLevel="0" collapsed="false">
      <c r="A3287" s="0" t="s">
        <v>7000</v>
      </c>
      <c r="B3287" s="0" t="s">
        <v>7001</v>
      </c>
      <c r="C3287" s="0" t="n">
        <v>2.55</v>
      </c>
    </row>
    <row r="3288" customFormat="false" ht="15" hidden="false" customHeight="false" outlineLevel="0" collapsed="false">
      <c r="A3288" s="0" t="s">
        <v>7002</v>
      </c>
      <c r="B3288" s="0" t="s">
        <v>7003</v>
      </c>
      <c r="C3288" s="0" t="n">
        <v>1.25</v>
      </c>
    </row>
    <row r="3289" customFormat="false" ht="15" hidden="false" customHeight="false" outlineLevel="0" collapsed="false">
      <c r="A3289" s="0" t="s">
        <v>7004</v>
      </c>
      <c r="B3289" s="0" t="s">
        <v>7005</v>
      </c>
      <c r="C3289" s="0" t="n">
        <v>3.75</v>
      </c>
    </row>
    <row r="3290" customFormat="false" ht="15" hidden="false" customHeight="false" outlineLevel="0" collapsed="false">
      <c r="A3290" s="0" t="s">
        <v>7006</v>
      </c>
      <c r="B3290" s="0" t="s">
        <v>7007</v>
      </c>
      <c r="C3290" s="0" t="n">
        <v>2.55</v>
      </c>
    </row>
    <row r="3291" customFormat="false" ht="15" hidden="false" customHeight="false" outlineLevel="0" collapsed="false">
      <c r="A3291" s="0" t="s">
        <v>7008</v>
      </c>
      <c r="B3291" s="0" t="s">
        <v>7009</v>
      </c>
      <c r="C3291" s="0" t="n">
        <v>1.25</v>
      </c>
    </row>
    <row r="3292" customFormat="false" ht="15" hidden="false" customHeight="false" outlineLevel="0" collapsed="false">
      <c r="A3292" s="0" t="s">
        <v>7010</v>
      </c>
      <c r="B3292" s="0" t="s">
        <v>460</v>
      </c>
      <c r="C3292" s="0" t="n">
        <v>0.85</v>
      </c>
    </row>
    <row r="3293" customFormat="false" ht="15" hidden="false" customHeight="false" outlineLevel="0" collapsed="false">
      <c r="A3293" s="0" t="s">
        <v>7011</v>
      </c>
      <c r="B3293" s="0" t="s">
        <v>7012</v>
      </c>
      <c r="C3293" s="0" t="n">
        <v>1.25</v>
      </c>
    </row>
    <row r="3294" customFormat="false" ht="15" hidden="false" customHeight="false" outlineLevel="0" collapsed="false">
      <c r="A3294" s="0" t="s">
        <v>7013</v>
      </c>
      <c r="B3294" s="0" t="s">
        <v>7014</v>
      </c>
      <c r="C3294" s="0" t="n">
        <v>2.57</v>
      </c>
    </row>
    <row r="3295" customFormat="false" ht="15" hidden="false" customHeight="false" outlineLevel="0" collapsed="false">
      <c r="A3295" s="0" t="s">
        <v>7015</v>
      </c>
      <c r="B3295" s="0" t="s">
        <v>7016</v>
      </c>
      <c r="C3295" s="0" t="n">
        <v>2.95</v>
      </c>
    </row>
    <row r="3296" customFormat="false" ht="15" hidden="false" customHeight="false" outlineLevel="0" collapsed="false">
      <c r="A3296" s="0" t="s">
        <v>7017</v>
      </c>
      <c r="B3296" s="0" t="s">
        <v>176</v>
      </c>
      <c r="C3296" s="0" t="n">
        <v>1.25</v>
      </c>
    </row>
    <row r="3297" customFormat="false" ht="15" hidden="false" customHeight="false" outlineLevel="0" collapsed="false">
      <c r="A3297" s="0" t="s">
        <v>7018</v>
      </c>
      <c r="B3297" s="0" t="s">
        <v>7019</v>
      </c>
      <c r="C3297" s="0" t="n">
        <v>1.25</v>
      </c>
    </row>
    <row r="3298" customFormat="false" ht="15" hidden="false" customHeight="false" outlineLevel="0" collapsed="false">
      <c r="A3298" s="0" t="s">
        <v>7020</v>
      </c>
      <c r="B3298" s="0" t="s">
        <v>7021</v>
      </c>
      <c r="C3298" s="0" t="n">
        <v>2.95</v>
      </c>
    </row>
    <row r="3299" customFormat="false" ht="15" hidden="false" customHeight="false" outlineLevel="0" collapsed="false">
      <c r="A3299" s="0" t="s">
        <v>7022</v>
      </c>
      <c r="B3299" s="0" t="s">
        <v>7023</v>
      </c>
      <c r="C3299" s="0" t="n">
        <v>4.25</v>
      </c>
    </row>
    <row r="3300" customFormat="false" ht="15" hidden="false" customHeight="false" outlineLevel="0" collapsed="false">
      <c r="A3300" s="0" t="s">
        <v>7024</v>
      </c>
      <c r="B3300" s="0" t="s">
        <v>67</v>
      </c>
      <c r="C3300" s="0" t="n">
        <v>2.55</v>
      </c>
    </row>
    <row r="3301" customFormat="false" ht="15" hidden="false" customHeight="false" outlineLevel="0" collapsed="false">
      <c r="A3301" s="0" t="s">
        <v>7025</v>
      </c>
      <c r="B3301" s="0" t="s">
        <v>362</v>
      </c>
      <c r="C3301" s="0" t="n">
        <v>3.75</v>
      </c>
    </row>
    <row r="3302" customFormat="false" ht="15" hidden="false" customHeight="false" outlineLevel="0" collapsed="false">
      <c r="A3302" s="0" t="s">
        <v>7026</v>
      </c>
      <c r="B3302" s="0" t="s">
        <v>301</v>
      </c>
      <c r="C3302" s="0" t="n">
        <v>3.95</v>
      </c>
    </row>
    <row r="3303" customFormat="false" ht="15" hidden="false" customHeight="false" outlineLevel="0" collapsed="false">
      <c r="A3303" s="0" t="s">
        <v>7027</v>
      </c>
      <c r="B3303" s="0" t="s">
        <v>7028</v>
      </c>
      <c r="C3303" s="0" t="n">
        <v>1.25</v>
      </c>
    </row>
    <row r="3304" customFormat="false" ht="15" hidden="false" customHeight="false" outlineLevel="0" collapsed="false">
      <c r="A3304" s="0" t="s">
        <v>7029</v>
      </c>
      <c r="B3304" s="0" t="s">
        <v>7030</v>
      </c>
      <c r="C3304" s="0" t="n">
        <v>5.91</v>
      </c>
    </row>
    <row r="3305" customFormat="false" ht="15" hidden="false" customHeight="false" outlineLevel="0" collapsed="false">
      <c r="A3305" s="0" t="s">
        <v>7031</v>
      </c>
      <c r="B3305" s="0" t="s">
        <v>7032</v>
      </c>
      <c r="C3305" s="0" t="n">
        <v>2.95</v>
      </c>
    </row>
    <row r="3306" customFormat="false" ht="15" hidden="false" customHeight="false" outlineLevel="0" collapsed="false">
      <c r="A3306" s="0" t="s">
        <v>7033</v>
      </c>
      <c r="B3306" s="0" t="s">
        <v>7034</v>
      </c>
      <c r="C3306" s="0" t="n">
        <v>2.95</v>
      </c>
    </row>
    <row r="3307" customFormat="false" ht="15" hidden="false" customHeight="false" outlineLevel="0" collapsed="false">
      <c r="A3307" s="0" t="s">
        <v>7035</v>
      </c>
      <c r="B3307" s="0" t="s">
        <v>7036</v>
      </c>
      <c r="C3307" s="0" t="n">
        <v>2.95</v>
      </c>
    </row>
    <row r="3308" customFormat="false" ht="15" hidden="false" customHeight="false" outlineLevel="0" collapsed="false">
      <c r="A3308" s="0" t="s">
        <v>7037</v>
      </c>
      <c r="B3308" s="0" t="s">
        <v>878</v>
      </c>
      <c r="C3308" s="0" t="n">
        <v>2.95</v>
      </c>
    </row>
    <row r="3309" customFormat="false" ht="15" hidden="false" customHeight="false" outlineLevel="0" collapsed="false">
      <c r="A3309" s="0" t="s">
        <v>7038</v>
      </c>
      <c r="B3309" s="0" t="s">
        <v>7039</v>
      </c>
      <c r="C3309" s="0" t="n">
        <v>2.95</v>
      </c>
    </row>
    <row r="3310" customFormat="false" ht="15" hidden="false" customHeight="false" outlineLevel="0" collapsed="false">
      <c r="A3310" s="0" t="s">
        <v>7040</v>
      </c>
      <c r="B3310" s="0" t="s">
        <v>7041</v>
      </c>
      <c r="C3310" s="0" t="n">
        <v>2.51</v>
      </c>
    </row>
    <row r="3311" customFormat="false" ht="15" hidden="false" customHeight="false" outlineLevel="0" collapsed="false">
      <c r="A3311" s="0" t="s">
        <v>7042</v>
      </c>
      <c r="B3311" s="0" t="s">
        <v>7043</v>
      </c>
      <c r="C3311" s="0" t="n">
        <v>1.45</v>
      </c>
    </row>
    <row r="3312" customFormat="false" ht="15" hidden="false" customHeight="false" outlineLevel="0" collapsed="false">
      <c r="A3312" s="0" t="s">
        <v>7044</v>
      </c>
      <c r="B3312" s="0" t="s">
        <v>7045</v>
      </c>
      <c r="C3312" s="0" t="n">
        <v>1.45</v>
      </c>
    </row>
    <row r="3313" customFormat="false" ht="15" hidden="false" customHeight="false" outlineLevel="0" collapsed="false">
      <c r="A3313" s="0" t="s">
        <v>7046</v>
      </c>
      <c r="B3313" s="0" t="s">
        <v>7047</v>
      </c>
      <c r="C3313" s="0" t="n">
        <v>1.45</v>
      </c>
    </row>
    <row r="3314" customFormat="false" ht="15" hidden="false" customHeight="false" outlineLevel="0" collapsed="false">
      <c r="A3314" s="0" t="s">
        <v>7048</v>
      </c>
      <c r="B3314" s="0" t="s">
        <v>7049</v>
      </c>
      <c r="C3314" s="0" t="n">
        <v>1.45</v>
      </c>
    </row>
    <row r="3315" customFormat="false" ht="15" hidden="false" customHeight="false" outlineLevel="0" collapsed="false">
      <c r="A3315" s="0" t="s">
        <v>7050</v>
      </c>
      <c r="B3315" s="0" t="s">
        <v>836</v>
      </c>
      <c r="C3315" s="0" t="n">
        <v>1.45</v>
      </c>
    </row>
    <row r="3316" customFormat="false" ht="15" hidden="false" customHeight="false" outlineLevel="0" collapsed="false">
      <c r="A3316" s="0" t="s">
        <v>7051</v>
      </c>
      <c r="B3316" s="0" t="s">
        <v>7052</v>
      </c>
      <c r="C3316" s="0" t="n">
        <v>1.45</v>
      </c>
    </row>
    <row r="3317" customFormat="false" ht="15" hidden="false" customHeight="false" outlineLevel="0" collapsed="false">
      <c r="A3317" s="0" t="s">
        <v>7053</v>
      </c>
      <c r="B3317" s="0" t="s">
        <v>452</v>
      </c>
      <c r="C3317" s="0" t="n">
        <v>0.85</v>
      </c>
    </row>
    <row r="3318" customFormat="false" ht="15" hidden="false" customHeight="false" outlineLevel="0" collapsed="false">
      <c r="A3318" s="0" t="s">
        <v>7054</v>
      </c>
      <c r="B3318" s="0" t="s">
        <v>88</v>
      </c>
      <c r="C3318" s="0" t="n">
        <v>1.25</v>
      </c>
    </row>
    <row r="3319" customFormat="false" ht="15" hidden="false" customHeight="false" outlineLevel="0" collapsed="false">
      <c r="A3319" s="0" t="s">
        <v>7055</v>
      </c>
      <c r="B3319" s="0" t="s">
        <v>7056</v>
      </c>
      <c r="C3319" s="0" t="n">
        <v>2.95</v>
      </c>
    </row>
    <row r="3320" customFormat="false" ht="15" hidden="false" customHeight="false" outlineLevel="0" collapsed="false">
      <c r="A3320" s="0" t="s">
        <v>7057</v>
      </c>
      <c r="B3320" s="0" t="s">
        <v>7058</v>
      </c>
      <c r="C3320" s="0" t="n">
        <v>2.95</v>
      </c>
    </row>
    <row r="3321" customFormat="false" ht="15" hidden="false" customHeight="false" outlineLevel="0" collapsed="false">
      <c r="A3321" s="0" t="s">
        <v>7059</v>
      </c>
      <c r="B3321" s="0" t="s">
        <v>7060</v>
      </c>
      <c r="C3321" s="0" t="n">
        <v>1.49</v>
      </c>
    </row>
    <row r="3322" customFormat="false" ht="15" hidden="false" customHeight="false" outlineLevel="0" collapsed="false">
      <c r="A3322" s="0" t="s">
        <v>7061</v>
      </c>
      <c r="B3322" s="0" t="s">
        <v>7062</v>
      </c>
      <c r="C3322" s="0" t="n">
        <v>1.25</v>
      </c>
    </row>
    <row r="3323" customFormat="false" ht="15" hidden="false" customHeight="false" outlineLevel="0" collapsed="false">
      <c r="A3323" s="0" t="s">
        <v>7063</v>
      </c>
      <c r="B3323" s="0" t="s">
        <v>7064</v>
      </c>
      <c r="C3323" s="0" t="n">
        <v>0.85</v>
      </c>
    </row>
    <row r="3324" customFormat="false" ht="15" hidden="false" customHeight="false" outlineLevel="0" collapsed="false">
      <c r="A3324" s="0" t="s">
        <v>7065</v>
      </c>
      <c r="B3324" s="0" t="s">
        <v>7066</v>
      </c>
      <c r="C3324" s="0" t="n">
        <v>2.95</v>
      </c>
    </row>
    <row r="3325" customFormat="false" ht="15" hidden="false" customHeight="false" outlineLevel="0" collapsed="false">
      <c r="A3325" s="0" t="s">
        <v>7067</v>
      </c>
      <c r="B3325" s="0" t="s">
        <v>7068</v>
      </c>
      <c r="C3325" s="0" t="n">
        <v>1.95</v>
      </c>
    </row>
    <row r="3326" customFormat="false" ht="15" hidden="false" customHeight="false" outlineLevel="0" collapsed="false">
      <c r="A3326" s="0" t="s">
        <v>7069</v>
      </c>
      <c r="B3326" s="0" t="s">
        <v>7070</v>
      </c>
      <c r="C3326" s="0" t="n">
        <v>1.95</v>
      </c>
    </row>
    <row r="3327" customFormat="false" ht="15" hidden="false" customHeight="false" outlineLevel="0" collapsed="false">
      <c r="A3327" s="0" t="s">
        <v>7071</v>
      </c>
      <c r="B3327" s="0" t="s">
        <v>889</v>
      </c>
      <c r="C3327" s="0" t="n">
        <v>1.25</v>
      </c>
    </row>
    <row r="3328" customFormat="false" ht="15" hidden="false" customHeight="false" outlineLevel="0" collapsed="false">
      <c r="A3328" s="0" t="s">
        <v>7072</v>
      </c>
      <c r="B3328" s="0" t="s">
        <v>7073</v>
      </c>
      <c r="C3328" s="0" t="n">
        <v>1.25</v>
      </c>
    </row>
    <row r="3329" customFormat="false" ht="15" hidden="false" customHeight="false" outlineLevel="0" collapsed="false">
      <c r="A3329" s="0" t="s">
        <v>7074</v>
      </c>
      <c r="B3329" s="0" t="s">
        <v>890</v>
      </c>
      <c r="C3329" s="0" t="n">
        <v>1.25</v>
      </c>
    </row>
    <row r="3330" customFormat="false" ht="15" hidden="false" customHeight="false" outlineLevel="0" collapsed="false">
      <c r="A3330" s="0" t="s">
        <v>7075</v>
      </c>
      <c r="B3330" s="0" t="s">
        <v>532</v>
      </c>
      <c r="C3330" s="0" t="n">
        <v>1.25</v>
      </c>
    </row>
    <row r="3331" customFormat="false" ht="15" hidden="false" customHeight="false" outlineLevel="0" collapsed="false">
      <c r="A3331" s="0" t="s">
        <v>7076</v>
      </c>
      <c r="B3331" s="0" t="s">
        <v>7077</v>
      </c>
      <c r="C3331" s="0" t="n">
        <v>2.1</v>
      </c>
    </row>
    <row r="3332" customFormat="false" ht="15" hidden="false" customHeight="false" outlineLevel="0" collapsed="false">
      <c r="A3332" s="0" t="s">
        <v>7078</v>
      </c>
      <c r="B3332" s="0" t="s">
        <v>7079</v>
      </c>
      <c r="C3332" s="0" t="n">
        <v>0.85</v>
      </c>
    </row>
    <row r="3333" customFormat="false" ht="15" hidden="false" customHeight="false" outlineLevel="0" collapsed="false">
      <c r="A3333" s="0" t="s">
        <v>7080</v>
      </c>
      <c r="B3333" s="0" t="s">
        <v>7081</v>
      </c>
      <c r="C3333" s="0" t="n">
        <v>0.42</v>
      </c>
    </row>
    <row r="3334" customFormat="false" ht="15" hidden="false" customHeight="false" outlineLevel="0" collapsed="false">
      <c r="A3334" s="0" t="s">
        <v>7082</v>
      </c>
      <c r="B3334" s="0" t="s">
        <v>7083</v>
      </c>
      <c r="C3334" s="0" t="n">
        <v>1.95</v>
      </c>
    </row>
    <row r="3335" customFormat="false" ht="15" hidden="false" customHeight="false" outlineLevel="0" collapsed="false">
      <c r="A3335" s="0" t="s">
        <v>7084</v>
      </c>
      <c r="B3335" s="0" t="s">
        <v>443</v>
      </c>
      <c r="C3335" s="0" t="n">
        <v>2.95</v>
      </c>
    </row>
    <row r="3336" customFormat="false" ht="15" hidden="false" customHeight="false" outlineLevel="0" collapsed="false">
      <c r="A3336" s="0" t="s">
        <v>7085</v>
      </c>
      <c r="B3336" s="0" t="s">
        <v>7086</v>
      </c>
      <c r="C3336" s="0" t="n">
        <v>2.55</v>
      </c>
    </row>
    <row r="3337" customFormat="false" ht="15" hidden="false" customHeight="false" outlineLevel="0" collapsed="false">
      <c r="A3337" s="0" t="s">
        <v>7087</v>
      </c>
      <c r="B3337" s="0" t="s">
        <v>7088</v>
      </c>
      <c r="C3337" s="0" t="n">
        <v>2.55</v>
      </c>
    </row>
    <row r="3338" customFormat="false" ht="15" hidden="false" customHeight="false" outlineLevel="0" collapsed="false">
      <c r="A3338" s="0" t="s">
        <v>7089</v>
      </c>
      <c r="B3338" s="0" t="s">
        <v>7090</v>
      </c>
      <c r="C3338" s="0" t="n">
        <v>0.85</v>
      </c>
    </row>
    <row r="3339" customFormat="false" ht="15" hidden="false" customHeight="false" outlineLevel="0" collapsed="false">
      <c r="A3339" s="0" t="s">
        <v>7091</v>
      </c>
      <c r="B3339" s="0" t="s">
        <v>7092</v>
      </c>
      <c r="C3339" s="0" t="n">
        <v>0.85</v>
      </c>
    </row>
    <row r="3340" customFormat="false" ht="15" hidden="false" customHeight="false" outlineLevel="0" collapsed="false">
      <c r="A3340" s="0" t="s">
        <v>7093</v>
      </c>
      <c r="B3340" s="0" t="s">
        <v>7094</v>
      </c>
      <c r="C3340" s="0" t="n">
        <v>0.85</v>
      </c>
    </row>
    <row r="3341" customFormat="false" ht="15" hidden="false" customHeight="false" outlineLevel="0" collapsed="false">
      <c r="A3341" s="0" t="s">
        <v>7095</v>
      </c>
      <c r="B3341" s="0" t="s">
        <v>450</v>
      </c>
      <c r="C3341" s="0" t="n">
        <v>0.85</v>
      </c>
    </row>
    <row r="3342" customFormat="false" ht="15" hidden="false" customHeight="false" outlineLevel="0" collapsed="false">
      <c r="A3342" s="0" t="s">
        <v>7096</v>
      </c>
      <c r="B3342" s="0" t="s">
        <v>7097</v>
      </c>
      <c r="C3342" s="0" t="n">
        <v>0.85</v>
      </c>
    </row>
    <row r="3343" customFormat="false" ht="15" hidden="false" customHeight="false" outlineLevel="0" collapsed="false">
      <c r="A3343" s="0" t="s">
        <v>7098</v>
      </c>
      <c r="B3343" s="0" t="s">
        <v>7099</v>
      </c>
      <c r="C3343" s="0" t="n">
        <v>0.85</v>
      </c>
    </row>
    <row r="3344" customFormat="false" ht="15" hidden="false" customHeight="false" outlineLevel="0" collapsed="false">
      <c r="A3344" s="0" t="s">
        <v>7100</v>
      </c>
      <c r="B3344" s="0" t="s">
        <v>7101</v>
      </c>
      <c r="C3344" s="0" t="n">
        <v>1.25</v>
      </c>
    </row>
    <row r="3345" customFormat="false" ht="15" hidden="false" customHeight="false" outlineLevel="0" collapsed="false">
      <c r="A3345" s="0" t="s">
        <v>7102</v>
      </c>
      <c r="B3345" s="0" t="s">
        <v>7103</v>
      </c>
      <c r="C3345" s="0" t="n">
        <v>59.95</v>
      </c>
    </row>
    <row r="3346" customFormat="false" ht="15" hidden="false" customHeight="false" outlineLevel="0" collapsed="false">
      <c r="A3346" s="0" t="s">
        <v>7104</v>
      </c>
      <c r="B3346" s="0" t="s">
        <v>772</v>
      </c>
      <c r="C3346" s="0" t="n">
        <v>4.95</v>
      </c>
    </row>
    <row r="3347" customFormat="false" ht="15" hidden="false" customHeight="false" outlineLevel="0" collapsed="false">
      <c r="A3347" s="0" t="s">
        <v>7105</v>
      </c>
      <c r="B3347" s="0" t="s">
        <v>7106</v>
      </c>
      <c r="C3347" s="0" t="n">
        <v>7.95</v>
      </c>
    </row>
    <row r="3348" customFormat="false" ht="15" hidden="false" customHeight="false" outlineLevel="0" collapsed="false">
      <c r="A3348" s="0" t="s">
        <v>7107</v>
      </c>
      <c r="B3348" s="0" t="s">
        <v>7108</v>
      </c>
      <c r="C3348" s="0" t="n">
        <v>4.25</v>
      </c>
    </row>
    <row r="3349" customFormat="false" ht="15" hidden="false" customHeight="false" outlineLevel="0" collapsed="false">
      <c r="A3349" s="0" t="s">
        <v>7109</v>
      </c>
      <c r="B3349" s="0" t="s">
        <v>7110</v>
      </c>
      <c r="C3349" s="0" t="n">
        <v>4.95</v>
      </c>
    </row>
    <row r="3350" customFormat="false" ht="15" hidden="false" customHeight="false" outlineLevel="0" collapsed="false">
      <c r="A3350" s="0" t="s">
        <v>7111</v>
      </c>
      <c r="B3350" s="0" t="s">
        <v>7112</v>
      </c>
      <c r="C3350" s="0" t="n">
        <v>5.45</v>
      </c>
    </row>
    <row r="3351" customFormat="false" ht="15" hidden="false" customHeight="false" outlineLevel="0" collapsed="false">
      <c r="A3351" s="0" t="s">
        <v>7113</v>
      </c>
      <c r="B3351" s="0" t="s">
        <v>7114</v>
      </c>
      <c r="C3351" s="0" t="n">
        <v>0.85</v>
      </c>
    </row>
    <row r="3352" customFormat="false" ht="15" hidden="false" customHeight="false" outlineLevel="0" collapsed="false">
      <c r="A3352" s="0" t="s">
        <v>7115</v>
      </c>
      <c r="B3352" s="0" t="s">
        <v>470</v>
      </c>
      <c r="C3352" s="0" t="n">
        <v>3.75</v>
      </c>
    </row>
    <row r="3353" customFormat="false" ht="15" hidden="false" customHeight="false" outlineLevel="0" collapsed="false">
      <c r="A3353" s="0" t="s">
        <v>7116</v>
      </c>
      <c r="B3353" s="0" t="s">
        <v>7117</v>
      </c>
      <c r="C3353" s="0" t="n">
        <v>4.25</v>
      </c>
    </row>
    <row r="3354" customFormat="false" ht="15" hidden="false" customHeight="false" outlineLevel="0" collapsed="false">
      <c r="A3354" s="0" t="s">
        <v>7118</v>
      </c>
      <c r="B3354" s="0" t="s">
        <v>7119</v>
      </c>
      <c r="C3354" s="0" t="n">
        <v>4.95</v>
      </c>
    </row>
    <row r="3355" customFormat="false" ht="15" hidden="false" customHeight="false" outlineLevel="0" collapsed="false">
      <c r="A3355" s="0" t="s">
        <v>7120</v>
      </c>
      <c r="B3355" s="0" t="s">
        <v>7121</v>
      </c>
      <c r="C3355" s="0" t="n">
        <v>12.75</v>
      </c>
    </row>
    <row r="3356" customFormat="false" ht="15" hidden="false" customHeight="false" outlineLevel="0" collapsed="false">
      <c r="A3356" s="0" t="s">
        <v>7122</v>
      </c>
      <c r="B3356" s="0" t="s">
        <v>7123</v>
      </c>
      <c r="C3356" s="0" t="n">
        <v>4.25</v>
      </c>
    </row>
    <row r="3357" customFormat="false" ht="15" hidden="false" customHeight="false" outlineLevel="0" collapsed="false">
      <c r="A3357" s="0" t="s">
        <v>7124</v>
      </c>
      <c r="B3357" s="0" t="s">
        <v>7125</v>
      </c>
      <c r="C3357" s="0" t="n">
        <v>9.95</v>
      </c>
    </row>
    <row r="3358" customFormat="false" ht="15" hidden="false" customHeight="false" outlineLevel="0" collapsed="false">
      <c r="A3358" s="0" t="s">
        <v>7126</v>
      </c>
      <c r="B3358" s="0" t="s">
        <v>7127</v>
      </c>
      <c r="C3358" s="0" t="n">
        <v>1.25</v>
      </c>
    </row>
    <row r="3359" customFormat="false" ht="15" hidden="false" customHeight="false" outlineLevel="0" collapsed="false">
      <c r="A3359" s="0" t="s">
        <v>7128</v>
      </c>
      <c r="B3359" s="0" t="s">
        <v>7129</v>
      </c>
      <c r="C3359" s="0" t="n">
        <v>1.25</v>
      </c>
    </row>
    <row r="3360" customFormat="false" ht="15" hidden="false" customHeight="false" outlineLevel="0" collapsed="false">
      <c r="A3360" s="0" t="s">
        <v>7130</v>
      </c>
      <c r="B3360" s="0" t="s">
        <v>7131</v>
      </c>
      <c r="C3360" s="0" t="n">
        <v>1.25</v>
      </c>
    </row>
    <row r="3361" customFormat="false" ht="15" hidden="false" customHeight="false" outlineLevel="0" collapsed="false">
      <c r="A3361" s="0" t="s">
        <v>7132</v>
      </c>
      <c r="B3361" s="0" t="s">
        <v>7133</v>
      </c>
      <c r="C3361" s="0" t="n">
        <v>1.25</v>
      </c>
    </row>
    <row r="3362" customFormat="false" ht="15" hidden="false" customHeight="false" outlineLevel="0" collapsed="false">
      <c r="A3362" s="0" t="s">
        <v>7134</v>
      </c>
      <c r="B3362" s="0" t="s">
        <v>7135</v>
      </c>
      <c r="C3362" s="0" t="n">
        <v>1.25</v>
      </c>
    </row>
    <row r="3363" customFormat="false" ht="15" hidden="false" customHeight="false" outlineLevel="0" collapsed="false">
      <c r="A3363" s="0" t="s">
        <v>7136</v>
      </c>
      <c r="B3363" s="0" t="s">
        <v>7137</v>
      </c>
      <c r="C3363" s="0" t="n">
        <v>2.1</v>
      </c>
    </row>
    <row r="3364" customFormat="false" ht="15" hidden="false" customHeight="false" outlineLevel="0" collapsed="false">
      <c r="A3364" s="0" t="s">
        <v>7138</v>
      </c>
      <c r="B3364" s="0" t="s">
        <v>7139</v>
      </c>
      <c r="C3364" s="0" t="n">
        <v>2.55</v>
      </c>
    </row>
    <row r="3365" customFormat="false" ht="15" hidden="false" customHeight="false" outlineLevel="0" collapsed="false">
      <c r="A3365" s="0" t="s">
        <v>7140</v>
      </c>
      <c r="B3365" s="0" t="s">
        <v>7141</v>
      </c>
      <c r="C3365" s="0" t="n">
        <v>1.65</v>
      </c>
    </row>
    <row r="3366" customFormat="false" ht="15" hidden="false" customHeight="false" outlineLevel="0" collapsed="false">
      <c r="A3366" s="0" t="s">
        <v>7142</v>
      </c>
      <c r="B3366" s="0" t="s">
        <v>7143</v>
      </c>
      <c r="C3366" s="0" t="n">
        <v>2.1</v>
      </c>
    </row>
    <row r="3367" customFormat="false" ht="15" hidden="false" customHeight="false" outlineLevel="0" collapsed="false">
      <c r="A3367" s="0" t="s">
        <v>7144</v>
      </c>
      <c r="B3367" s="0" t="s">
        <v>7145</v>
      </c>
      <c r="C3367" s="0" t="n">
        <v>9.95</v>
      </c>
    </row>
    <row r="3368" customFormat="false" ht="15" hidden="false" customHeight="false" outlineLevel="0" collapsed="false">
      <c r="A3368" s="0" t="s">
        <v>7146</v>
      </c>
      <c r="B3368" s="0" t="s">
        <v>7147</v>
      </c>
      <c r="C3368" s="0" t="n">
        <v>2.1</v>
      </c>
    </row>
    <row r="3369" customFormat="false" ht="15" hidden="false" customHeight="false" outlineLevel="0" collapsed="false">
      <c r="A3369" s="0" t="s">
        <v>7148</v>
      </c>
      <c r="B3369" s="0" t="s">
        <v>7149</v>
      </c>
      <c r="C3369" s="0" t="n">
        <v>1.65</v>
      </c>
    </row>
    <row r="3370" customFormat="false" ht="15" hidden="false" customHeight="false" outlineLevel="0" collapsed="false">
      <c r="A3370" s="0" t="s">
        <v>7150</v>
      </c>
      <c r="B3370" s="0" t="s">
        <v>7151</v>
      </c>
      <c r="C3370" s="0" t="n">
        <v>2.95</v>
      </c>
    </row>
    <row r="3371" customFormat="false" ht="15" hidden="false" customHeight="false" outlineLevel="0" collapsed="false">
      <c r="A3371" s="0" t="s">
        <v>7152</v>
      </c>
      <c r="B3371" s="0" t="s">
        <v>7153</v>
      </c>
      <c r="C3371" s="0" t="n">
        <v>1.65</v>
      </c>
    </row>
    <row r="3372" customFormat="false" ht="15" hidden="false" customHeight="false" outlineLevel="0" collapsed="false">
      <c r="A3372" s="0" t="s">
        <v>7154</v>
      </c>
      <c r="B3372" s="0" t="s">
        <v>7155</v>
      </c>
      <c r="C3372" s="0" t="n">
        <v>1.66</v>
      </c>
    </row>
    <row r="3373" customFormat="false" ht="15" hidden="false" customHeight="false" outlineLevel="0" collapsed="false">
      <c r="A3373" s="0" t="s">
        <v>7156</v>
      </c>
      <c r="B3373" s="0" t="s">
        <v>7157</v>
      </c>
      <c r="C3373" s="0" t="n">
        <v>1.25</v>
      </c>
    </row>
    <row r="3374" customFormat="false" ht="15" hidden="false" customHeight="false" outlineLevel="0" collapsed="false">
      <c r="A3374" s="0" t="s">
        <v>7158</v>
      </c>
      <c r="B3374" s="0" t="s">
        <v>7159</v>
      </c>
      <c r="C3374" s="0" t="n">
        <v>1.25</v>
      </c>
    </row>
    <row r="3375" customFormat="false" ht="15" hidden="false" customHeight="false" outlineLevel="0" collapsed="false">
      <c r="A3375" s="0" t="s">
        <v>7160</v>
      </c>
      <c r="B3375" s="0" t="s">
        <v>7161</v>
      </c>
      <c r="C3375" s="0" t="n">
        <v>2.95</v>
      </c>
    </row>
    <row r="3376" customFormat="false" ht="15" hidden="false" customHeight="false" outlineLevel="0" collapsed="false">
      <c r="A3376" s="0" t="s">
        <v>7162</v>
      </c>
      <c r="B3376" s="0" t="s">
        <v>7163</v>
      </c>
      <c r="C3376" s="0" t="n">
        <v>39.95</v>
      </c>
    </row>
    <row r="3377" customFormat="false" ht="15" hidden="false" customHeight="false" outlineLevel="0" collapsed="false">
      <c r="A3377" s="0" t="s">
        <v>7164</v>
      </c>
      <c r="B3377" s="0" t="s">
        <v>7165</v>
      </c>
      <c r="C3377" s="0" t="n">
        <v>2.95</v>
      </c>
    </row>
    <row r="3378" customFormat="false" ht="15" hidden="false" customHeight="false" outlineLevel="0" collapsed="false">
      <c r="A3378" s="0" t="s">
        <v>7166</v>
      </c>
      <c r="B3378" s="0" t="s">
        <v>636</v>
      </c>
      <c r="C3378" s="0" t="n">
        <v>2.95</v>
      </c>
    </row>
    <row r="3379" customFormat="false" ht="15" hidden="false" customHeight="false" outlineLevel="0" collapsed="false">
      <c r="A3379" s="0" t="s">
        <v>7167</v>
      </c>
      <c r="B3379" s="0" t="s">
        <v>7168</v>
      </c>
      <c r="C3379" s="0" t="n">
        <v>0.42</v>
      </c>
    </row>
    <row r="3380" customFormat="false" ht="15" hidden="false" customHeight="false" outlineLevel="0" collapsed="false">
      <c r="A3380" s="0" t="s">
        <v>7169</v>
      </c>
      <c r="B3380" s="0" t="s">
        <v>7170</v>
      </c>
      <c r="C3380" s="0" t="n">
        <v>1.25</v>
      </c>
    </row>
    <row r="3381" customFormat="false" ht="15" hidden="false" customHeight="false" outlineLevel="0" collapsed="false">
      <c r="A3381" s="0" t="s">
        <v>7171</v>
      </c>
      <c r="B3381" s="0" t="s">
        <v>7172</v>
      </c>
      <c r="C3381" s="0" t="n">
        <v>2.1</v>
      </c>
    </row>
    <row r="3382" customFormat="false" ht="15" hidden="false" customHeight="false" outlineLevel="0" collapsed="false">
      <c r="A3382" s="0" t="s">
        <v>7173</v>
      </c>
      <c r="B3382" s="0" t="s">
        <v>7174</v>
      </c>
      <c r="C3382" s="0" t="n">
        <v>0.42</v>
      </c>
    </row>
    <row r="3383" customFormat="false" ht="15" hidden="false" customHeight="false" outlineLevel="0" collapsed="false">
      <c r="A3383" s="0" t="s">
        <v>7175</v>
      </c>
      <c r="B3383" s="0" t="s">
        <v>7176</v>
      </c>
      <c r="C3383" s="0" t="n">
        <v>1.69</v>
      </c>
    </row>
    <row r="3384" customFormat="false" ht="15" hidden="false" customHeight="false" outlineLevel="0" collapsed="false">
      <c r="A3384" s="0" t="s">
        <v>7177</v>
      </c>
      <c r="B3384" s="0" t="s">
        <v>7178</v>
      </c>
      <c r="C3384" s="0" t="n">
        <v>0.42</v>
      </c>
    </row>
    <row r="3385" customFormat="false" ht="15" hidden="false" customHeight="false" outlineLevel="0" collapsed="false">
      <c r="A3385" s="0" t="s">
        <v>7179</v>
      </c>
      <c r="B3385" s="0" t="s">
        <v>7180</v>
      </c>
      <c r="C3385" s="0" t="n">
        <v>1.25</v>
      </c>
    </row>
    <row r="3386" customFormat="false" ht="15" hidden="false" customHeight="false" outlineLevel="0" collapsed="false">
      <c r="A3386" s="0" t="s">
        <v>7181</v>
      </c>
      <c r="B3386" s="0" t="s">
        <v>7182</v>
      </c>
      <c r="C3386" s="0" t="n">
        <v>0.65</v>
      </c>
    </row>
    <row r="3387" customFormat="false" ht="15" hidden="false" customHeight="false" outlineLevel="0" collapsed="false">
      <c r="A3387" s="0" t="s">
        <v>7183</v>
      </c>
      <c r="B3387" s="0" t="s">
        <v>7184</v>
      </c>
      <c r="C3387" s="0" t="n">
        <v>0.85</v>
      </c>
    </row>
    <row r="3388" customFormat="false" ht="15" hidden="false" customHeight="false" outlineLevel="0" collapsed="false">
      <c r="A3388" s="0" t="s">
        <v>7185</v>
      </c>
      <c r="B3388" s="0" t="s">
        <v>7186</v>
      </c>
      <c r="C3388" s="0" t="n">
        <v>2.1</v>
      </c>
    </row>
    <row r="3389" customFormat="false" ht="15" hidden="false" customHeight="false" outlineLevel="0" collapsed="false">
      <c r="A3389" s="0" t="s">
        <v>7187</v>
      </c>
      <c r="B3389" s="0" t="s">
        <v>7188</v>
      </c>
      <c r="C3389" s="0" t="n">
        <v>2.55</v>
      </c>
    </row>
    <row r="3390" customFormat="false" ht="15" hidden="false" customHeight="false" outlineLevel="0" collapsed="false">
      <c r="A3390" s="0" t="s">
        <v>7189</v>
      </c>
      <c r="B3390" s="0" t="s">
        <v>7190</v>
      </c>
      <c r="C3390" s="0" t="n">
        <v>0.65</v>
      </c>
    </row>
    <row r="3391" customFormat="false" ht="15" hidden="false" customHeight="false" outlineLevel="0" collapsed="false">
      <c r="A3391" s="0" t="s">
        <v>7191</v>
      </c>
      <c r="B3391" s="0" t="s">
        <v>7192</v>
      </c>
      <c r="C3391" s="0" t="n">
        <v>0.85</v>
      </c>
    </row>
    <row r="3392" customFormat="false" ht="15" hidden="false" customHeight="false" outlineLevel="0" collapsed="false">
      <c r="A3392" s="0" t="s">
        <v>7193</v>
      </c>
      <c r="B3392" s="0" t="s">
        <v>7194</v>
      </c>
      <c r="C3392" s="0" t="n">
        <v>2.95</v>
      </c>
    </row>
    <row r="3393" customFormat="false" ht="15" hidden="false" customHeight="false" outlineLevel="0" collapsed="false">
      <c r="A3393" s="0" t="s">
        <v>7195</v>
      </c>
      <c r="B3393" s="0" t="s">
        <v>7196</v>
      </c>
      <c r="C3393" s="0" t="n">
        <v>1.25</v>
      </c>
    </row>
    <row r="3394" customFormat="false" ht="15" hidden="false" customHeight="false" outlineLevel="0" collapsed="false">
      <c r="A3394" s="0" t="s">
        <v>7197</v>
      </c>
      <c r="B3394" s="0" t="s">
        <v>7198</v>
      </c>
      <c r="C3394" s="0" t="n">
        <v>1.25</v>
      </c>
    </row>
    <row r="3395" customFormat="false" ht="15" hidden="false" customHeight="false" outlineLevel="0" collapsed="false">
      <c r="A3395" s="0" t="s">
        <v>7199</v>
      </c>
      <c r="B3395" s="0" t="s">
        <v>7200</v>
      </c>
      <c r="C3395" s="0" t="n">
        <v>4.3</v>
      </c>
    </row>
    <row r="3396" customFormat="false" ht="15" hidden="false" customHeight="false" outlineLevel="0" collapsed="false">
      <c r="A3396" s="0" t="s">
        <v>7201</v>
      </c>
      <c r="B3396" s="0" t="s">
        <v>7202</v>
      </c>
      <c r="C3396" s="0" t="n">
        <v>0.65</v>
      </c>
    </row>
    <row r="3397" customFormat="false" ht="15" hidden="false" customHeight="false" outlineLevel="0" collapsed="false">
      <c r="A3397" s="0" t="s">
        <v>7203</v>
      </c>
      <c r="B3397" s="0" t="s">
        <v>7204</v>
      </c>
      <c r="C3397" s="0" t="n">
        <v>0.85</v>
      </c>
    </row>
    <row r="3398" customFormat="false" ht="15" hidden="false" customHeight="false" outlineLevel="0" collapsed="false">
      <c r="A3398" s="0" t="s">
        <v>7205</v>
      </c>
      <c r="B3398" s="0" t="s">
        <v>7206</v>
      </c>
      <c r="C3398" s="0" t="n">
        <v>2.1</v>
      </c>
    </row>
    <row r="3399" customFormat="false" ht="15" hidden="false" customHeight="false" outlineLevel="0" collapsed="false">
      <c r="A3399" s="0" t="s">
        <v>7207</v>
      </c>
      <c r="B3399" s="0" t="s">
        <v>7208</v>
      </c>
      <c r="C3399" s="0" t="n">
        <v>4.21</v>
      </c>
    </row>
    <row r="3400" customFormat="false" ht="15" hidden="false" customHeight="false" outlineLevel="0" collapsed="false">
      <c r="A3400" s="0" t="s">
        <v>7209</v>
      </c>
      <c r="B3400" s="0" t="s">
        <v>7210</v>
      </c>
      <c r="C3400" s="0" t="n">
        <v>2.1</v>
      </c>
    </row>
    <row r="3401" customFormat="false" ht="15" hidden="false" customHeight="false" outlineLevel="0" collapsed="false">
      <c r="A3401" s="0" t="s">
        <v>7211</v>
      </c>
      <c r="B3401" s="0" t="s">
        <v>7212</v>
      </c>
      <c r="C3401" s="0" t="n">
        <v>0.65</v>
      </c>
    </row>
    <row r="3402" customFormat="false" ht="15" hidden="false" customHeight="false" outlineLevel="0" collapsed="false">
      <c r="A3402" s="0" t="s">
        <v>7213</v>
      </c>
      <c r="B3402" s="0" t="s">
        <v>7214</v>
      </c>
      <c r="C3402" s="0" t="n">
        <v>0.85</v>
      </c>
    </row>
    <row r="3403" customFormat="false" ht="15" hidden="false" customHeight="false" outlineLevel="0" collapsed="false">
      <c r="A3403" s="0" t="s">
        <v>7215</v>
      </c>
      <c r="B3403" s="0" t="s">
        <v>750</v>
      </c>
      <c r="C3403" s="0" t="n">
        <v>2.1</v>
      </c>
    </row>
    <row r="3404" customFormat="false" ht="15" hidden="false" customHeight="false" outlineLevel="0" collapsed="false">
      <c r="A3404" s="0" t="s">
        <v>7216</v>
      </c>
      <c r="B3404" s="0" t="s">
        <v>445</v>
      </c>
      <c r="C3404" s="0" t="n">
        <v>0.65</v>
      </c>
    </row>
    <row r="3405" customFormat="false" ht="15" hidden="false" customHeight="false" outlineLevel="0" collapsed="false">
      <c r="A3405" s="0" t="s">
        <v>7217</v>
      </c>
      <c r="B3405" s="0" t="s">
        <v>448</v>
      </c>
      <c r="C3405" s="0" t="n">
        <v>0.85</v>
      </c>
    </row>
    <row r="3406" customFormat="false" ht="15" hidden="false" customHeight="false" outlineLevel="0" collapsed="false">
      <c r="A3406" s="0" t="s">
        <v>7218</v>
      </c>
      <c r="B3406" s="0" t="s">
        <v>7219</v>
      </c>
      <c r="C3406" s="0" t="n">
        <v>0.65</v>
      </c>
    </row>
    <row r="3407" customFormat="false" ht="15" hidden="false" customHeight="false" outlineLevel="0" collapsed="false">
      <c r="A3407" s="0" t="s">
        <v>7220</v>
      </c>
      <c r="B3407" s="0" t="s">
        <v>7221</v>
      </c>
      <c r="C3407" s="0" t="n">
        <v>0.65</v>
      </c>
    </row>
    <row r="3408" customFormat="false" ht="15" hidden="false" customHeight="false" outlineLevel="0" collapsed="false">
      <c r="A3408" s="0" t="s">
        <v>7222</v>
      </c>
      <c r="B3408" s="0" t="s">
        <v>7223</v>
      </c>
      <c r="C3408" s="0" t="n">
        <v>0.85</v>
      </c>
    </row>
    <row r="3409" customFormat="false" ht="15" hidden="false" customHeight="false" outlineLevel="0" collapsed="false">
      <c r="A3409" s="0" t="s">
        <v>7224</v>
      </c>
      <c r="B3409" s="0" t="s">
        <v>7225</v>
      </c>
      <c r="C3409" s="0" t="n">
        <v>2.1</v>
      </c>
    </row>
    <row r="3410" customFormat="false" ht="15" hidden="false" customHeight="false" outlineLevel="0" collapsed="false">
      <c r="A3410" s="0" t="s">
        <v>7226</v>
      </c>
      <c r="B3410" s="0" t="s">
        <v>7227</v>
      </c>
      <c r="C3410" s="0" t="n">
        <v>0.65</v>
      </c>
    </row>
    <row r="3411" customFormat="false" ht="15" hidden="false" customHeight="false" outlineLevel="0" collapsed="false">
      <c r="A3411" s="0" t="s">
        <v>7228</v>
      </c>
      <c r="B3411" s="0" t="s">
        <v>7229</v>
      </c>
      <c r="C3411" s="0" t="n">
        <v>0.85</v>
      </c>
    </row>
    <row r="3412" customFormat="false" ht="15" hidden="false" customHeight="false" outlineLevel="0" collapsed="false">
      <c r="A3412" s="0" t="s">
        <v>7230</v>
      </c>
      <c r="B3412" s="0" t="s">
        <v>7231</v>
      </c>
      <c r="C3412" s="0" t="n">
        <v>1.25</v>
      </c>
    </row>
    <row r="3413" customFormat="false" ht="15" hidden="false" customHeight="false" outlineLevel="0" collapsed="false">
      <c r="A3413" s="0" t="s">
        <v>7232</v>
      </c>
      <c r="B3413" s="0" t="s">
        <v>7233</v>
      </c>
      <c r="C3413" s="0" t="n">
        <v>4.25</v>
      </c>
    </row>
    <row r="3414" customFormat="false" ht="15" hidden="false" customHeight="false" outlineLevel="0" collapsed="false">
      <c r="A3414" s="0" t="s">
        <v>7234</v>
      </c>
      <c r="B3414" s="0" t="s">
        <v>337</v>
      </c>
      <c r="C3414" s="0" t="n">
        <v>16.95</v>
      </c>
    </row>
    <row r="3415" customFormat="false" ht="15" hidden="false" customHeight="false" outlineLevel="0" collapsed="false">
      <c r="A3415" s="0" t="s">
        <v>7235</v>
      </c>
      <c r="B3415" s="0" t="s">
        <v>7236</v>
      </c>
      <c r="C3415" s="0" t="n">
        <v>0.85</v>
      </c>
    </row>
    <row r="3416" customFormat="false" ht="15" hidden="false" customHeight="false" outlineLevel="0" collapsed="false">
      <c r="A3416" s="0" t="s">
        <v>7237</v>
      </c>
      <c r="B3416" s="0" t="s">
        <v>7238</v>
      </c>
      <c r="C3416" s="0" t="n">
        <v>12.75</v>
      </c>
    </row>
    <row r="3417" customFormat="false" ht="15" hidden="false" customHeight="false" outlineLevel="0" collapsed="false">
      <c r="A3417" s="0" t="s">
        <v>7239</v>
      </c>
      <c r="B3417" s="0" t="s">
        <v>7240</v>
      </c>
      <c r="C3417" s="0" t="n">
        <v>9.95</v>
      </c>
    </row>
    <row r="3418" customFormat="false" ht="15" hidden="false" customHeight="false" outlineLevel="0" collapsed="false">
      <c r="A3418" s="0" t="s">
        <v>7241</v>
      </c>
      <c r="B3418" s="0" t="s">
        <v>7242</v>
      </c>
      <c r="C3418" s="0" t="n">
        <v>1.25</v>
      </c>
    </row>
    <row r="3419" customFormat="false" ht="15" hidden="false" customHeight="false" outlineLevel="0" collapsed="false">
      <c r="A3419" s="0" t="s">
        <v>7243</v>
      </c>
      <c r="B3419" s="0" t="s">
        <v>7244</v>
      </c>
      <c r="C3419" s="0" t="n">
        <v>0.42</v>
      </c>
    </row>
    <row r="3420" customFormat="false" ht="15" hidden="false" customHeight="false" outlineLevel="0" collapsed="false">
      <c r="A3420" s="0" t="s">
        <v>7245</v>
      </c>
      <c r="B3420" s="0" t="s">
        <v>7246</v>
      </c>
      <c r="C3420" s="0" t="n">
        <v>0.42</v>
      </c>
    </row>
    <row r="3421" customFormat="false" ht="15" hidden="false" customHeight="false" outlineLevel="0" collapsed="false">
      <c r="A3421" s="0" t="s">
        <v>7247</v>
      </c>
      <c r="B3421" s="0" t="s">
        <v>7248</v>
      </c>
      <c r="C3421" s="0" t="n">
        <v>3.35</v>
      </c>
    </row>
    <row r="3422" customFormat="false" ht="15" hidden="false" customHeight="false" outlineLevel="0" collapsed="false">
      <c r="A3422" s="0" t="s">
        <v>7249</v>
      </c>
      <c r="B3422" s="0" t="s">
        <v>7250</v>
      </c>
      <c r="C3422" s="0" t="n">
        <v>3.35</v>
      </c>
    </row>
    <row r="3423" customFormat="false" ht="15" hidden="false" customHeight="false" outlineLevel="0" collapsed="false">
      <c r="A3423" s="0" t="s">
        <v>7251</v>
      </c>
      <c r="B3423" s="0" t="s">
        <v>7252</v>
      </c>
      <c r="C3423" s="0" t="n">
        <v>3.35</v>
      </c>
    </row>
    <row r="3424" customFormat="false" ht="15" hidden="false" customHeight="false" outlineLevel="0" collapsed="false">
      <c r="A3424" s="0" t="s">
        <v>7253</v>
      </c>
      <c r="B3424" s="0" t="s">
        <v>7254</v>
      </c>
      <c r="C3424" s="0" t="n">
        <v>7.5</v>
      </c>
    </row>
    <row r="3425" customFormat="false" ht="15" hidden="false" customHeight="false" outlineLevel="0" collapsed="false">
      <c r="A3425" s="0" t="s">
        <v>7255</v>
      </c>
      <c r="B3425" s="0" t="s">
        <v>7256</v>
      </c>
      <c r="C3425" s="0" t="n">
        <v>2.12</v>
      </c>
    </row>
    <row r="3426" customFormat="false" ht="15" hidden="false" customHeight="false" outlineLevel="0" collapsed="false">
      <c r="A3426" s="0" t="s">
        <v>7257</v>
      </c>
      <c r="B3426" s="0" t="s">
        <v>7258</v>
      </c>
      <c r="C3426" s="0" t="n">
        <v>5.51</v>
      </c>
    </row>
    <row r="3427" customFormat="false" ht="15" hidden="false" customHeight="false" outlineLevel="0" collapsed="false">
      <c r="A3427" s="0" t="s">
        <v>7259</v>
      </c>
      <c r="B3427" s="0" t="s">
        <v>7260</v>
      </c>
      <c r="C3427" s="0" t="n">
        <v>4.25</v>
      </c>
    </row>
    <row r="3428" customFormat="false" ht="15" hidden="false" customHeight="false" outlineLevel="0" collapsed="false">
      <c r="A3428" s="0" t="s">
        <v>7261</v>
      </c>
      <c r="B3428" s="0" t="s">
        <v>7262</v>
      </c>
      <c r="C3428" s="0" t="n">
        <v>0.38</v>
      </c>
    </row>
    <row r="3429" customFormat="false" ht="15" hidden="false" customHeight="false" outlineLevel="0" collapsed="false">
      <c r="A3429" s="0" t="s">
        <v>7263</v>
      </c>
      <c r="B3429" s="0" t="s">
        <v>7264</v>
      </c>
      <c r="C3429" s="0" t="n">
        <v>2.51</v>
      </c>
    </row>
    <row r="3430" customFormat="false" ht="15" hidden="false" customHeight="false" outlineLevel="0" collapsed="false">
      <c r="A3430" s="0" t="s">
        <v>7265</v>
      </c>
      <c r="B3430" s="0" t="s">
        <v>7266</v>
      </c>
      <c r="C3430" s="0" t="n">
        <v>7.5</v>
      </c>
    </row>
    <row r="3431" customFormat="false" ht="15" hidden="false" customHeight="false" outlineLevel="0" collapsed="false">
      <c r="A3431" s="0" t="s">
        <v>7267</v>
      </c>
      <c r="B3431" s="0" t="s">
        <v>7268</v>
      </c>
      <c r="C3431" s="0" t="n">
        <v>3.75</v>
      </c>
    </row>
    <row r="3432" customFormat="false" ht="15" hidden="false" customHeight="false" outlineLevel="0" collapsed="false">
      <c r="A3432" s="0" t="s">
        <v>7269</v>
      </c>
      <c r="B3432" s="0" t="s">
        <v>7270</v>
      </c>
      <c r="C3432" s="0" t="n">
        <v>7.5</v>
      </c>
    </row>
    <row r="3433" customFormat="false" ht="15" hidden="false" customHeight="false" outlineLevel="0" collapsed="false">
      <c r="A3433" s="0" t="s">
        <v>7271</v>
      </c>
      <c r="B3433" s="0" t="s">
        <v>7272</v>
      </c>
      <c r="C3433" s="0" t="n">
        <v>6.75</v>
      </c>
    </row>
    <row r="3434" customFormat="false" ht="15" hidden="false" customHeight="false" outlineLevel="0" collapsed="false">
      <c r="A3434" s="0" t="s">
        <v>7273</v>
      </c>
      <c r="B3434" s="0" t="s">
        <v>7274</v>
      </c>
      <c r="C3434" s="0" t="n">
        <v>16.95</v>
      </c>
    </row>
    <row r="3435" customFormat="false" ht="15" hidden="false" customHeight="false" outlineLevel="0" collapsed="false">
      <c r="A3435" s="0" t="s">
        <v>7275</v>
      </c>
      <c r="B3435" s="0" t="s">
        <v>7276</v>
      </c>
      <c r="C3435" s="0" t="n">
        <v>4.95</v>
      </c>
    </row>
    <row r="3436" customFormat="false" ht="15" hidden="false" customHeight="false" outlineLevel="0" collapsed="false">
      <c r="A3436" s="0" t="s">
        <v>7277</v>
      </c>
      <c r="B3436" s="0" t="s">
        <v>7278</v>
      </c>
      <c r="C3436" s="0" t="n">
        <v>5.95</v>
      </c>
    </row>
    <row r="3437" customFormat="false" ht="15" hidden="false" customHeight="false" outlineLevel="0" collapsed="false">
      <c r="A3437" s="0" t="s">
        <v>7279</v>
      </c>
      <c r="B3437" s="0" t="s">
        <v>7280</v>
      </c>
      <c r="C3437" s="0" t="n">
        <v>3.81</v>
      </c>
    </row>
    <row r="3438" customFormat="false" ht="15" hidden="false" customHeight="false" outlineLevel="0" collapsed="false">
      <c r="A3438" s="0" t="s">
        <v>7281</v>
      </c>
      <c r="B3438" s="0" t="s">
        <v>7282</v>
      </c>
      <c r="C3438" s="0" t="n">
        <v>1.25</v>
      </c>
    </row>
    <row r="3439" customFormat="false" ht="15" hidden="false" customHeight="false" outlineLevel="0" collapsed="false">
      <c r="A3439" s="0" t="s">
        <v>7283</v>
      </c>
      <c r="B3439" s="0" t="s">
        <v>7284</v>
      </c>
      <c r="C3439" s="0" t="n">
        <v>1.25</v>
      </c>
    </row>
    <row r="3440" customFormat="false" ht="15" hidden="false" customHeight="false" outlineLevel="0" collapsed="false">
      <c r="A3440" s="0" t="s">
        <v>7285</v>
      </c>
      <c r="B3440" s="0" t="s">
        <v>7286</v>
      </c>
      <c r="C3440" s="0" t="n">
        <v>6.95</v>
      </c>
    </row>
    <row r="3441" customFormat="false" ht="15" hidden="false" customHeight="false" outlineLevel="0" collapsed="false">
      <c r="A3441" s="0" t="s">
        <v>7287</v>
      </c>
      <c r="B3441" s="0" t="s">
        <v>7288</v>
      </c>
      <c r="C3441" s="0" t="n">
        <v>7.5</v>
      </c>
    </row>
    <row r="3442" customFormat="false" ht="15" hidden="false" customHeight="false" outlineLevel="0" collapsed="false">
      <c r="A3442" s="0" t="s">
        <v>7289</v>
      </c>
      <c r="B3442" s="0" t="s">
        <v>7290</v>
      </c>
      <c r="C3442" s="0" t="n">
        <v>2.95</v>
      </c>
    </row>
    <row r="3443" customFormat="false" ht="15" hidden="false" customHeight="false" outlineLevel="0" collapsed="false">
      <c r="A3443" s="0" t="s">
        <v>7291</v>
      </c>
      <c r="B3443" s="0" t="s">
        <v>7292</v>
      </c>
      <c r="C3443" s="0" t="n">
        <v>1.25</v>
      </c>
    </row>
    <row r="3444" customFormat="false" ht="15" hidden="false" customHeight="false" outlineLevel="0" collapsed="false">
      <c r="A3444" s="0" t="s">
        <v>7293</v>
      </c>
      <c r="B3444" s="0" t="s">
        <v>7294</v>
      </c>
      <c r="C3444" s="0" t="n">
        <v>1.65</v>
      </c>
    </row>
    <row r="3445" customFormat="false" ht="15" hidden="false" customHeight="false" outlineLevel="0" collapsed="false">
      <c r="A3445" s="0" t="s">
        <v>7295</v>
      </c>
      <c r="B3445" s="0" t="s">
        <v>7296</v>
      </c>
      <c r="C3445" s="0" t="n">
        <v>1.65</v>
      </c>
    </row>
    <row r="3446" customFormat="false" ht="15" hidden="false" customHeight="false" outlineLevel="0" collapsed="false">
      <c r="A3446" s="0" t="s">
        <v>7297</v>
      </c>
      <c r="B3446" s="0" t="s">
        <v>7298</v>
      </c>
      <c r="C3446" s="0" t="n">
        <v>3.75</v>
      </c>
    </row>
    <row r="3447" customFormat="false" ht="15" hidden="false" customHeight="false" outlineLevel="0" collapsed="false">
      <c r="A3447" s="0" t="s">
        <v>7299</v>
      </c>
      <c r="B3447" s="0" t="s">
        <v>7300</v>
      </c>
      <c r="C3447" s="0" t="n">
        <v>5.95</v>
      </c>
    </row>
    <row r="3448" customFormat="false" ht="15" hidden="false" customHeight="false" outlineLevel="0" collapsed="false">
      <c r="A3448" s="0" t="s">
        <v>7301</v>
      </c>
      <c r="B3448" s="0" t="s">
        <v>7302</v>
      </c>
      <c r="C3448" s="0" t="n">
        <v>9.95</v>
      </c>
    </row>
    <row r="3449" customFormat="false" ht="15" hidden="false" customHeight="false" outlineLevel="0" collapsed="false">
      <c r="A3449" s="0" t="s">
        <v>7303</v>
      </c>
      <c r="B3449" s="0" t="s">
        <v>7304</v>
      </c>
      <c r="C3449" s="0" t="n">
        <v>12.75</v>
      </c>
    </row>
    <row r="3450" customFormat="false" ht="15" hidden="false" customHeight="false" outlineLevel="0" collapsed="false">
      <c r="A3450" s="0" t="s">
        <v>7305</v>
      </c>
      <c r="B3450" s="0" t="s">
        <v>7306</v>
      </c>
      <c r="C3450" s="0" t="n">
        <v>4.25</v>
      </c>
    </row>
    <row r="3451" customFormat="false" ht="15" hidden="false" customHeight="false" outlineLevel="0" collapsed="false">
      <c r="A3451" s="0" t="s">
        <v>7307</v>
      </c>
      <c r="B3451" s="0" t="s">
        <v>7308</v>
      </c>
      <c r="C3451" s="0" t="n">
        <v>3.75</v>
      </c>
    </row>
    <row r="3452" customFormat="false" ht="15" hidden="false" customHeight="false" outlineLevel="0" collapsed="false">
      <c r="A3452" s="0" t="s">
        <v>7309</v>
      </c>
      <c r="B3452" s="0" t="s">
        <v>7310</v>
      </c>
      <c r="C3452" s="0" t="n">
        <v>4.95</v>
      </c>
    </row>
    <row r="3453" customFormat="false" ht="15" hidden="false" customHeight="false" outlineLevel="0" collapsed="false">
      <c r="A3453" s="0" t="s">
        <v>7311</v>
      </c>
      <c r="B3453" s="0" t="s">
        <v>7312</v>
      </c>
      <c r="C3453" s="0" t="n">
        <v>5.51</v>
      </c>
    </row>
    <row r="3454" customFormat="false" ht="15" hidden="false" customHeight="false" outlineLevel="0" collapsed="false">
      <c r="A3454" s="0" t="s">
        <v>7313</v>
      </c>
      <c r="B3454" s="0" t="s">
        <v>7314</v>
      </c>
      <c r="C3454" s="0" t="n">
        <v>4.24</v>
      </c>
    </row>
    <row r="3455" customFormat="false" ht="15" hidden="false" customHeight="false" outlineLevel="0" collapsed="false">
      <c r="A3455" s="0" t="s">
        <v>7315</v>
      </c>
      <c r="B3455" s="0" t="s">
        <v>7316</v>
      </c>
      <c r="C3455" s="0" t="n">
        <v>0.85</v>
      </c>
    </row>
    <row r="3456" customFormat="false" ht="15" hidden="false" customHeight="false" outlineLevel="0" collapsed="false">
      <c r="A3456" s="0" t="s">
        <v>7317</v>
      </c>
      <c r="B3456" s="0" t="s">
        <v>7318</v>
      </c>
      <c r="C3456" s="0" t="n">
        <v>8.5</v>
      </c>
    </row>
    <row r="3457" customFormat="false" ht="15" hidden="false" customHeight="false" outlineLevel="0" collapsed="false">
      <c r="A3457" s="0" t="s">
        <v>7319</v>
      </c>
      <c r="B3457" s="0" t="s">
        <v>251</v>
      </c>
      <c r="C3457" s="0" t="n">
        <v>1.95</v>
      </c>
    </row>
    <row r="3458" customFormat="false" ht="15" hidden="false" customHeight="false" outlineLevel="0" collapsed="false">
      <c r="A3458" s="0" t="s">
        <v>7320</v>
      </c>
      <c r="B3458" s="0" t="s">
        <v>7321</v>
      </c>
      <c r="C3458" s="0" t="n">
        <v>5.95</v>
      </c>
    </row>
    <row r="3459" customFormat="false" ht="15" hidden="false" customHeight="false" outlineLevel="0" collapsed="false">
      <c r="A3459" s="0" t="s">
        <v>7322</v>
      </c>
      <c r="B3459" s="0" t="s">
        <v>7323</v>
      </c>
      <c r="C3459" s="0" t="n">
        <v>9.95</v>
      </c>
    </row>
    <row r="3460" customFormat="false" ht="15" hidden="false" customHeight="false" outlineLevel="0" collapsed="false">
      <c r="A3460" s="0" t="s">
        <v>7324</v>
      </c>
      <c r="B3460" s="0" t="s">
        <v>7325</v>
      </c>
      <c r="C3460" s="0" t="n">
        <v>2.1</v>
      </c>
    </row>
    <row r="3461" customFormat="false" ht="15" hidden="false" customHeight="false" outlineLevel="0" collapsed="false">
      <c r="A3461" s="0" t="s">
        <v>7326</v>
      </c>
      <c r="B3461" s="0" t="s">
        <v>7327</v>
      </c>
      <c r="C3461" s="0" t="n">
        <v>3.75</v>
      </c>
    </row>
    <row r="3462" customFormat="false" ht="15" hidden="false" customHeight="false" outlineLevel="0" collapsed="false">
      <c r="A3462" s="0" t="s">
        <v>7328</v>
      </c>
      <c r="B3462" s="0" t="s">
        <v>7329</v>
      </c>
      <c r="C3462" s="0" t="n">
        <v>2.95</v>
      </c>
    </row>
    <row r="3463" customFormat="false" ht="15" hidden="false" customHeight="false" outlineLevel="0" collapsed="false">
      <c r="A3463" s="0" t="s">
        <v>7330</v>
      </c>
      <c r="B3463" s="0" t="s">
        <v>7331</v>
      </c>
      <c r="C3463" s="0" t="n">
        <v>1.65</v>
      </c>
    </row>
    <row r="3464" customFormat="false" ht="15" hidden="false" customHeight="false" outlineLevel="0" collapsed="false">
      <c r="A3464" s="0" t="s">
        <v>7332</v>
      </c>
      <c r="B3464" s="0" t="s">
        <v>7333</v>
      </c>
      <c r="C3464" s="0" t="n">
        <v>1.95</v>
      </c>
    </row>
    <row r="3465" customFormat="false" ht="15" hidden="false" customHeight="false" outlineLevel="0" collapsed="false">
      <c r="A3465" s="0" t="s">
        <v>7334</v>
      </c>
      <c r="B3465" s="0" t="s">
        <v>7335</v>
      </c>
      <c r="C3465" s="0" t="n">
        <v>12.75</v>
      </c>
    </row>
    <row r="3466" customFormat="false" ht="15" hidden="false" customHeight="false" outlineLevel="0" collapsed="false">
      <c r="A3466" s="0" t="s">
        <v>7336</v>
      </c>
      <c r="B3466" s="0" t="s">
        <v>7337</v>
      </c>
      <c r="C3466" s="0" t="n">
        <v>12.75</v>
      </c>
    </row>
    <row r="3467" customFormat="false" ht="15" hidden="false" customHeight="false" outlineLevel="0" collapsed="false">
      <c r="A3467" s="0" t="s">
        <v>7338</v>
      </c>
      <c r="B3467" s="0" t="s">
        <v>7339</v>
      </c>
      <c r="C3467" s="0" t="n">
        <v>5.95</v>
      </c>
    </row>
    <row r="3468" customFormat="false" ht="15" hidden="false" customHeight="false" outlineLevel="0" collapsed="false">
      <c r="A3468" s="0" t="s">
        <v>7340</v>
      </c>
      <c r="B3468" s="0" t="s">
        <v>7341</v>
      </c>
      <c r="C3468" s="0" t="n">
        <v>3.75</v>
      </c>
    </row>
    <row r="3469" customFormat="false" ht="15" hidden="false" customHeight="false" outlineLevel="0" collapsed="false">
      <c r="A3469" s="0" t="s">
        <v>7342</v>
      </c>
      <c r="B3469" s="0" t="s">
        <v>7343</v>
      </c>
      <c r="C3469" s="0" t="n">
        <v>7.95</v>
      </c>
    </row>
    <row r="3470" customFormat="false" ht="15" hidden="false" customHeight="false" outlineLevel="0" collapsed="false">
      <c r="A3470" s="0" t="s">
        <v>7344</v>
      </c>
      <c r="B3470" s="0" t="s">
        <v>7345</v>
      </c>
      <c r="C3470" s="0" t="n">
        <v>4.25</v>
      </c>
    </row>
    <row r="3471" customFormat="false" ht="15" hidden="false" customHeight="false" outlineLevel="0" collapsed="false">
      <c r="A3471" s="0" t="s">
        <v>7346</v>
      </c>
      <c r="B3471" s="0" t="s">
        <v>7347</v>
      </c>
      <c r="C3471" s="0" t="n">
        <v>6.75</v>
      </c>
    </row>
    <row r="3472" customFormat="false" ht="15" hidden="false" customHeight="false" outlineLevel="0" collapsed="false">
      <c r="A3472" s="0" t="s">
        <v>7348</v>
      </c>
      <c r="B3472" s="0" t="s">
        <v>7349</v>
      </c>
      <c r="C3472" s="0" t="n">
        <v>3.75</v>
      </c>
    </row>
    <row r="3473" customFormat="false" ht="15" hidden="false" customHeight="false" outlineLevel="0" collapsed="false">
      <c r="A3473" s="0" t="s">
        <v>7350</v>
      </c>
      <c r="B3473" s="0" t="s">
        <v>7351</v>
      </c>
      <c r="C3473" s="0" t="n">
        <v>3.75</v>
      </c>
    </row>
    <row r="3474" customFormat="false" ht="15" hidden="false" customHeight="false" outlineLevel="0" collapsed="false">
      <c r="A3474" s="0" t="s">
        <v>7350</v>
      </c>
      <c r="B3474" s="0" t="s">
        <v>7352</v>
      </c>
      <c r="C3474" s="0" t="n">
        <v>3.75</v>
      </c>
    </row>
    <row r="3475" customFormat="false" ht="15" hidden="false" customHeight="false" outlineLevel="0" collapsed="false">
      <c r="A3475" s="0" t="s">
        <v>7353</v>
      </c>
      <c r="B3475" s="0" t="s">
        <v>7354</v>
      </c>
      <c r="C3475" s="0" t="n">
        <v>2.95</v>
      </c>
    </row>
    <row r="3476" customFormat="false" ht="15" hidden="false" customHeight="false" outlineLevel="0" collapsed="false">
      <c r="A3476" s="0" t="s">
        <v>7355</v>
      </c>
      <c r="B3476" s="0" t="s">
        <v>7356</v>
      </c>
      <c r="C3476" s="0" t="n">
        <v>4.65</v>
      </c>
    </row>
    <row r="3477" customFormat="false" ht="15" hidden="false" customHeight="false" outlineLevel="0" collapsed="false">
      <c r="A3477" s="0" t="s">
        <v>7357</v>
      </c>
      <c r="B3477" s="0" t="s">
        <v>7358</v>
      </c>
      <c r="C3477" s="0" t="n">
        <v>2.95</v>
      </c>
    </row>
    <row r="3478" customFormat="false" ht="15" hidden="false" customHeight="false" outlineLevel="0" collapsed="false">
      <c r="A3478" s="0" t="s">
        <v>7359</v>
      </c>
      <c r="B3478" s="0" t="s">
        <v>7360</v>
      </c>
      <c r="C3478" s="0" t="n">
        <v>9.95</v>
      </c>
    </row>
    <row r="3479" customFormat="false" ht="15" hidden="false" customHeight="false" outlineLevel="0" collapsed="false">
      <c r="A3479" s="0" t="s">
        <v>7361</v>
      </c>
      <c r="B3479" s="0" t="s">
        <v>7362</v>
      </c>
      <c r="C3479" s="0" t="n">
        <v>8.49</v>
      </c>
    </row>
    <row r="3480" customFormat="false" ht="15" hidden="false" customHeight="false" outlineLevel="0" collapsed="false">
      <c r="A3480" s="0" t="s">
        <v>7363</v>
      </c>
      <c r="B3480" s="0" t="s">
        <v>7364</v>
      </c>
      <c r="C3480" s="0" t="n">
        <v>2.95</v>
      </c>
    </row>
    <row r="3481" customFormat="false" ht="15" hidden="false" customHeight="false" outlineLevel="0" collapsed="false">
      <c r="A3481" s="0" t="s">
        <v>7365</v>
      </c>
      <c r="B3481" s="0" t="s">
        <v>7366</v>
      </c>
      <c r="C3481" s="0" t="n">
        <v>8.5</v>
      </c>
    </row>
    <row r="3482" customFormat="false" ht="15" hidden="false" customHeight="false" outlineLevel="0" collapsed="false">
      <c r="A3482" s="0" t="s">
        <v>7367</v>
      </c>
      <c r="B3482" s="0" t="s">
        <v>7368</v>
      </c>
      <c r="C3482" s="0" t="n">
        <v>9.95</v>
      </c>
    </row>
    <row r="3483" customFormat="false" ht="15" hidden="false" customHeight="false" outlineLevel="0" collapsed="false">
      <c r="A3483" s="0" t="s">
        <v>7369</v>
      </c>
      <c r="B3483" s="0" t="s">
        <v>7370</v>
      </c>
      <c r="C3483" s="0" t="n">
        <v>5.63</v>
      </c>
    </row>
    <row r="3484" customFormat="false" ht="15" hidden="false" customHeight="false" outlineLevel="0" collapsed="false">
      <c r="A3484" s="0" t="s">
        <v>7371</v>
      </c>
      <c r="B3484" s="0" t="s">
        <v>7372</v>
      </c>
      <c r="C3484" s="0" t="n">
        <v>8.5</v>
      </c>
    </row>
    <row r="3485" customFormat="false" ht="15" hidden="false" customHeight="false" outlineLevel="0" collapsed="false">
      <c r="A3485" s="0" t="s">
        <v>7373</v>
      </c>
      <c r="B3485" s="0" t="s">
        <v>415</v>
      </c>
      <c r="C3485" s="0" t="n">
        <v>0.95</v>
      </c>
    </row>
    <row r="3486" customFormat="false" ht="15" hidden="false" customHeight="false" outlineLevel="0" collapsed="false">
      <c r="A3486" s="0" t="s">
        <v>7374</v>
      </c>
      <c r="B3486" s="0" t="s">
        <v>7375</v>
      </c>
      <c r="C3486" s="0" t="n">
        <v>2.95</v>
      </c>
    </row>
    <row r="3487" customFormat="false" ht="15" hidden="false" customHeight="false" outlineLevel="0" collapsed="false">
      <c r="A3487" s="0" t="s">
        <v>7376</v>
      </c>
      <c r="B3487" s="0" t="s">
        <v>175</v>
      </c>
      <c r="C3487" s="0" t="n">
        <v>1.65</v>
      </c>
    </row>
    <row r="3488" customFormat="false" ht="15" hidden="false" customHeight="false" outlineLevel="0" collapsed="false">
      <c r="A3488" s="0" t="s">
        <v>7377</v>
      </c>
      <c r="B3488" s="0" t="s">
        <v>746</v>
      </c>
      <c r="C3488" s="0" t="n">
        <v>4.95</v>
      </c>
    </row>
    <row r="3489" customFormat="false" ht="15" hidden="false" customHeight="false" outlineLevel="0" collapsed="false">
      <c r="A3489" s="0" t="s">
        <v>7378</v>
      </c>
      <c r="B3489" s="0" t="s">
        <v>263</v>
      </c>
      <c r="C3489" s="0" t="n">
        <v>2.55</v>
      </c>
    </row>
    <row r="3490" customFormat="false" ht="15" hidden="false" customHeight="false" outlineLevel="0" collapsed="false">
      <c r="A3490" s="0" t="s">
        <v>7379</v>
      </c>
      <c r="B3490" s="0" t="s">
        <v>7380</v>
      </c>
      <c r="C3490" s="0" t="n">
        <v>1.65</v>
      </c>
    </row>
    <row r="3491" customFormat="false" ht="15" hidden="false" customHeight="false" outlineLevel="0" collapsed="false">
      <c r="A3491" s="0" t="s">
        <v>7381</v>
      </c>
      <c r="B3491" s="0" t="s">
        <v>7382</v>
      </c>
      <c r="C3491" s="0" t="n">
        <v>2.25</v>
      </c>
    </row>
    <row r="3492" customFormat="false" ht="15" hidden="false" customHeight="false" outlineLevel="0" collapsed="false">
      <c r="A3492" s="0" t="s">
        <v>7383</v>
      </c>
      <c r="B3492" s="0" t="s">
        <v>7384</v>
      </c>
      <c r="C3492" s="0" t="n">
        <v>0.85</v>
      </c>
    </row>
    <row r="3493" customFormat="false" ht="15" hidden="false" customHeight="false" outlineLevel="0" collapsed="false">
      <c r="A3493" s="0" t="s">
        <v>7385</v>
      </c>
      <c r="B3493" s="0" t="s">
        <v>7386</v>
      </c>
      <c r="C3493" s="0" t="n">
        <v>0.42</v>
      </c>
    </row>
    <row r="3494" customFormat="false" ht="15" hidden="false" customHeight="false" outlineLevel="0" collapsed="false">
      <c r="A3494" s="0" t="s">
        <v>7387</v>
      </c>
      <c r="B3494" s="0" t="s">
        <v>7388</v>
      </c>
      <c r="C3494" s="0" t="n">
        <v>1.65</v>
      </c>
    </row>
    <row r="3495" customFormat="false" ht="15" hidden="false" customHeight="false" outlineLevel="0" collapsed="false">
      <c r="A3495" s="0" t="s">
        <v>7389</v>
      </c>
      <c r="B3495" s="0" t="s">
        <v>7390</v>
      </c>
      <c r="C3495" s="0" t="n">
        <v>1.25</v>
      </c>
    </row>
    <row r="3496" customFormat="false" ht="15" hidden="false" customHeight="false" outlineLevel="0" collapsed="false">
      <c r="A3496" s="0" t="s">
        <v>7391</v>
      </c>
      <c r="B3496" s="0" t="s">
        <v>7392</v>
      </c>
      <c r="C3496" s="0" t="n">
        <v>0.85</v>
      </c>
    </row>
    <row r="3497" customFormat="false" ht="15" hidden="false" customHeight="false" outlineLevel="0" collapsed="false">
      <c r="A3497" s="0" t="s">
        <v>7393</v>
      </c>
      <c r="B3497" s="0" t="s">
        <v>558</v>
      </c>
      <c r="C3497" s="0" t="n">
        <v>2.95</v>
      </c>
    </row>
    <row r="3498" customFormat="false" ht="15" hidden="false" customHeight="false" outlineLevel="0" collapsed="false">
      <c r="A3498" s="0" t="s">
        <v>7394</v>
      </c>
      <c r="B3498" s="0" t="s">
        <v>559</v>
      </c>
      <c r="C3498" s="0" t="n">
        <v>2.1</v>
      </c>
    </row>
    <row r="3499" customFormat="false" ht="15" hidden="false" customHeight="false" outlineLevel="0" collapsed="false">
      <c r="A3499" s="0" t="s">
        <v>7395</v>
      </c>
      <c r="B3499" s="0" t="s">
        <v>7396</v>
      </c>
      <c r="C3499" s="0" t="n">
        <v>0.65</v>
      </c>
    </row>
    <row r="3500" customFormat="false" ht="15" hidden="false" customHeight="false" outlineLevel="0" collapsed="false">
      <c r="A3500" s="0" t="s">
        <v>7397</v>
      </c>
      <c r="B3500" s="0" t="s">
        <v>239</v>
      </c>
      <c r="C3500" s="0" t="n">
        <v>0.85</v>
      </c>
    </row>
    <row r="3501" customFormat="false" ht="15" hidden="false" customHeight="false" outlineLevel="0" collapsed="false">
      <c r="A3501" s="0" t="s">
        <v>7398</v>
      </c>
      <c r="B3501" s="0" t="s">
        <v>158</v>
      </c>
      <c r="C3501" s="0" t="n">
        <v>0.42</v>
      </c>
    </row>
    <row r="3502" customFormat="false" ht="15" hidden="false" customHeight="false" outlineLevel="0" collapsed="false">
      <c r="A3502" s="0" t="s">
        <v>7399</v>
      </c>
      <c r="B3502" s="0" t="s">
        <v>7400</v>
      </c>
      <c r="C3502" s="0" t="n">
        <v>1.65</v>
      </c>
    </row>
    <row r="3503" customFormat="false" ht="15" hidden="false" customHeight="false" outlineLevel="0" collapsed="false">
      <c r="A3503" s="0" t="s">
        <v>7401</v>
      </c>
      <c r="B3503" s="0" t="s">
        <v>7402</v>
      </c>
      <c r="C3503" s="0" t="n">
        <v>0.85</v>
      </c>
    </row>
    <row r="3504" customFormat="false" ht="15" hidden="false" customHeight="false" outlineLevel="0" collapsed="false">
      <c r="A3504" s="0" t="s">
        <v>7403</v>
      </c>
      <c r="B3504" s="0" t="s">
        <v>7404</v>
      </c>
      <c r="C3504" s="0" t="n">
        <v>1.65</v>
      </c>
    </row>
    <row r="3505" customFormat="false" ht="15" hidden="false" customHeight="false" outlineLevel="0" collapsed="false">
      <c r="A3505" s="0" t="s">
        <v>7405</v>
      </c>
      <c r="B3505" s="0" t="s">
        <v>461</v>
      </c>
      <c r="C3505" s="0" t="n">
        <v>0.21</v>
      </c>
    </row>
    <row r="3506" customFormat="false" ht="15" hidden="false" customHeight="false" outlineLevel="0" collapsed="false">
      <c r="A3506" s="0" t="s">
        <v>7406</v>
      </c>
      <c r="B3506" s="0" t="s">
        <v>7407</v>
      </c>
      <c r="C3506" s="0" t="n">
        <v>3.36</v>
      </c>
    </row>
    <row r="3507" customFormat="false" ht="15" hidden="false" customHeight="false" outlineLevel="0" collapsed="false">
      <c r="A3507" s="0" t="s">
        <v>7408</v>
      </c>
      <c r="B3507" s="0" t="s">
        <v>7409</v>
      </c>
      <c r="C3507" s="0" t="n">
        <v>3.36</v>
      </c>
    </row>
    <row r="3508" customFormat="false" ht="15" hidden="false" customHeight="false" outlineLevel="0" collapsed="false">
      <c r="A3508" s="0" t="s">
        <v>7410</v>
      </c>
      <c r="B3508" s="0" t="s">
        <v>861</v>
      </c>
      <c r="C3508" s="0" t="n">
        <v>0.42</v>
      </c>
    </row>
    <row r="3509" customFormat="false" ht="15" hidden="false" customHeight="false" outlineLevel="0" collapsed="false">
      <c r="A3509" s="0" t="s">
        <v>7411</v>
      </c>
      <c r="B3509" s="0" t="s">
        <v>7412</v>
      </c>
      <c r="C3509" s="0" t="n">
        <v>1.25</v>
      </c>
    </row>
    <row r="3510" customFormat="false" ht="15" hidden="false" customHeight="false" outlineLevel="0" collapsed="false">
      <c r="A3510" s="0" t="s">
        <v>7413</v>
      </c>
      <c r="B3510" s="0" t="s">
        <v>7414</v>
      </c>
      <c r="C3510" s="0" t="n">
        <v>2.95</v>
      </c>
    </row>
    <row r="3511" customFormat="false" ht="15" hidden="false" customHeight="false" outlineLevel="0" collapsed="false">
      <c r="A3511" s="0" t="s">
        <v>7415</v>
      </c>
      <c r="B3511" s="0" t="s">
        <v>863</v>
      </c>
      <c r="C3511" s="0" t="n">
        <v>1.25</v>
      </c>
    </row>
    <row r="3512" customFormat="false" ht="15" hidden="false" customHeight="false" outlineLevel="0" collapsed="false">
      <c r="A3512" s="0" t="s">
        <v>7416</v>
      </c>
      <c r="B3512" s="0" t="s">
        <v>7417</v>
      </c>
      <c r="C3512" s="0" t="n">
        <v>1.45</v>
      </c>
    </row>
    <row r="3513" customFormat="false" ht="15" hidden="false" customHeight="false" outlineLevel="0" collapsed="false">
      <c r="A3513" s="0" t="s">
        <v>7418</v>
      </c>
      <c r="B3513" s="0" t="s">
        <v>801</v>
      </c>
      <c r="C3513" s="0" t="n">
        <v>0.25</v>
      </c>
    </row>
    <row r="3514" customFormat="false" ht="15" hidden="false" customHeight="false" outlineLevel="0" collapsed="false">
      <c r="A3514" s="0" t="s">
        <v>7419</v>
      </c>
      <c r="B3514" s="0" t="s">
        <v>7420</v>
      </c>
      <c r="C3514" s="0" t="n">
        <v>0.42</v>
      </c>
    </row>
    <row r="3515" customFormat="false" ht="15" hidden="false" customHeight="false" outlineLevel="0" collapsed="false">
      <c r="A3515" s="0" t="s">
        <v>7421</v>
      </c>
      <c r="B3515" s="0" t="s">
        <v>7422</v>
      </c>
      <c r="C3515" s="0" t="n">
        <v>0.42</v>
      </c>
    </row>
    <row r="3516" customFormat="false" ht="15" hidden="false" customHeight="false" outlineLevel="0" collapsed="false">
      <c r="A3516" s="0" t="s">
        <v>7423</v>
      </c>
      <c r="B3516" s="0" t="s">
        <v>7424</v>
      </c>
      <c r="C3516" s="0" t="n">
        <v>2.1</v>
      </c>
    </row>
    <row r="3517" customFormat="false" ht="15" hidden="false" customHeight="false" outlineLevel="0" collapsed="false">
      <c r="A3517" s="0" t="s">
        <v>7425</v>
      </c>
      <c r="B3517" s="0" t="s">
        <v>7426</v>
      </c>
      <c r="C3517" s="0" t="n">
        <v>0.3</v>
      </c>
    </row>
    <row r="3518" customFormat="false" ht="15" hidden="false" customHeight="false" outlineLevel="0" collapsed="false">
      <c r="A3518" s="0" t="s">
        <v>7427</v>
      </c>
      <c r="B3518" s="0" t="s">
        <v>7428</v>
      </c>
      <c r="C3518" s="0" t="n">
        <v>1.65</v>
      </c>
    </row>
    <row r="3519" customFormat="false" ht="15" hidden="false" customHeight="false" outlineLevel="0" collapsed="false">
      <c r="A3519" s="0" t="s">
        <v>7429</v>
      </c>
      <c r="B3519" s="0" t="s">
        <v>7430</v>
      </c>
      <c r="C3519" s="0" t="n">
        <v>1.95</v>
      </c>
    </row>
    <row r="3520" customFormat="false" ht="15" hidden="false" customHeight="false" outlineLevel="0" collapsed="false">
      <c r="A3520" s="0" t="s">
        <v>7431</v>
      </c>
      <c r="B3520" s="0" t="s">
        <v>7432</v>
      </c>
      <c r="C3520" s="0" t="n">
        <v>2.95</v>
      </c>
    </row>
    <row r="3521" customFormat="false" ht="15" hidden="false" customHeight="false" outlineLevel="0" collapsed="false">
      <c r="A3521" s="0" t="s">
        <v>7433</v>
      </c>
      <c r="B3521" s="0" t="s">
        <v>7434</v>
      </c>
      <c r="C3521" s="0" t="n">
        <v>1.45</v>
      </c>
    </row>
    <row r="3522" customFormat="false" ht="15" hidden="false" customHeight="false" outlineLevel="0" collapsed="false">
      <c r="A3522" s="0" t="s">
        <v>7435</v>
      </c>
      <c r="B3522" s="0" t="s">
        <v>7436</v>
      </c>
      <c r="C3522" s="0" t="n">
        <v>0.42</v>
      </c>
    </row>
    <row r="3523" customFormat="false" ht="15" hidden="false" customHeight="false" outlineLevel="0" collapsed="false">
      <c r="A3523" s="0" t="s">
        <v>7437</v>
      </c>
      <c r="B3523" s="0" t="s">
        <v>7438</v>
      </c>
      <c r="C3523" s="0" t="n">
        <v>0.85</v>
      </c>
    </row>
    <row r="3524" customFormat="false" ht="15" hidden="false" customHeight="false" outlineLevel="0" collapsed="false">
      <c r="A3524" s="0" t="s">
        <v>7439</v>
      </c>
      <c r="B3524" s="0" t="s">
        <v>7440</v>
      </c>
      <c r="C3524" s="0" t="n">
        <v>0.85</v>
      </c>
    </row>
    <row r="3525" customFormat="false" ht="15" hidden="false" customHeight="false" outlineLevel="0" collapsed="false">
      <c r="A3525" s="0" t="s">
        <v>7441</v>
      </c>
      <c r="B3525" s="0" t="s">
        <v>7442</v>
      </c>
      <c r="C3525" s="0" t="n">
        <v>14.43</v>
      </c>
    </row>
    <row r="3526" customFormat="false" ht="15" hidden="false" customHeight="false" outlineLevel="0" collapsed="false">
      <c r="A3526" s="0" t="s">
        <v>7443</v>
      </c>
      <c r="B3526" s="0" t="s">
        <v>7444</v>
      </c>
      <c r="C3526" s="0" t="n">
        <v>1.25</v>
      </c>
    </row>
    <row r="3527" customFormat="false" ht="15" hidden="false" customHeight="false" outlineLevel="0" collapsed="false">
      <c r="A3527" s="0" t="s">
        <v>7445</v>
      </c>
      <c r="B3527" s="0" t="s">
        <v>7446</v>
      </c>
      <c r="C3527" s="0" t="n">
        <v>3.75</v>
      </c>
    </row>
    <row r="3528" customFormat="false" ht="15" hidden="false" customHeight="false" outlineLevel="0" collapsed="false">
      <c r="A3528" s="0" t="s">
        <v>7447</v>
      </c>
      <c r="B3528" s="0" t="s">
        <v>7448</v>
      </c>
      <c r="C3528" s="0" t="n">
        <v>3.25</v>
      </c>
    </row>
    <row r="3529" customFormat="false" ht="15" hidden="false" customHeight="false" outlineLevel="0" collapsed="false">
      <c r="A3529" s="0" t="s">
        <v>7449</v>
      </c>
      <c r="B3529" s="0" t="s">
        <v>862</v>
      </c>
      <c r="C3529" s="0" t="n">
        <v>1.25</v>
      </c>
    </row>
    <row r="3530" customFormat="false" ht="15" hidden="false" customHeight="false" outlineLevel="0" collapsed="false">
      <c r="A3530" s="0" t="s">
        <v>7450</v>
      </c>
      <c r="B3530" s="0" t="s">
        <v>7451</v>
      </c>
      <c r="C3530" s="0" t="n">
        <v>0.85</v>
      </c>
    </row>
    <row r="3531" customFormat="false" ht="15" hidden="false" customHeight="false" outlineLevel="0" collapsed="false">
      <c r="A3531" s="0" t="s">
        <v>7452</v>
      </c>
      <c r="B3531" s="0" t="s">
        <v>7453</v>
      </c>
      <c r="C3531" s="0" t="n">
        <v>1.95</v>
      </c>
    </row>
    <row r="3532" customFormat="false" ht="15" hidden="false" customHeight="false" outlineLevel="0" collapsed="false">
      <c r="A3532" s="0" t="s">
        <v>7454</v>
      </c>
      <c r="B3532" s="0" t="s">
        <v>7455</v>
      </c>
      <c r="C3532" s="0" t="n">
        <v>1.95</v>
      </c>
    </row>
    <row r="3533" customFormat="false" ht="15" hidden="false" customHeight="false" outlineLevel="0" collapsed="false">
      <c r="A3533" s="0" t="s">
        <v>7456</v>
      </c>
      <c r="B3533" s="0" t="s">
        <v>7457</v>
      </c>
      <c r="C3533" s="0" t="n">
        <v>1.65</v>
      </c>
    </row>
    <row r="3534" customFormat="false" ht="15" hidden="false" customHeight="false" outlineLevel="0" collapsed="false">
      <c r="A3534" s="0" t="s">
        <v>7458</v>
      </c>
      <c r="B3534" s="0" t="s">
        <v>7459</v>
      </c>
      <c r="C3534" s="0" t="n">
        <v>0.85</v>
      </c>
    </row>
    <row r="3535" customFormat="false" ht="15" hidden="false" customHeight="false" outlineLevel="0" collapsed="false">
      <c r="A3535" s="0" t="s">
        <v>7460</v>
      </c>
      <c r="B3535" s="0" t="s">
        <v>7461</v>
      </c>
      <c r="C3535" s="0" t="n">
        <v>1.95</v>
      </c>
    </row>
    <row r="3536" customFormat="false" ht="15" hidden="false" customHeight="false" outlineLevel="0" collapsed="false">
      <c r="A3536" s="0" t="s">
        <v>7462</v>
      </c>
      <c r="B3536" s="0" t="s">
        <v>7463</v>
      </c>
      <c r="C3536" s="0" t="n">
        <v>1.25</v>
      </c>
    </row>
    <row r="3537" customFormat="false" ht="15" hidden="false" customHeight="false" outlineLevel="0" collapsed="false">
      <c r="A3537" s="0" t="s">
        <v>7464</v>
      </c>
      <c r="B3537" s="0" t="s">
        <v>579</v>
      </c>
      <c r="C3537" s="0" t="n">
        <v>0.85</v>
      </c>
    </row>
    <row r="3538" customFormat="false" ht="15" hidden="false" customHeight="false" outlineLevel="0" collapsed="false">
      <c r="A3538" s="0" t="s">
        <v>7465</v>
      </c>
      <c r="B3538" s="0" t="s">
        <v>555</v>
      </c>
      <c r="C3538" s="0" t="n">
        <v>0.85</v>
      </c>
    </row>
    <row r="3539" customFormat="false" ht="15" hidden="false" customHeight="false" outlineLevel="0" collapsed="false">
      <c r="A3539" s="0" t="s">
        <v>7466</v>
      </c>
      <c r="B3539" s="0" t="s">
        <v>339</v>
      </c>
      <c r="C3539" s="0" t="n">
        <v>0.85</v>
      </c>
    </row>
    <row r="3540" customFormat="false" ht="15" hidden="false" customHeight="false" outlineLevel="0" collapsed="false">
      <c r="A3540" s="0" t="s">
        <v>7467</v>
      </c>
      <c r="B3540" s="0" t="s">
        <v>7468</v>
      </c>
      <c r="C3540" s="0" t="n">
        <v>3.75</v>
      </c>
    </row>
    <row r="3541" customFormat="false" ht="15" hidden="false" customHeight="false" outlineLevel="0" collapsed="false">
      <c r="A3541" s="0" t="s">
        <v>7469</v>
      </c>
      <c r="B3541" s="0" t="s">
        <v>7470</v>
      </c>
      <c r="C3541" s="0" t="n">
        <v>1.25</v>
      </c>
    </row>
    <row r="3542" customFormat="false" ht="15" hidden="false" customHeight="false" outlineLevel="0" collapsed="false">
      <c r="A3542" s="0" t="s">
        <v>7471</v>
      </c>
      <c r="B3542" s="0" t="s">
        <v>7472</v>
      </c>
      <c r="C3542" s="0" t="n">
        <v>2.95</v>
      </c>
    </row>
    <row r="3543" customFormat="false" ht="15" hidden="false" customHeight="false" outlineLevel="0" collapsed="false">
      <c r="A3543" s="0" t="s">
        <v>7473</v>
      </c>
      <c r="B3543" s="0" t="s">
        <v>7474</v>
      </c>
      <c r="C3543" s="0" t="n">
        <v>4.95</v>
      </c>
    </row>
    <row r="3544" customFormat="false" ht="15" hidden="false" customHeight="false" outlineLevel="0" collapsed="false">
      <c r="A3544" s="0" t="s">
        <v>7475</v>
      </c>
      <c r="B3544" s="0" t="s">
        <v>7476</v>
      </c>
      <c r="C3544" s="0" t="n">
        <v>2.95</v>
      </c>
    </row>
    <row r="3545" customFormat="false" ht="15" hidden="false" customHeight="false" outlineLevel="0" collapsed="false">
      <c r="A3545" s="0" t="s">
        <v>7477</v>
      </c>
      <c r="B3545" s="0" t="s">
        <v>7478</v>
      </c>
      <c r="C3545" s="0" t="n">
        <v>2.95</v>
      </c>
    </row>
    <row r="3546" customFormat="false" ht="15" hidden="false" customHeight="false" outlineLevel="0" collapsed="false">
      <c r="A3546" s="0" t="s">
        <v>7479</v>
      </c>
      <c r="B3546" s="0" t="s">
        <v>7480</v>
      </c>
      <c r="C3546" s="0" t="n">
        <v>0.35</v>
      </c>
    </row>
    <row r="3547" customFormat="false" ht="15" hidden="false" customHeight="false" outlineLevel="0" collapsed="false">
      <c r="A3547" s="0" t="s">
        <v>7481</v>
      </c>
      <c r="B3547" s="0" t="s">
        <v>7482</v>
      </c>
      <c r="C3547" s="0" t="n">
        <v>1.25</v>
      </c>
    </row>
    <row r="3548" customFormat="false" ht="15" hidden="false" customHeight="false" outlineLevel="0" collapsed="false">
      <c r="A3548" s="0" t="s">
        <v>7483</v>
      </c>
      <c r="B3548" s="0" t="s">
        <v>7484</v>
      </c>
      <c r="C3548" s="0" t="n">
        <v>0.85</v>
      </c>
    </row>
    <row r="3549" customFormat="false" ht="15" hidden="false" customHeight="false" outlineLevel="0" collapsed="false">
      <c r="A3549" s="0" t="s">
        <v>7485</v>
      </c>
      <c r="B3549" s="0" t="s">
        <v>7486</v>
      </c>
      <c r="C3549" s="0" t="n">
        <v>4.95</v>
      </c>
    </row>
    <row r="3550" customFormat="false" ht="15" hidden="false" customHeight="false" outlineLevel="0" collapsed="false">
      <c r="A3550" s="0" t="s">
        <v>7487</v>
      </c>
      <c r="B3550" s="0" t="s">
        <v>7488</v>
      </c>
      <c r="C3550" s="0" t="n">
        <v>0.85</v>
      </c>
    </row>
    <row r="3551" customFormat="false" ht="15" hidden="false" customHeight="false" outlineLevel="0" collapsed="false">
      <c r="A3551" s="0" t="s">
        <v>7489</v>
      </c>
      <c r="B3551" s="0" t="s">
        <v>7490</v>
      </c>
      <c r="C3551" s="0" t="n">
        <v>4.65</v>
      </c>
    </row>
    <row r="3552" customFormat="false" ht="15" hidden="false" customHeight="false" outlineLevel="0" collapsed="false">
      <c r="A3552" s="0" t="s">
        <v>7491</v>
      </c>
      <c r="B3552" s="0" t="s">
        <v>7492</v>
      </c>
      <c r="C3552" s="0" t="n">
        <v>1.65</v>
      </c>
    </row>
    <row r="3553" customFormat="false" ht="15" hidden="false" customHeight="false" outlineLevel="0" collapsed="false">
      <c r="A3553" s="0" t="s">
        <v>7493</v>
      </c>
      <c r="B3553" s="0" t="s">
        <v>7494</v>
      </c>
      <c r="C3553" s="0" t="n">
        <v>3.75</v>
      </c>
    </row>
    <row r="3554" customFormat="false" ht="15" hidden="false" customHeight="false" outlineLevel="0" collapsed="false">
      <c r="A3554" s="0" t="s">
        <v>7495</v>
      </c>
      <c r="B3554" s="0" t="s">
        <v>7496</v>
      </c>
      <c r="C3554" s="0" t="n">
        <v>1.25</v>
      </c>
    </row>
    <row r="3555" customFormat="false" ht="15" hidden="false" customHeight="false" outlineLevel="0" collapsed="false">
      <c r="A3555" s="0" t="s">
        <v>7497</v>
      </c>
      <c r="B3555" s="0" t="s">
        <v>340</v>
      </c>
      <c r="C3555" s="0" t="n">
        <v>0.85</v>
      </c>
    </row>
    <row r="3556" customFormat="false" ht="15" hidden="false" customHeight="false" outlineLevel="0" collapsed="false">
      <c r="A3556" s="0" t="s">
        <v>7498</v>
      </c>
      <c r="B3556" s="0" t="s">
        <v>7499</v>
      </c>
      <c r="C3556" s="0" t="n">
        <v>1.49</v>
      </c>
    </row>
    <row r="3557" customFormat="false" ht="15" hidden="false" customHeight="false" outlineLevel="0" collapsed="false">
      <c r="A3557" s="0" t="s">
        <v>7500</v>
      </c>
      <c r="B3557" s="0" t="s">
        <v>7501</v>
      </c>
      <c r="C3557" s="0" t="n">
        <v>1.66</v>
      </c>
    </row>
    <row r="3558" customFormat="false" ht="15" hidden="false" customHeight="false" outlineLevel="0" collapsed="false">
      <c r="A3558" s="0" t="s">
        <v>7502</v>
      </c>
      <c r="B3558" s="0" t="s">
        <v>7503</v>
      </c>
      <c r="C3558" s="0" t="n">
        <v>0.65</v>
      </c>
    </row>
    <row r="3559" customFormat="false" ht="15" hidden="false" customHeight="false" outlineLevel="0" collapsed="false">
      <c r="A3559" s="0" t="s">
        <v>7504</v>
      </c>
      <c r="B3559" s="0" t="s">
        <v>7505</v>
      </c>
      <c r="C3559" s="0" t="n">
        <v>2.95</v>
      </c>
    </row>
    <row r="3560" customFormat="false" ht="15" hidden="false" customHeight="false" outlineLevel="0" collapsed="false">
      <c r="A3560" s="0" t="s">
        <v>7506</v>
      </c>
      <c r="B3560" s="0" t="s">
        <v>7507</v>
      </c>
      <c r="C3560" s="0" t="n">
        <v>0.85</v>
      </c>
    </row>
    <row r="3561" customFormat="false" ht="15" hidden="false" customHeight="false" outlineLevel="0" collapsed="false">
      <c r="A3561" s="0" t="s">
        <v>7508</v>
      </c>
      <c r="B3561" s="0" t="s">
        <v>7509</v>
      </c>
      <c r="C3561" s="0" t="n">
        <v>2.95</v>
      </c>
    </row>
    <row r="3562" customFormat="false" ht="15" hidden="false" customHeight="false" outlineLevel="0" collapsed="false">
      <c r="A3562" s="0" t="s">
        <v>7510</v>
      </c>
      <c r="B3562" s="0" t="s">
        <v>7511</v>
      </c>
      <c r="C3562" s="0" t="n">
        <v>3.36</v>
      </c>
    </row>
    <row r="3563" customFormat="false" ht="15" hidden="false" customHeight="false" outlineLevel="0" collapsed="false">
      <c r="A3563" s="0" t="s">
        <v>7512</v>
      </c>
      <c r="B3563" s="0" t="s">
        <v>7513</v>
      </c>
      <c r="C3563" s="0" t="n">
        <v>1.25</v>
      </c>
    </row>
    <row r="3564" customFormat="false" ht="15" hidden="false" customHeight="false" outlineLevel="0" collapsed="false">
      <c r="A3564" s="0" t="s">
        <v>7514</v>
      </c>
      <c r="B3564" s="0" t="s">
        <v>7515</v>
      </c>
      <c r="C3564" s="0" t="n">
        <v>1.95</v>
      </c>
    </row>
    <row r="3565" customFormat="false" ht="15" hidden="false" customHeight="false" outlineLevel="0" collapsed="false">
      <c r="A3565" s="0" t="s">
        <v>7516</v>
      </c>
      <c r="B3565" s="0" t="s">
        <v>7517</v>
      </c>
      <c r="C3565" s="0" t="n">
        <v>1.25</v>
      </c>
    </row>
    <row r="3566" customFormat="false" ht="15" hidden="false" customHeight="false" outlineLevel="0" collapsed="false">
      <c r="A3566" s="0" t="s">
        <v>7518</v>
      </c>
      <c r="B3566" s="0" t="s">
        <v>7519</v>
      </c>
      <c r="C3566" s="0" t="n">
        <v>1.25</v>
      </c>
    </row>
    <row r="3567" customFormat="false" ht="15" hidden="false" customHeight="false" outlineLevel="0" collapsed="false">
      <c r="A3567" s="0" t="s">
        <v>7520</v>
      </c>
      <c r="B3567" s="0" t="s">
        <v>7521</v>
      </c>
      <c r="C3567" s="0" t="n">
        <v>1.25</v>
      </c>
    </row>
    <row r="3568" customFormat="false" ht="15" hidden="false" customHeight="false" outlineLevel="0" collapsed="false">
      <c r="A3568" s="0" t="s">
        <v>7522</v>
      </c>
      <c r="B3568" s="0" t="s">
        <v>7523</v>
      </c>
      <c r="C3568" s="0" t="n">
        <v>1.25</v>
      </c>
    </row>
    <row r="3569" customFormat="false" ht="15" hidden="false" customHeight="false" outlineLevel="0" collapsed="false">
      <c r="A3569" s="0" t="s">
        <v>7524</v>
      </c>
      <c r="B3569" s="0" t="s">
        <v>7525</v>
      </c>
      <c r="C3569" s="0" t="n">
        <v>1.25</v>
      </c>
    </row>
    <row r="3570" customFormat="false" ht="15" hidden="false" customHeight="false" outlineLevel="0" collapsed="false">
      <c r="A3570" s="0" t="s">
        <v>7526</v>
      </c>
      <c r="B3570" s="0" t="s">
        <v>308</v>
      </c>
      <c r="C3570" s="0" t="n">
        <v>0.42</v>
      </c>
    </row>
    <row r="3571" customFormat="false" ht="15" hidden="false" customHeight="false" outlineLevel="0" collapsed="false">
      <c r="A3571" s="0" t="s">
        <v>7527</v>
      </c>
      <c r="B3571" s="0" t="s">
        <v>7528</v>
      </c>
      <c r="C3571" s="0" t="n">
        <v>1.25</v>
      </c>
    </row>
    <row r="3572" customFormat="false" ht="15" hidden="false" customHeight="false" outlineLevel="0" collapsed="false">
      <c r="A3572" s="0" t="s">
        <v>7529</v>
      </c>
      <c r="B3572" s="0" t="s">
        <v>161</v>
      </c>
      <c r="C3572" s="0" t="n">
        <v>0.42</v>
      </c>
    </row>
    <row r="3573" customFormat="false" ht="15" hidden="false" customHeight="false" outlineLevel="0" collapsed="false">
      <c r="A3573" s="0" t="s">
        <v>7530</v>
      </c>
      <c r="B3573" s="0" t="s">
        <v>307</v>
      </c>
      <c r="C3573" s="0" t="n">
        <v>1.95</v>
      </c>
    </row>
    <row r="3574" customFormat="false" ht="15" hidden="false" customHeight="false" outlineLevel="0" collapsed="false">
      <c r="A3574" s="0" t="s">
        <v>7531</v>
      </c>
      <c r="B3574" s="0" t="s">
        <v>607</v>
      </c>
      <c r="C3574" s="0" t="n">
        <v>4.95</v>
      </c>
    </row>
    <row r="3575" customFormat="false" ht="15" hidden="false" customHeight="false" outlineLevel="0" collapsed="false">
      <c r="A3575" s="0" t="s">
        <v>7532</v>
      </c>
      <c r="B3575" s="0" t="s">
        <v>7533</v>
      </c>
      <c r="C3575" s="0" t="n">
        <v>0.42</v>
      </c>
    </row>
    <row r="3576" customFormat="false" ht="15" hidden="false" customHeight="false" outlineLevel="0" collapsed="false">
      <c r="A3576" s="0" t="s">
        <v>7534</v>
      </c>
      <c r="B3576" s="0" t="s">
        <v>7535</v>
      </c>
      <c r="C3576" s="0" t="n">
        <v>1.65</v>
      </c>
    </row>
    <row r="3577" customFormat="false" ht="15" hidden="false" customHeight="false" outlineLevel="0" collapsed="false">
      <c r="A3577" s="0" t="s">
        <v>7536</v>
      </c>
      <c r="B3577" s="0" t="s">
        <v>7537</v>
      </c>
      <c r="C3577" s="0" t="n">
        <v>1.95</v>
      </c>
    </row>
    <row r="3578" customFormat="false" ht="15" hidden="false" customHeight="false" outlineLevel="0" collapsed="false">
      <c r="A3578" s="0" t="s">
        <v>7538</v>
      </c>
      <c r="B3578" s="0" t="s">
        <v>7539</v>
      </c>
      <c r="C3578" s="0" t="n">
        <v>0.42</v>
      </c>
    </row>
    <row r="3579" customFormat="false" ht="15" hidden="false" customHeight="false" outlineLevel="0" collapsed="false">
      <c r="A3579" s="0" t="s">
        <v>7540</v>
      </c>
      <c r="B3579" s="0" t="s">
        <v>7541</v>
      </c>
      <c r="C3579" s="0" t="n">
        <v>5.94</v>
      </c>
    </row>
    <row r="3580" customFormat="false" ht="15" hidden="false" customHeight="false" outlineLevel="0" collapsed="false">
      <c r="A3580" s="0" t="s">
        <v>7542</v>
      </c>
      <c r="B3580" s="0" t="s">
        <v>7543</v>
      </c>
      <c r="C3580" s="0" t="n">
        <v>8.65</v>
      </c>
    </row>
    <row r="3581" customFormat="false" ht="15" hidden="false" customHeight="false" outlineLevel="0" collapsed="false">
      <c r="A3581" s="0" t="s">
        <v>7544</v>
      </c>
      <c r="B3581" s="0" t="s">
        <v>7545</v>
      </c>
      <c r="C3581" s="0" t="n">
        <v>4.25</v>
      </c>
    </row>
    <row r="3582" customFormat="false" ht="15" hidden="false" customHeight="false" outlineLevel="0" collapsed="false">
      <c r="A3582" s="0" t="s">
        <v>7546</v>
      </c>
      <c r="B3582" s="0" t="s">
        <v>7547</v>
      </c>
      <c r="C3582" s="0" t="n">
        <v>5.91</v>
      </c>
    </row>
    <row r="3583" customFormat="false" ht="15" hidden="false" customHeight="false" outlineLevel="0" collapsed="false">
      <c r="A3583" s="0" t="s">
        <v>7548</v>
      </c>
      <c r="B3583" s="0" t="s">
        <v>328</v>
      </c>
      <c r="C3583" s="0" t="n">
        <v>4.25</v>
      </c>
    </row>
    <row r="3584" customFormat="false" ht="15" hidden="false" customHeight="false" outlineLevel="0" collapsed="false">
      <c r="A3584" s="0" t="s">
        <v>7549</v>
      </c>
      <c r="B3584" s="0" t="s">
        <v>7550</v>
      </c>
      <c r="C3584" s="0" t="n">
        <v>1.25</v>
      </c>
    </row>
    <row r="3585" customFormat="false" ht="15" hidden="false" customHeight="false" outlineLevel="0" collapsed="false">
      <c r="A3585" s="0" t="s">
        <v>7551</v>
      </c>
      <c r="B3585" s="0" t="s">
        <v>7552</v>
      </c>
      <c r="C3585" s="0" t="n">
        <v>1.45</v>
      </c>
    </row>
    <row r="3586" customFormat="false" ht="15" hidden="false" customHeight="false" outlineLevel="0" collapsed="false">
      <c r="A3586" s="0" t="s">
        <v>7553</v>
      </c>
      <c r="B3586" s="0" t="s">
        <v>7554</v>
      </c>
      <c r="C3586" s="0" t="n">
        <v>1.45</v>
      </c>
    </row>
    <row r="3587" customFormat="false" ht="15" hidden="false" customHeight="false" outlineLevel="0" collapsed="false">
      <c r="A3587" s="0" t="s">
        <v>7555</v>
      </c>
      <c r="B3587" s="0" t="s">
        <v>7556</v>
      </c>
      <c r="C3587" s="0" t="n">
        <v>1.45</v>
      </c>
    </row>
    <row r="3588" customFormat="false" ht="15" hidden="false" customHeight="false" outlineLevel="0" collapsed="false">
      <c r="A3588" s="0" t="s">
        <v>7557</v>
      </c>
      <c r="B3588" s="0" t="s">
        <v>7558</v>
      </c>
      <c r="C3588" s="0" t="n">
        <v>1.95</v>
      </c>
    </row>
    <row r="3589" customFormat="false" ht="15" hidden="false" customHeight="false" outlineLevel="0" collapsed="false">
      <c r="A3589" s="0" t="s">
        <v>7559</v>
      </c>
      <c r="B3589" s="0" t="s">
        <v>7560</v>
      </c>
      <c r="C3589" s="0" t="n">
        <v>5.95</v>
      </c>
    </row>
    <row r="3590" customFormat="false" ht="15" hidden="false" customHeight="false" outlineLevel="0" collapsed="false">
      <c r="A3590" s="0" t="s">
        <v>7559</v>
      </c>
      <c r="B3590" s="0" t="s">
        <v>7561</v>
      </c>
      <c r="C3590" s="0" t="n">
        <v>3.95</v>
      </c>
    </row>
    <row r="3591" customFormat="false" ht="15" hidden="false" customHeight="false" outlineLevel="0" collapsed="false">
      <c r="A3591" s="0" t="s">
        <v>7562</v>
      </c>
      <c r="B3591" s="0" t="s">
        <v>7563</v>
      </c>
      <c r="C3591" s="0" t="n">
        <v>7.95</v>
      </c>
    </row>
    <row r="3592" customFormat="false" ht="15" hidden="false" customHeight="false" outlineLevel="0" collapsed="false">
      <c r="A3592" s="0" t="s">
        <v>7564</v>
      </c>
      <c r="B3592" s="0" t="s">
        <v>7565</v>
      </c>
      <c r="C3592" s="0" t="n">
        <v>0.85</v>
      </c>
    </row>
    <row r="3593" customFormat="false" ht="15" hidden="false" customHeight="false" outlineLevel="0" collapsed="false">
      <c r="A3593" s="0" t="s">
        <v>7566</v>
      </c>
      <c r="B3593" s="0" t="s">
        <v>7567</v>
      </c>
      <c r="C3593" s="0" t="n">
        <v>7.95</v>
      </c>
    </row>
    <row r="3594" customFormat="false" ht="15" hidden="false" customHeight="false" outlineLevel="0" collapsed="false">
      <c r="A3594" s="0" t="s">
        <v>7568</v>
      </c>
      <c r="B3594" s="0" t="s">
        <v>7569</v>
      </c>
      <c r="C3594" s="0" t="n">
        <v>2.95</v>
      </c>
    </row>
    <row r="3595" customFormat="false" ht="15" hidden="false" customHeight="false" outlineLevel="0" collapsed="false">
      <c r="A3595" s="0" t="s">
        <v>7570</v>
      </c>
      <c r="B3595" s="0" t="s">
        <v>7571</v>
      </c>
      <c r="C3595" s="0" t="n">
        <v>5.09</v>
      </c>
    </row>
    <row r="3596" customFormat="false" ht="15" hidden="false" customHeight="false" outlineLevel="0" collapsed="false">
      <c r="A3596" s="0" t="s">
        <v>7572</v>
      </c>
      <c r="B3596" s="0" t="s">
        <v>7573</v>
      </c>
      <c r="C3596" s="0" t="n">
        <v>0.85</v>
      </c>
    </row>
    <row r="3597" customFormat="false" ht="15" hidden="false" customHeight="false" outlineLevel="0" collapsed="false">
      <c r="A3597" s="0" t="s">
        <v>7574</v>
      </c>
      <c r="B3597" s="0" t="s">
        <v>7575</v>
      </c>
      <c r="C3597" s="0" t="n">
        <v>2.1</v>
      </c>
    </row>
    <row r="3598" customFormat="false" ht="15" hidden="false" customHeight="false" outlineLevel="0" collapsed="false">
      <c r="A3598" s="0" t="s">
        <v>7576</v>
      </c>
      <c r="B3598" s="0" t="s">
        <v>7577</v>
      </c>
      <c r="C3598" s="0" t="n">
        <v>0.65</v>
      </c>
    </row>
    <row r="3599" customFormat="false" ht="15" hidden="false" customHeight="false" outlineLevel="0" collapsed="false">
      <c r="A3599" s="0" t="s">
        <v>7578</v>
      </c>
      <c r="B3599" s="0" t="s">
        <v>7579</v>
      </c>
      <c r="C3599" s="0" t="n">
        <v>0.42</v>
      </c>
    </row>
    <row r="3600" customFormat="false" ht="15" hidden="false" customHeight="false" outlineLevel="0" collapsed="false">
      <c r="A3600" s="0" t="s">
        <v>7580</v>
      </c>
      <c r="B3600" s="0" t="s">
        <v>7581</v>
      </c>
      <c r="C3600" s="0" t="n">
        <v>2.95</v>
      </c>
    </row>
    <row r="3601" customFormat="false" ht="15" hidden="false" customHeight="false" outlineLevel="0" collapsed="false">
      <c r="A3601" s="0" t="s">
        <v>7582</v>
      </c>
      <c r="B3601" s="0" t="s">
        <v>7583</v>
      </c>
      <c r="C3601" s="0" t="n">
        <v>1.45</v>
      </c>
    </row>
    <row r="3602" customFormat="false" ht="15" hidden="false" customHeight="false" outlineLevel="0" collapsed="false">
      <c r="A3602" s="0" t="s">
        <v>7584</v>
      </c>
      <c r="B3602" s="0" t="s">
        <v>7585</v>
      </c>
      <c r="C3602" s="0" t="n">
        <v>5.06</v>
      </c>
    </row>
    <row r="3603" customFormat="false" ht="15" hidden="false" customHeight="false" outlineLevel="0" collapsed="false">
      <c r="A3603" s="0" t="s">
        <v>7586</v>
      </c>
      <c r="B3603" s="0" t="s">
        <v>7587</v>
      </c>
      <c r="C3603" s="0" t="n">
        <v>0.85</v>
      </c>
    </row>
    <row r="3604" customFormat="false" ht="15" hidden="false" customHeight="false" outlineLevel="0" collapsed="false">
      <c r="A3604" s="0" t="s">
        <v>7588</v>
      </c>
      <c r="B3604" s="0" t="s">
        <v>7589</v>
      </c>
      <c r="C3604" s="0" t="n">
        <v>2.55</v>
      </c>
    </row>
    <row r="3605" customFormat="false" ht="15" hidden="false" customHeight="false" outlineLevel="0" collapsed="false">
      <c r="A3605" s="0" t="s">
        <v>7590</v>
      </c>
      <c r="B3605" s="0" t="s">
        <v>755</v>
      </c>
      <c r="C3605" s="0" t="n">
        <v>0.65</v>
      </c>
    </row>
    <row r="3606" customFormat="false" ht="15" hidden="false" customHeight="false" outlineLevel="0" collapsed="false">
      <c r="A3606" s="0" t="s">
        <v>7591</v>
      </c>
      <c r="B3606" s="0" t="s">
        <v>7592</v>
      </c>
      <c r="C3606" s="0" t="n">
        <v>14.95</v>
      </c>
    </row>
    <row r="3607" customFormat="false" ht="15" hidden="false" customHeight="false" outlineLevel="0" collapsed="false">
      <c r="A3607" s="0" t="s">
        <v>7593</v>
      </c>
      <c r="B3607" s="0" t="s">
        <v>7594</v>
      </c>
      <c r="C3607" s="0" t="n">
        <v>0.85</v>
      </c>
    </row>
    <row r="3608" customFormat="false" ht="15" hidden="false" customHeight="false" outlineLevel="0" collapsed="false">
      <c r="A3608" s="0" t="s">
        <v>7595</v>
      </c>
      <c r="B3608" s="0" t="s">
        <v>7596</v>
      </c>
      <c r="C3608" s="0" t="n">
        <v>1.25</v>
      </c>
    </row>
    <row r="3609" customFormat="false" ht="15" hidden="false" customHeight="false" outlineLevel="0" collapsed="false">
      <c r="A3609" s="0" t="s">
        <v>7597</v>
      </c>
      <c r="B3609" s="0" t="s">
        <v>7598</v>
      </c>
      <c r="C3609" s="0" t="n">
        <v>1.25</v>
      </c>
    </row>
    <row r="3610" customFormat="false" ht="15" hidden="false" customHeight="false" outlineLevel="0" collapsed="false">
      <c r="A3610" s="0" t="s">
        <v>7599</v>
      </c>
      <c r="B3610" s="0" t="s">
        <v>7600</v>
      </c>
      <c r="C3610" s="0" t="n">
        <v>0.85</v>
      </c>
    </row>
    <row r="3611" customFormat="false" ht="15" hidden="false" customHeight="false" outlineLevel="0" collapsed="false">
      <c r="A3611" s="0" t="s">
        <v>7601</v>
      </c>
      <c r="B3611" s="0" t="s">
        <v>31</v>
      </c>
      <c r="C3611" s="0" t="n">
        <v>1.25</v>
      </c>
    </row>
    <row r="3612" customFormat="false" ht="15" hidden="false" customHeight="false" outlineLevel="0" collapsed="false">
      <c r="A3612" s="0" t="s">
        <v>7602</v>
      </c>
      <c r="B3612" s="0" t="s">
        <v>256</v>
      </c>
      <c r="C3612" s="0" t="n">
        <v>0.85</v>
      </c>
    </row>
    <row r="3613" customFormat="false" ht="15" hidden="false" customHeight="false" outlineLevel="0" collapsed="false">
      <c r="A3613" s="0" t="s">
        <v>7603</v>
      </c>
      <c r="B3613" s="0" t="s">
        <v>7604</v>
      </c>
      <c r="C3613" s="0" t="n">
        <v>3.25</v>
      </c>
    </row>
    <row r="3614" customFormat="false" ht="15" hidden="false" customHeight="false" outlineLevel="0" collapsed="false">
      <c r="A3614" s="0" t="s">
        <v>7605</v>
      </c>
      <c r="B3614" s="0" t="s">
        <v>32</v>
      </c>
      <c r="C3614" s="0" t="n">
        <v>4.95</v>
      </c>
    </row>
    <row r="3615" customFormat="false" ht="15" hidden="false" customHeight="false" outlineLevel="0" collapsed="false">
      <c r="A3615" s="0" t="s">
        <v>7606</v>
      </c>
      <c r="B3615" s="0" t="s">
        <v>7607</v>
      </c>
      <c r="C3615" s="0" t="n">
        <v>1.65</v>
      </c>
    </row>
    <row r="3616" customFormat="false" ht="15" hidden="false" customHeight="false" outlineLevel="0" collapsed="false">
      <c r="A3616" s="0" t="s">
        <v>7608</v>
      </c>
      <c r="B3616" s="0" t="s">
        <v>264</v>
      </c>
      <c r="C3616" s="0" t="n">
        <v>2.55</v>
      </c>
    </row>
    <row r="3617" customFormat="false" ht="15" hidden="false" customHeight="false" outlineLevel="0" collapsed="false">
      <c r="A3617" s="0" t="s">
        <v>7609</v>
      </c>
      <c r="B3617" s="0" t="s">
        <v>7610</v>
      </c>
      <c r="C3617" s="0" t="n">
        <v>2.95</v>
      </c>
    </row>
    <row r="3618" customFormat="false" ht="15" hidden="false" customHeight="false" outlineLevel="0" collapsed="false">
      <c r="A3618" s="0" t="s">
        <v>7611</v>
      </c>
      <c r="B3618" s="0" t="s">
        <v>7612</v>
      </c>
      <c r="C3618" s="0" t="n">
        <v>3.75</v>
      </c>
    </row>
    <row r="3619" customFormat="false" ht="15" hidden="false" customHeight="false" outlineLevel="0" collapsed="false">
      <c r="A3619" s="0" t="s">
        <v>7613</v>
      </c>
      <c r="B3619" s="0" t="s">
        <v>7614</v>
      </c>
      <c r="C3619" s="0" t="n">
        <v>0.85</v>
      </c>
    </row>
    <row r="3620" customFormat="false" ht="15" hidden="false" customHeight="false" outlineLevel="0" collapsed="false">
      <c r="A3620" s="0" t="s">
        <v>7615</v>
      </c>
      <c r="B3620" s="0" t="s">
        <v>7616</v>
      </c>
      <c r="C3620" s="0" t="n">
        <v>1.25</v>
      </c>
    </row>
    <row r="3621" customFormat="false" ht="15" hidden="false" customHeight="false" outlineLevel="0" collapsed="false">
      <c r="A3621" s="0" t="s">
        <v>7617</v>
      </c>
      <c r="B3621" s="0" t="s">
        <v>7618</v>
      </c>
      <c r="C3621" s="0" t="n">
        <v>2.1</v>
      </c>
    </row>
    <row r="3622" customFormat="false" ht="15" hidden="false" customHeight="false" outlineLevel="0" collapsed="false">
      <c r="A3622" s="0" t="s">
        <v>7619</v>
      </c>
      <c r="B3622" s="0" t="s">
        <v>7620</v>
      </c>
      <c r="C3622" s="0" t="n">
        <v>0.29</v>
      </c>
    </row>
    <row r="3623" customFormat="false" ht="15" hidden="false" customHeight="false" outlineLevel="0" collapsed="false">
      <c r="A3623" s="0" t="s">
        <v>7621</v>
      </c>
      <c r="B3623" s="0" t="s">
        <v>7622</v>
      </c>
      <c r="C3623" s="0" t="n">
        <v>1.25</v>
      </c>
    </row>
    <row r="3624" customFormat="false" ht="15" hidden="false" customHeight="false" outlineLevel="0" collapsed="false">
      <c r="A3624" s="0" t="s">
        <v>7623</v>
      </c>
      <c r="B3624" s="0" t="s">
        <v>7624</v>
      </c>
      <c r="C3624" s="0" t="n">
        <v>12.75</v>
      </c>
    </row>
    <row r="3625" customFormat="false" ht="15" hidden="false" customHeight="false" outlineLevel="0" collapsed="false">
      <c r="A3625" s="0" t="s">
        <v>7625</v>
      </c>
      <c r="B3625" s="0" t="s">
        <v>7626</v>
      </c>
      <c r="C3625" s="0" t="n">
        <v>1.65</v>
      </c>
    </row>
    <row r="3626" customFormat="false" ht="15" hidden="false" customHeight="false" outlineLevel="0" collapsed="false">
      <c r="A3626" s="0" t="s">
        <v>7627</v>
      </c>
      <c r="B3626" s="0" t="s">
        <v>7628</v>
      </c>
      <c r="C3626" s="0" t="n">
        <v>2.95</v>
      </c>
    </row>
    <row r="3627" customFormat="false" ht="15" hidden="false" customHeight="false" outlineLevel="0" collapsed="false">
      <c r="A3627" s="0" t="s">
        <v>7629</v>
      </c>
      <c r="B3627" s="0" t="s">
        <v>7630</v>
      </c>
      <c r="C3627" s="0" t="n">
        <v>2.55</v>
      </c>
    </row>
    <row r="3628" customFormat="false" ht="15" hidden="false" customHeight="false" outlineLevel="0" collapsed="false">
      <c r="A3628" s="0" t="s">
        <v>7631</v>
      </c>
      <c r="B3628" s="0" t="s">
        <v>7632</v>
      </c>
      <c r="C3628" s="0" t="n">
        <v>2.55</v>
      </c>
    </row>
    <row r="3629" customFormat="false" ht="15" hidden="false" customHeight="false" outlineLevel="0" collapsed="false">
      <c r="A3629" s="0" t="s">
        <v>7633</v>
      </c>
      <c r="B3629" s="0" t="s">
        <v>7634</v>
      </c>
      <c r="C3629" s="0" t="n">
        <v>2.95</v>
      </c>
    </row>
    <row r="3630" customFormat="false" ht="15" hidden="false" customHeight="false" outlineLevel="0" collapsed="false">
      <c r="A3630" s="0" t="s">
        <v>7635</v>
      </c>
      <c r="B3630" s="0" t="s">
        <v>7636</v>
      </c>
      <c r="C3630" s="0" t="n">
        <v>1.25</v>
      </c>
    </row>
    <row r="3631" customFormat="false" ht="15" hidden="false" customHeight="false" outlineLevel="0" collapsed="false">
      <c r="A3631" s="0" t="s">
        <v>7637</v>
      </c>
      <c r="B3631" s="0" t="s">
        <v>560</v>
      </c>
      <c r="C3631" s="0" t="n">
        <v>1.65</v>
      </c>
    </row>
    <row r="3632" customFormat="false" ht="15" hidden="false" customHeight="false" outlineLevel="0" collapsed="false">
      <c r="A3632" s="0" t="s">
        <v>7638</v>
      </c>
      <c r="B3632" s="0" t="s">
        <v>7639</v>
      </c>
      <c r="C3632" s="0" t="n">
        <v>2.51</v>
      </c>
    </row>
    <row r="3633" customFormat="false" ht="15" hidden="false" customHeight="false" outlineLevel="0" collapsed="false">
      <c r="A3633" s="0" t="s">
        <v>7640</v>
      </c>
      <c r="B3633" s="0" t="s">
        <v>7641</v>
      </c>
      <c r="C3633" s="0" t="n">
        <v>2.51</v>
      </c>
    </row>
    <row r="3634" customFormat="false" ht="15" hidden="false" customHeight="false" outlineLevel="0" collapsed="false">
      <c r="A3634" s="0" t="s">
        <v>7642</v>
      </c>
      <c r="B3634" s="0" t="s">
        <v>7643</v>
      </c>
      <c r="C3634" s="0" t="n">
        <v>1.25</v>
      </c>
    </row>
    <row r="3635" customFormat="false" ht="15" hidden="false" customHeight="false" outlineLevel="0" collapsed="false">
      <c r="A3635" s="0" t="s">
        <v>7644</v>
      </c>
      <c r="B3635" s="0" t="s">
        <v>7645</v>
      </c>
      <c r="C3635" s="0" t="n">
        <v>12.75</v>
      </c>
    </row>
    <row r="3636" customFormat="false" ht="15" hidden="false" customHeight="false" outlineLevel="0" collapsed="false">
      <c r="A3636" s="0" t="s">
        <v>7646</v>
      </c>
      <c r="B3636" s="0" t="s">
        <v>7647</v>
      </c>
      <c r="C3636" s="0" t="n">
        <v>16.13</v>
      </c>
    </row>
    <row r="3637" customFormat="false" ht="15" hidden="false" customHeight="false" outlineLevel="0" collapsed="false">
      <c r="A3637" s="0" t="s">
        <v>7648</v>
      </c>
      <c r="B3637" s="0" t="s">
        <v>7649</v>
      </c>
      <c r="C3637" s="0" t="n">
        <v>7.95</v>
      </c>
    </row>
    <row r="3638" customFormat="false" ht="15" hidden="false" customHeight="false" outlineLevel="0" collapsed="false">
      <c r="A3638" s="0" t="s">
        <v>7650</v>
      </c>
      <c r="B3638" s="0" t="s">
        <v>7651</v>
      </c>
      <c r="C3638" s="0" t="n">
        <v>11.02</v>
      </c>
    </row>
    <row r="3639" customFormat="false" ht="15" hidden="false" customHeight="false" outlineLevel="0" collapsed="false">
      <c r="A3639" s="0" t="s">
        <v>7652</v>
      </c>
      <c r="B3639" s="0" t="s">
        <v>7653</v>
      </c>
      <c r="C3639" s="0" t="n">
        <v>1.25</v>
      </c>
    </row>
    <row r="3640" customFormat="false" ht="15" hidden="false" customHeight="false" outlineLevel="0" collapsed="false">
      <c r="A3640" s="0" t="s">
        <v>7654</v>
      </c>
      <c r="B3640" s="0" t="s">
        <v>7655</v>
      </c>
      <c r="C3640" s="0" t="n">
        <v>2.55</v>
      </c>
    </row>
    <row r="3641" customFormat="false" ht="15" hidden="false" customHeight="false" outlineLevel="0" collapsed="false">
      <c r="A3641" s="0" t="s">
        <v>7656</v>
      </c>
      <c r="B3641" s="0" t="s">
        <v>7657</v>
      </c>
      <c r="C3641" s="0" t="n">
        <v>1.65</v>
      </c>
    </row>
    <row r="3642" customFormat="false" ht="15" hidden="false" customHeight="false" outlineLevel="0" collapsed="false">
      <c r="A3642" s="0" t="s">
        <v>7658</v>
      </c>
      <c r="B3642" s="0" t="s">
        <v>7659</v>
      </c>
      <c r="C3642" s="0" t="n">
        <v>1.25</v>
      </c>
    </row>
    <row r="3643" customFormat="false" ht="15" hidden="false" customHeight="false" outlineLevel="0" collapsed="false">
      <c r="A3643" s="0" t="s">
        <v>7660</v>
      </c>
      <c r="B3643" s="0" t="s">
        <v>136</v>
      </c>
      <c r="C3643" s="0" t="n">
        <v>0.85</v>
      </c>
    </row>
    <row r="3644" customFormat="false" ht="15" hidden="false" customHeight="false" outlineLevel="0" collapsed="false">
      <c r="A3644" s="0" t="s">
        <v>7661</v>
      </c>
      <c r="B3644" s="0" t="s">
        <v>7662</v>
      </c>
      <c r="C3644" s="0" t="n">
        <v>0.42</v>
      </c>
    </row>
    <row r="3645" customFormat="false" ht="15" hidden="false" customHeight="false" outlineLevel="0" collapsed="false">
      <c r="A3645" s="0" t="s">
        <v>7663</v>
      </c>
      <c r="B3645" s="0" t="s">
        <v>7664</v>
      </c>
      <c r="C3645" s="0" t="n">
        <v>0.85</v>
      </c>
    </row>
    <row r="3646" customFormat="false" ht="15" hidden="false" customHeight="false" outlineLevel="0" collapsed="false">
      <c r="A3646" s="0" t="s">
        <v>7665</v>
      </c>
      <c r="B3646" s="0" t="s">
        <v>7666</v>
      </c>
      <c r="C3646" s="0" t="n">
        <v>1.25</v>
      </c>
    </row>
    <row r="3647" customFormat="false" ht="15" hidden="false" customHeight="false" outlineLevel="0" collapsed="false">
      <c r="A3647" s="0" t="s">
        <v>7667</v>
      </c>
      <c r="B3647" s="0" t="s">
        <v>747</v>
      </c>
      <c r="C3647" s="0" t="n">
        <v>9.95</v>
      </c>
    </row>
    <row r="3648" customFormat="false" ht="15" hidden="false" customHeight="false" outlineLevel="0" collapsed="false">
      <c r="A3648" s="0" t="s">
        <v>7668</v>
      </c>
      <c r="B3648" s="0" t="s">
        <v>7669</v>
      </c>
      <c r="C3648" s="0" t="n">
        <v>8.5</v>
      </c>
    </row>
    <row r="3649" customFormat="false" ht="15" hidden="false" customHeight="false" outlineLevel="0" collapsed="false">
      <c r="A3649" s="0" t="s">
        <v>7670</v>
      </c>
      <c r="B3649" s="0" t="s">
        <v>7671</v>
      </c>
      <c r="C3649" s="0" t="n">
        <v>1.25</v>
      </c>
    </row>
    <row r="3650" customFormat="false" ht="15" hidden="false" customHeight="false" outlineLevel="0" collapsed="false">
      <c r="A3650" s="0" t="s">
        <v>7672</v>
      </c>
      <c r="B3650" s="0" t="s">
        <v>7673</v>
      </c>
      <c r="C3650" s="0" t="n">
        <v>19.95</v>
      </c>
    </row>
    <row r="3651" customFormat="false" ht="15" hidden="false" customHeight="false" outlineLevel="0" collapsed="false">
      <c r="A3651" s="0" t="s">
        <v>7674</v>
      </c>
      <c r="B3651" s="0" t="s">
        <v>7675</v>
      </c>
      <c r="C3651" s="0" t="n">
        <v>14.95</v>
      </c>
    </row>
    <row r="3652" customFormat="false" ht="15" hidden="false" customHeight="false" outlineLevel="0" collapsed="false">
      <c r="A3652" s="0" t="s">
        <v>7676</v>
      </c>
      <c r="B3652" s="0" t="s">
        <v>7677</v>
      </c>
      <c r="C3652" s="0" t="n">
        <v>19.95</v>
      </c>
    </row>
    <row r="3653" customFormat="false" ht="15" hidden="false" customHeight="false" outlineLevel="0" collapsed="false">
      <c r="A3653" s="0" t="s">
        <v>7678</v>
      </c>
      <c r="B3653" s="0" t="s">
        <v>7679</v>
      </c>
      <c r="C3653" s="0" t="n">
        <v>6.75</v>
      </c>
    </row>
    <row r="3654" customFormat="false" ht="15" hidden="false" customHeight="false" outlineLevel="0" collapsed="false">
      <c r="A3654" s="0" t="s">
        <v>7680</v>
      </c>
      <c r="B3654" s="0" t="s">
        <v>710</v>
      </c>
      <c r="C3654" s="0" t="n">
        <v>6.75</v>
      </c>
    </row>
    <row r="3655" customFormat="false" ht="15" hidden="false" customHeight="false" outlineLevel="0" collapsed="false">
      <c r="A3655" s="0" t="s">
        <v>7681</v>
      </c>
      <c r="B3655" s="0" t="s">
        <v>341</v>
      </c>
      <c r="C3655" s="0" t="n">
        <v>8.5</v>
      </c>
    </row>
    <row r="3656" customFormat="false" ht="15" hidden="false" customHeight="false" outlineLevel="0" collapsed="false">
      <c r="A3656" s="0" t="s">
        <v>7682</v>
      </c>
      <c r="B3656" s="0" t="s">
        <v>7683</v>
      </c>
      <c r="C3656" s="0" t="n">
        <v>7.95</v>
      </c>
    </row>
    <row r="3657" customFormat="false" ht="15" hidden="false" customHeight="false" outlineLevel="0" collapsed="false">
      <c r="A3657" s="0" t="s">
        <v>7684</v>
      </c>
      <c r="B3657" s="0" t="s">
        <v>7685</v>
      </c>
      <c r="C3657" s="0" t="n">
        <v>9.95</v>
      </c>
    </row>
    <row r="3658" customFormat="false" ht="15" hidden="false" customHeight="false" outlineLevel="0" collapsed="false">
      <c r="A3658" s="0" t="s">
        <v>7686</v>
      </c>
      <c r="B3658" s="0" t="s">
        <v>7687</v>
      </c>
      <c r="C3658" s="0" t="n">
        <v>0.85</v>
      </c>
    </row>
    <row r="3659" customFormat="false" ht="15" hidden="false" customHeight="false" outlineLevel="0" collapsed="false">
      <c r="A3659" s="0" t="s">
        <v>7688</v>
      </c>
      <c r="B3659" s="0" t="s">
        <v>7689</v>
      </c>
      <c r="C3659" s="0" t="n">
        <v>0.42</v>
      </c>
    </row>
    <row r="3660" customFormat="false" ht="15" hidden="false" customHeight="false" outlineLevel="0" collapsed="false">
      <c r="A3660" s="0" t="s">
        <v>7690</v>
      </c>
      <c r="B3660" s="0" t="s">
        <v>7691</v>
      </c>
      <c r="C3660" s="0" t="n">
        <v>0.85</v>
      </c>
    </row>
    <row r="3661" customFormat="false" ht="15" hidden="false" customHeight="false" outlineLevel="0" collapsed="false">
      <c r="A3661" s="0" t="s">
        <v>7692</v>
      </c>
      <c r="B3661" s="0" t="s">
        <v>829</v>
      </c>
      <c r="C3661" s="0" t="n">
        <v>2.95</v>
      </c>
    </row>
    <row r="3662" customFormat="false" ht="15" hidden="false" customHeight="false" outlineLevel="0" collapsed="false">
      <c r="A3662" s="0" t="s">
        <v>7693</v>
      </c>
      <c r="B3662" s="0" t="s">
        <v>7694</v>
      </c>
      <c r="C3662" s="0" t="n">
        <v>2.95</v>
      </c>
    </row>
    <row r="3663" customFormat="false" ht="15" hidden="false" customHeight="false" outlineLevel="0" collapsed="false">
      <c r="A3663" s="0" t="s">
        <v>7695</v>
      </c>
      <c r="B3663" s="0" t="s">
        <v>670</v>
      </c>
      <c r="C3663" s="0" t="n">
        <v>1.25</v>
      </c>
    </row>
    <row r="3664" customFormat="false" ht="15" hidden="false" customHeight="false" outlineLevel="0" collapsed="false">
      <c r="A3664" s="0" t="s">
        <v>7696</v>
      </c>
      <c r="B3664" s="0" t="s">
        <v>7697</v>
      </c>
      <c r="C3664" s="0" t="n">
        <v>1.25</v>
      </c>
    </row>
    <row r="3665" customFormat="false" ht="15" hidden="false" customHeight="false" outlineLevel="0" collapsed="false">
      <c r="A3665" s="0" t="s">
        <v>7698</v>
      </c>
      <c r="B3665" s="0" t="s">
        <v>7699</v>
      </c>
      <c r="C3665" s="0" t="n">
        <v>1.95</v>
      </c>
    </row>
    <row r="3666" customFormat="false" ht="15" hidden="false" customHeight="false" outlineLevel="0" collapsed="false">
      <c r="A3666" s="0" t="s">
        <v>7700</v>
      </c>
      <c r="B3666" s="0" t="s">
        <v>7701</v>
      </c>
      <c r="C3666" s="0" t="n">
        <v>0.85</v>
      </c>
    </row>
    <row r="3667" customFormat="false" ht="15" hidden="false" customHeight="false" outlineLevel="0" collapsed="false">
      <c r="A3667" s="0" t="s">
        <v>7702</v>
      </c>
      <c r="B3667" s="0" t="s">
        <v>7703</v>
      </c>
      <c r="C3667" s="0" t="n">
        <v>5.95</v>
      </c>
    </row>
    <row r="3668" customFormat="false" ht="15" hidden="false" customHeight="false" outlineLevel="0" collapsed="false">
      <c r="A3668" s="0" t="s">
        <v>7704</v>
      </c>
      <c r="B3668" s="0" t="s">
        <v>7705</v>
      </c>
      <c r="C3668" s="0" t="n">
        <v>8.5</v>
      </c>
    </row>
    <row r="3669" customFormat="false" ht="15" hidden="false" customHeight="false" outlineLevel="0" collapsed="false">
      <c r="A3669" s="0" t="s">
        <v>7706</v>
      </c>
      <c r="B3669" s="0" t="s">
        <v>7707</v>
      </c>
      <c r="C3669" s="0" t="n">
        <v>8.5</v>
      </c>
    </row>
    <row r="3670" customFormat="false" ht="15" hidden="false" customHeight="false" outlineLevel="0" collapsed="false">
      <c r="A3670" s="0" t="s">
        <v>7708</v>
      </c>
      <c r="B3670" s="0" t="s">
        <v>7709</v>
      </c>
      <c r="C3670" s="0" t="n">
        <v>0.85</v>
      </c>
    </row>
    <row r="3671" customFormat="false" ht="15" hidden="false" customHeight="false" outlineLevel="0" collapsed="false">
      <c r="A3671" s="0" t="s">
        <v>7710</v>
      </c>
      <c r="B3671" s="0" t="s">
        <v>7711</v>
      </c>
      <c r="C3671" s="0" t="n">
        <v>2.55</v>
      </c>
    </row>
    <row r="3672" customFormat="false" ht="15" hidden="false" customHeight="false" outlineLevel="0" collapsed="false">
      <c r="A3672" s="0" t="s">
        <v>7712</v>
      </c>
      <c r="B3672" s="0" t="s">
        <v>7713</v>
      </c>
      <c r="C3672" s="0" t="n">
        <v>2.55</v>
      </c>
    </row>
    <row r="3673" customFormat="false" ht="15" hidden="false" customHeight="false" outlineLevel="0" collapsed="false">
      <c r="A3673" s="0" t="s">
        <v>7714</v>
      </c>
      <c r="B3673" s="0" t="s">
        <v>7715</v>
      </c>
      <c r="C3673" s="0" t="n">
        <v>3.75</v>
      </c>
    </row>
    <row r="3674" customFormat="false" ht="15" hidden="false" customHeight="false" outlineLevel="0" collapsed="false">
      <c r="A3674" s="0" t="s">
        <v>7716</v>
      </c>
      <c r="B3674" s="0" t="s">
        <v>7717</v>
      </c>
      <c r="C3674" s="0" t="n">
        <v>4.25</v>
      </c>
    </row>
    <row r="3675" customFormat="false" ht="15" hidden="false" customHeight="false" outlineLevel="0" collapsed="false">
      <c r="A3675" s="0" t="s">
        <v>7718</v>
      </c>
      <c r="B3675" s="0" t="s">
        <v>234</v>
      </c>
      <c r="C3675" s="0" t="n">
        <v>0.42</v>
      </c>
    </row>
    <row r="3676" customFormat="false" ht="15" hidden="false" customHeight="false" outlineLevel="0" collapsed="false">
      <c r="A3676" s="0" t="s">
        <v>7719</v>
      </c>
      <c r="B3676" s="0" t="s">
        <v>160</v>
      </c>
      <c r="C3676" s="0" t="n">
        <v>0.42</v>
      </c>
    </row>
    <row r="3677" customFormat="false" ht="15" hidden="false" customHeight="false" outlineLevel="0" collapsed="false">
      <c r="A3677" s="0" t="s">
        <v>7720</v>
      </c>
      <c r="B3677" s="0" t="s">
        <v>7721</v>
      </c>
      <c r="C3677" s="0" t="n">
        <v>2.1</v>
      </c>
    </row>
    <row r="3678" customFormat="false" ht="15" hidden="false" customHeight="false" outlineLevel="0" collapsed="false">
      <c r="A3678" s="0" t="s">
        <v>7722</v>
      </c>
      <c r="B3678" s="0" t="s">
        <v>7723</v>
      </c>
      <c r="C3678" s="0" t="n">
        <v>10.75</v>
      </c>
    </row>
    <row r="3679" customFormat="false" ht="15" hidden="false" customHeight="false" outlineLevel="0" collapsed="false">
      <c r="A3679" s="0" t="s">
        <v>7724</v>
      </c>
      <c r="B3679" s="0" t="s">
        <v>7725</v>
      </c>
      <c r="C3679" s="0" t="n">
        <v>2.55</v>
      </c>
    </row>
    <row r="3680" customFormat="false" ht="15" hidden="false" customHeight="false" outlineLevel="0" collapsed="false">
      <c r="A3680" s="0" t="s">
        <v>7726</v>
      </c>
      <c r="B3680" s="0" t="s">
        <v>36</v>
      </c>
      <c r="C3680" s="0" t="n">
        <v>5.95</v>
      </c>
    </row>
    <row r="3681" customFormat="false" ht="15" hidden="false" customHeight="false" outlineLevel="0" collapsed="false">
      <c r="A3681" s="0" t="s">
        <v>7727</v>
      </c>
      <c r="B3681" s="0" t="s">
        <v>7728</v>
      </c>
      <c r="C3681" s="0" t="n">
        <v>2.95</v>
      </c>
    </row>
    <row r="3682" customFormat="false" ht="15" hidden="false" customHeight="false" outlineLevel="0" collapsed="false">
      <c r="A3682" s="0" t="s">
        <v>7729</v>
      </c>
      <c r="B3682" s="0" t="s">
        <v>35</v>
      </c>
      <c r="C3682" s="0" t="n">
        <v>1.25</v>
      </c>
    </row>
    <row r="3683" customFormat="false" ht="15" hidden="false" customHeight="false" outlineLevel="0" collapsed="false">
      <c r="A3683" s="0" t="s">
        <v>7730</v>
      </c>
      <c r="B3683" s="0" t="s">
        <v>7731</v>
      </c>
      <c r="C3683" s="0" t="n">
        <v>1.95</v>
      </c>
    </row>
    <row r="3684" customFormat="false" ht="15" hidden="false" customHeight="false" outlineLevel="0" collapsed="false">
      <c r="A3684" s="0" t="s">
        <v>7732</v>
      </c>
      <c r="B3684" s="0" t="s">
        <v>7733</v>
      </c>
      <c r="C3684" s="0" t="n">
        <v>4.65</v>
      </c>
    </row>
    <row r="3685" customFormat="false" ht="15" hidden="false" customHeight="false" outlineLevel="0" collapsed="false">
      <c r="A3685" s="0" t="s">
        <v>7734</v>
      </c>
      <c r="B3685" s="0" t="s">
        <v>7735</v>
      </c>
      <c r="C3685" s="0" t="n">
        <v>10.65</v>
      </c>
    </row>
    <row r="3686" customFormat="false" ht="15" hidden="false" customHeight="false" outlineLevel="0" collapsed="false">
      <c r="A3686" s="0" t="s">
        <v>7736</v>
      </c>
      <c r="B3686" s="0" t="s">
        <v>7737</v>
      </c>
      <c r="C3686" s="0" t="n">
        <v>6.95</v>
      </c>
    </row>
    <row r="3687" customFormat="false" ht="15" hidden="false" customHeight="false" outlineLevel="0" collapsed="false">
      <c r="A3687" s="0" t="s">
        <v>7738</v>
      </c>
      <c r="B3687" s="0" t="s">
        <v>7739</v>
      </c>
      <c r="C3687" s="0" t="n">
        <v>2.95</v>
      </c>
    </row>
    <row r="3688" customFormat="false" ht="15" hidden="false" customHeight="false" outlineLevel="0" collapsed="false">
      <c r="A3688" s="0" t="s">
        <v>7740</v>
      </c>
      <c r="B3688" s="0" t="s">
        <v>7741</v>
      </c>
      <c r="C3688" s="0" t="n">
        <v>9.95</v>
      </c>
    </row>
    <row r="3689" customFormat="false" ht="15" hidden="false" customHeight="false" outlineLevel="0" collapsed="false">
      <c r="A3689" s="0" t="s">
        <v>7742</v>
      </c>
      <c r="B3689" s="0" t="s">
        <v>7743</v>
      </c>
      <c r="C3689" s="0" t="n">
        <v>5.09</v>
      </c>
    </row>
    <row r="3690" customFormat="false" ht="15" hidden="false" customHeight="false" outlineLevel="0" collapsed="false">
      <c r="A3690" s="0" t="s">
        <v>7744</v>
      </c>
      <c r="B3690" s="0" t="s">
        <v>7745</v>
      </c>
      <c r="C3690" s="0" t="n">
        <v>9.95</v>
      </c>
    </row>
    <row r="3691" customFormat="false" ht="15" hidden="false" customHeight="false" outlineLevel="0" collapsed="false">
      <c r="A3691" s="0" t="s">
        <v>7746</v>
      </c>
      <c r="B3691" s="0" t="s">
        <v>7747</v>
      </c>
      <c r="C3691" s="0" t="n">
        <v>11.02</v>
      </c>
    </row>
    <row r="3692" customFormat="false" ht="15" hidden="false" customHeight="false" outlineLevel="0" collapsed="false">
      <c r="A3692" s="0" t="s">
        <v>7748</v>
      </c>
      <c r="B3692" s="0" t="s">
        <v>7749</v>
      </c>
      <c r="C3692" s="0" t="n">
        <v>0.42</v>
      </c>
    </row>
    <row r="3693" customFormat="false" ht="15" hidden="false" customHeight="false" outlineLevel="0" collapsed="false">
      <c r="A3693" s="0" t="s">
        <v>7750</v>
      </c>
      <c r="B3693" s="0" t="s">
        <v>7751</v>
      </c>
      <c r="C3693" s="0" t="n">
        <v>0.85</v>
      </c>
    </row>
    <row r="3694" customFormat="false" ht="15" hidden="false" customHeight="false" outlineLevel="0" collapsed="false">
      <c r="A3694" s="0" t="s">
        <v>7752</v>
      </c>
      <c r="B3694" s="0" t="s">
        <v>7753</v>
      </c>
      <c r="C3694" s="0" t="n">
        <v>0.42</v>
      </c>
    </row>
    <row r="3695" customFormat="false" ht="15" hidden="false" customHeight="false" outlineLevel="0" collapsed="false">
      <c r="A3695" s="0" t="s">
        <v>7754</v>
      </c>
      <c r="B3695" s="0" t="s">
        <v>7755</v>
      </c>
      <c r="C3695" s="0" t="n">
        <v>0.25</v>
      </c>
    </row>
    <row r="3696" customFormat="false" ht="15" hidden="false" customHeight="false" outlineLevel="0" collapsed="false">
      <c r="A3696" s="0" t="s">
        <v>7756</v>
      </c>
      <c r="B3696" s="0" t="s">
        <v>7757</v>
      </c>
      <c r="C3696" s="0" t="n">
        <v>0.42</v>
      </c>
    </row>
    <row r="3697" customFormat="false" ht="15" hidden="false" customHeight="false" outlineLevel="0" collapsed="false">
      <c r="A3697" s="0" t="s">
        <v>7758</v>
      </c>
      <c r="B3697" s="0" t="s">
        <v>7759</v>
      </c>
      <c r="C3697" s="0" t="n">
        <v>9.95</v>
      </c>
    </row>
    <row r="3698" customFormat="false" ht="15" hidden="false" customHeight="false" outlineLevel="0" collapsed="false">
      <c r="A3698" s="0" t="s">
        <v>7760</v>
      </c>
      <c r="B3698" s="0" t="s">
        <v>7761</v>
      </c>
      <c r="C3698" s="0" t="n">
        <v>0.42</v>
      </c>
    </row>
    <row r="3699" customFormat="false" ht="15" hidden="false" customHeight="false" outlineLevel="0" collapsed="false">
      <c r="A3699" s="0" t="s">
        <v>7762</v>
      </c>
      <c r="B3699" s="0" t="s">
        <v>7763</v>
      </c>
      <c r="C3699" s="0" t="n">
        <v>1.25</v>
      </c>
    </row>
    <row r="3700" customFormat="false" ht="15" hidden="false" customHeight="false" outlineLevel="0" collapsed="false">
      <c r="A3700" s="0" t="s">
        <v>7764</v>
      </c>
      <c r="B3700" s="0" t="s">
        <v>7765</v>
      </c>
      <c r="C3700" s="0" t="n">
        <v>1.28</v>
      </c>
    </row>
    <row r="3701" customFormat="false" ht="15" hidden="false" customHeight="false" outlineLevel="0" collapsed="false">
      <c r="A3701" s="0" t="s">
        <v>7766</v>
      </c>
      <c r="B3701" s="0" t="s">
        <v>7767</v>
      </c>
      <c r="C3701" s="0" t="n">
        <v>0.42</v>
      </c>
    </row>
    <row r="3702" customFormat="false" ht="15" hidden="false" customHeight="false" outlineLevel="0" collapsed="false">
      <c r="A3702" s="0" t="s">
        <v>7768</v>
      </c>
      <c r="B3702" s="0" t="s">
        <v>7769</v>
      </c>
      <c r="C3702" s="0" t="n">
        <v>0.65</v>
      </c>
    </row>
    <row r="3703" customFormat="false" ht="15" hidden="false" customHeight="false" outlineLevel="0" collapsed="false">
      <c r="A3703" s="0" t="s">
        <v>7770</v>
      </c>
      <c r="B3703" s="0" t="s">
        <v>7771</v>
      </c>
      <c r="C3703" s="0" t="n">
        <v>8.95</v>
      </c>
    </row>
    <row r="3704" customFormat="false" ht="15" hidden="false" customHeight="false" outlineLevel="0" collapsed="false">
      <c r="A3704" s="0" t="s">
        <v>7772</v>
      </c>
      <c r="B3704" s="0" t="s">
        <v>7773</v>
      </c>
      <c r="C3704" s="0" t="n">
        <v>2.55</v>
      </c>
    </row>
    <row r="3705" customFormat="false" ht="15" hidden="false" customHeight="false" outlineLevel="0" collapsed="false">
      <c r="A3705" s="0" t="s">
        <v>7774</v>
      </c>
      <c r="B3705" s="0" t="s">
        <v>7775</v>
      </c>
      <c r="C3705" s="0" t="n">
        <v>2.55</v>
      </c>
    </row>
    <row r="3706" customFormat="false" ht="15" hidden="false" customHeight="false" outlineLevel="0" collapsed="false">
      <c r="A3706" s="0" t="s">
        <v>7776</v>
      </c>
      <c r="B3706" s="0" t="s">
        <v>7777</v>
      </c>
      <c r="C3706" s="0" t="n">
        <v>2.54</v>
      </c>
    </row>
    <row r="3707" customFormat="false" ht="15" hidden="false" customHeight="false" outlineLevel="0" collapsed="false">
      <c r="A3707" s="0" t="s">
        <v>7778</v>
      </c>
      <c r="B3707" s="0" t="s">
        <v>7779</v>
      </c>
      <c r="C3707" s="0" t="n">
        <v>2.59</v>
      </c>
    </row>
    <row r="3708" customFormat="false" ht="15" hidden="false" customHeight="false" outlineLevel="0" collapsed="false">
      <c r="A3708" s="0" t="s">
        <v>7780</v>
      </c>
      <c r="B3708" s="0" t="s">
        <v>7781</v>
      </c>
      <c r="C3708" s="0" t="n">
        <v>2.55</v>
      </c>
    </row>
    <row r="3709" customFormat="false" ht="15" hidden="false" customHeight="false" outlineLevel="0" collapsed="false">
      <c r="A3709" s="0" t="s">
        <v>7782</v>
      </c>
      <c r="B3709" s="0" t="s">
        <v>321</v>
      </c>
      <c r="C3709" s="0" t="n">
        <v>2.95</v>
      </c>
    </row>
    <row r="3710" customFormat="false" ht="15" hidden="false" customHeight="false" outlineLevel="0" collapsed="false">
      <c r="A3710" s="0" t="s">
        <v>7783</v>
      </c>
      <c r="B3710" s="0" t="s">
        <v>7784</v>
      </c>
      <c r="C3710" s="0" t="n">
        <v>1.25</v>
      </c>
    </row>
    <row r="3711" customFormat="false" ht="15" hidden="false" customHeight="false" outlineLevel="0" collapsed="false">
      <c r="A3711" s="0" t="s">
        <v>7785</v>
      </c>
      <c r="B3711" s="0" t="s">
        <v>7786</v>
      </c>
      <c r="C3711" s="0" t="n">
        <v>1.25</v>
      </c>
    </row>
    <row r="3712" customFormat="false" ht="15" hidden="false" customHeight="false" outlineLevel="0" collapsed="false">
      <c r="A3712" s="0" t="s">
        <v>7787</v>
      </c>
      <c r="B3712" s="0" t="s">
        <v>7788</v>
      </c>
      <c r="C3712" s="0" t="n">
        <v>1.25</v>
      </c>
    </row>
    <row r="3713" customFormat="false" ht="15" hidden="false" customHeight="false" outlineLevel="0" collapsed="false">
      <c r="A3713" s="0" t="s">
        <v>7789</v>
      </c>
      <c r="B3713" s="0" t="s">
        <v>7790</v>
      </c>
      <c r="C3713" s="0" t="n">
        <v>1.25</v>
      </c>
    </row>
    <row r="3714" customFormat="false" ht="15" hidden="false" customHeight="false" outlineLevel="0" collapsed="false">
      <c r="A3714" s="0" t="s">
        <v>7791</v>
      </c>
      <c r="B3714" s="0" t="s">
        <v>7792</v>
      </c>
      <c r="C3714" s="0" t="n">
        <v>1.25</v>
      </c>
    </row>
    <row r="3715" customFormat="false" ht="15" hidden="false" customHeight="false" outlineLevel="0" collapsed="false">
      <c r="A3715" s="0" t="s">
        <v>7793</v>
      </c>
      <c r="B3715" s="0" t="s">
        <v>196</v>
      </c>
      <c r="C3715" s="0" t="n">
        <v>0.55</v>
      </c>
    </row>
    <row r="3716" customFormat="false" ht="15" hidden="false" customHeight="false" outlineLevel="0" collapsed="false">
      <c r="A3716" s="0" t="s">
        <v>7794</v>
      </c>
      <c r="B3716" s="0" t="s">
        <v>7795</v>
      </c>
      <c r="C3716" s="0" t="n">
        <v>2.95</v>
      </c>
    </row>
    <row r="3717" customFormat="false" ht="15" hidden="false" customHeight="false" outlineLevel="0" collapsed="false">
      <c r="A3717" s="0" t="s">
        <v>7796</v>
      </c>
      <c r="B3717" s="0" t="s">
        <v>7797</v>
      </c>
      <c r="C3717" s="0" t="n">
        <v>8.95</v>
      </c>
    </row>
    <row r="3718" customFormat="false" ht="15" hidden="false" customHeight="false" outlineLevel="0" collapsed="false">
      <c r="A3718" s="0" t="s">
        <v>7798</v>
      </c>
      <c r="B3718" s="0" t="s">
        <v>7799</v>
      </c>
      <c r="C3718" s="0" t="n">
        <v>0.65</v>
      </c>
    </row>
    <row r="3719" customFormat="false" ht="15" hidden="false" customHeight="false" outlineLevel="0" collapsed="false">
      <c r="A3719" s="0" t="s">
        <v>7800</v>
      </c>
      <c r="B3719" s="0" t="s">
        <v>7801</v>
      </c>
      <c r="C3719" s="0" t="n">
        <v>1.25</v>
      </c>
    </row>
    <row r="3720" customFormat="false" ht="15" hidden="false" customHeight="false" outlineLevel="0" collapsed="false">
      <c r="A3720" s="0" t="s">
        <v>7802</v>
      </c>
      <c r="B3720" s="0" t="s">
        <v>7803</v>
      </c>
      <c r="C3720" s="0" t="n">
        <v>2.1</v>
      </c>
    </row>
    <row r="3721" customFormat="false" ht="15" hidden="false" customHeight="false" outlineLevel="0" collapsed="false">
      <c r="A3721" s="0" t="s">
        <v>7804</v>
      </c>
      <c r="B3721" s="0" t="s">
        <v>621</v>
      </c>
      <c r="C3721" s="0" t="n">
        <v>1.45</v>
      </c>
    </row>
    <row r="3722" customFormat="false" ht="15" hidden="false" customHeight="false" outlineLevel="0" collapsed="false">
      <c r="A3722" s="0" t="s">
        <v>7805</v>
      </c>
      <c r="B3722" s="0" t="s">
        <v>7806</v>
      </c>
      <c r="C3722" s="0" t="n">
        <v>2.1</v>
      </c>
    </row>
    <row r="3723" customFormat="false" ht="15" hidden="false" customHeight="false" outlineLevel="0" collapsed="false">
      <c r="A3723" s="0" t="s">
        <v>7807</v>
      </c>
      <c r="B3723" s="0" t="s">
        <v>367</v>
      </c>
      <c r="C3723" s="0" t="n">
        <v>2.1</v>
      </c>
    </row>
    <row r="3724" customFormat="false" ht="15" hidden="false" customHeight="false" outlineLevel="0" collapsed="false">
      <c r="A3724" s="0" t="s">
        <v>7808</v>
      </c>
      <c r="B3724" s="0" t="s">
        <v>7809</v>
      </c>
      <c r="C3724" s="0" t="n">
        <v>2.1</v>
      </c>
    </row>
    <row r="3725" customFormat="false" ht="15" hidden="false" customHeight="false" outlineLevel="0" collapsed="false">
      <c r="A3725" s="0" t="s">
        <v>7810</v>
      </c>
      <c r="B3725" s="0" t="s">
        <v>7811</v>
      </c>
      <c r="C3725" s="0" t="n">
        <v>0.42</v>
      </c>
    </row>
    <row r="3726" customFormat="false" ht="15" hidden="false" customHeight="false" outlineLevel="0" collapsed="false">
      <c r="A3726" s="0" t="s">
        <v>7812</v>
      </c>
      <c r="B3726" s="0" t="s">
        <v>7813</v>
      </c>
      <c r="C3726" s="0" t="n">
        <v>1.25</v>
      </c>
    </row>
    <row r="3727" customFormat="false" ht="15" hidden="false" customHeight="false" outlineLevel="0" collapsed="false">
      <c r="A3727" s="0" t="s">
        <v>7814</v>
      </c>
      <c r="B3727" s="0" t="s">
        <v>713</v>
      </c>
      <c r="C3727" s="0" t="n">
        <v>1.45</v>
      </c>
    </row>
    <row r="3728" customFormat="false" ht="15" hidden="false" customHeight="false" outlineLevel="0" collapsed="false">
      <c r="A3728" s="0" t="s">
        <v>7815</v>
      </c>
      <c r="B3728" s="0" t="s">
        <v>7816</v>
      </c>
      <c r="C3728" s="0" t="n">
        <v>1.25</v>
      </c>
    </row>
    <row r="3729" customFormat="false" ht="15" hidden="false" customHeight="false" outlineLevel="0" collapsed="false">
      <c r="A3729" s="0" t="s">
        <v>7817</v>
      </c>
      <c r="B3729" s="0" t="s">
        <v>291</v>
      </c>
      <c r="C3729" s="0" t="n">
        <v>1.25</v>
      </c>
    </row>
    <row r="3730" customFormat="false" ht="15" hidden="false" customHeight="false" outlineLevel="0" collapsed="false">
      <c r="A3730" s="0" t="s">
        <v>7818</v>
      </c>
      <c r="B3730" s="0" t="s">
        <v>378</v>
      </c>
      <c r="C3730" s="0" t="n">
        <v>1.25</v>
      </c>
    </row>
    <row r="3731" customFormat="false" ht="15" hidden="false" customHeight="false" outlineLevel="0" collapsed="false">
      <c r="A3731" s="0" t="s">
        <v>7819</v>
      </c>
      <c r="B3731" s="0" t="s">
        <v>7820</v>
      </c>
      <c r="C3731" s="0" t="n">
        <v>0.21</v>
      </c>
    </row>
    <row r="3732" customFormat="false" ht="15" hidden="false" customHeight="false" outlineLevel="0" collapsed="false">
      <c r="A3732" s="0" t="s">
        <v>7821</v>
      </c>
      <c r="B3732" s="0" t="s">
        <v>7822</v>
      </c>
      <c r="C3732" s="0" t="n">
        <v>0.85</v>
      </c>
    </row>
    <row r="3733" customFormat="false" ht="15" hidden="false" customHeight="false" outlineLevel="0" collapsed="false">
      <c r="A3733" s="0" t="s">
        <v>7823</v>
      </c>
      <c r="B3733" s="0" t="s">
        <v>7824</v>
      </c>
      <c r="C3733" s="0" t="n">
        <v>1.65</v>
      </c>
    </row>
    <row r="3734" customFormat="false" ht="15" hidden="false" customHeight="false" outlineLevel="0" collapsed="false">
      <c r="A3734" s="0" t="s">
        <v>7825</v>
      </c>
      <c r="B3734" s="0" t="s">
        <v>7826</v>
      </c>
      <c r="C3734" s="0" t="n">
        <v>12.75</v>
      </c>
    </row>
    <row r="3735" customFormat="false" ht="15" hidden="false" customHeight="false" outlineLevel="0" collapsed="false">
      <c r="A3735" s="0" t="s">
        <v>7827</v>
      </c>
      <c r="B3735" s="0" t="s">
        <v>7828</v>
      </c>
      <c r="C3735" s="0" t="n">
        <v>0.65</v>
      </c>
    </row>
    <row r="3736" customFormat="false" ht="15" hidden="false" customHeight="false" outlineLevel="0" collapsed="false">
      <c r="A3736" s="0" t="s">
        <v>7829</v>
      </c>
      <c r="B3736" s="0" t="s">
        <v>7830</v>
      </c>
      <c r="C3736" s="0" t="n">
        <v>1.95</v>
      </c>
    </row>
    <row r="3737" customFormat="false" ht="15" hidden="false" customHeight="false" outlineLevel="0" collapsed="false">
      <c r="A3737" s="0" t="s">
        <v>7831</v>
      </c>
      <c r="B3737" s="0" t="s">
        <v>794</v>
      </c>
      <c r="C3737" s="0" t="n">
        <v>29.79</v>
      </c>
    </row>
    <row r="3738" customFormat="false" ht="15" hidden="false" customHeight="false" outlineLevel="0" collapsed="false">
      <c r="A3738" s="0" t="s">
        <v>7832</v>
      </c>
      <c r="B3738" s="0" t="s">
        <v>7833</v>
      </c>
      <c r="C3738" s="0" t="n">
        <v>0.65</v>
      </c>
    </row>
    <row r="3739" customFormat="false" ht="15" hidden="false" customHeight="false" outlineLevel="0" collapsed="false">
      <c r="A3739" s="0" t="s">
        <v>7834</v>
      </c>
      <c r="B3739" s="0" t="s">
        <v>411</v>
      </c>
      <c r="C3739" s="0" t="n">
        <v>9.95</v>
      </c>
    </row>
    <row r="3740" customFormat="false" ht="15" hidden="false" customHeight="false" outlineLevel="0" collapsed="false">
      <c r="A3740" s="0" t="s">
        <v>7835</v>
      </c>
      <c r="B3740" s="0" t="s">
        <v>7836</v>
      </c>
      <c r="C3740" s="0" t="n">
        <v>2.95</v>
      </c>
    </row>
    <row r="3741" customFormat="false" ht="15" hidden="false" customHeight="false" outlineLevel="0" collapsed="false">
      <c r="A3741" s="0" t="s">
        <v>7837</v>
      </c>
      <c r="B3741" s="0" t="s">
        <v>7838</v>
      </c>
      <c r="C3741" s="0" t="n">
        <v>2.55</v>
      </c>
    </row>
    <row r="3742" customFormat="false" ht="15" hidden="false" customHeight="false" outlineLevel="0" collapsed="false">
      <c r="A3742" s="0" t="s">
        <v>7839</v>
      </c>
      <c r="B3742" s="0" t="s">
        <v>7840</v>
      </c>
      <c r="C3742" s="0" t="n">
        <v>1.25</v>
      </c>
    </row>
    <row r="3743" customFormat="false" ht="15" hidden="false" customHeight="false" outlineLevel="0" collapsed="false">
      <c r="A3743" s="0" t="s">
        <v>7841</v>
      </c>
      <c r="B3743" s="0" t="s">
        <v>7842</v>
      </c>
      <c r="C3743" s="0" t="n">
        <v>2.1</v>
      </c>
    </row>
    <row r="3744" customFormat="false" ht="15" hidden="false" customHeight="false" outlineLevel="0" collapsed="false">
      <c r="A3744" s="0" t="s">
        <v>7843</v>
      </c>
      <c r="B3744" s="0" t="s">
        <v>7844</v>
      </c>
      <c r="C3744" s="0" t="n">
        <v>3.75</v>
      </c>
    </row>
    <row r="3745" customFormat="false" ht="15" hidden="false" customHeight="false" outlineLevel="0" collapsed="false">
      <c r="A3745" s="0" t="s">
        <v>7845</v>
      </c>
      <c r="B3745" s="0" t="s">
        <v>7846</v>
      </c>
      <c r="C3745" s="0" t="n">
        <v>1.65</v>
      </c>
    </row>
    <row r="3746" customFormat="false" ht="15" hidden="false" customHeight="false" outlineLevel="0" collapsed="false">
      <c r="A3746" s="0" t="s">
        <v>7847</v>
      </c>
      <c r="B3746" s="0" t="s">
        <v>7848</v>
      </c>
      <c r="C3746" s="0" t="n">
        <v>1.65</v>
      </c>
    </row>
    <row r="3747" customFormat="false" ht="15" hidden="false" customHeight="false" outlineLevel="0" collapsed="false">
      <c r="A3747" s="0" t="s">
        <v>7849</v>
      </c>
      <c r="B3747" s="0" t="s">
        <v>7850</v>
      </c>
      <c r="C3747" s="0" t="n">
        <v>1.65</v>
      </c>
    </row>
    <row r="3748" customFormat="false" ht="15" hidden="false" customHeight="false" outlineLevel="0" collapsed="false">
      <c r="A3748" s="0" t="s">
        <v>7851</v>
      </c>
      <c r="B3748" s="0" t="s">
        <v>7852</v>
      </c>
      <c r="C3748" s="0" t="n">
        <v>1.65</v>
      </c>
    </row>
    <row r="3749" customFormat="false" ht="15" hidden="false" customHeight="false" outlineLevel="0" collapsed="false">
      <c r="A3749" s="0" t="s">
        <v>7853</v>
      </c>
      <c r="B3749" s="0" t="s">
        <v>7854</v>
      </c>
      <c r="C3749" s="0" t="n">
        <v>5.06</v>
      </c>
    </row>
    <row r="3750" customFormat="false" ht="15" hidden="false" customHeight="false" outlineLevel="0" collapsed="false">
      <c r="A3750" s="0" t="s">
        <v>7855</v>
      </c>
      <c r="B3750" s="0" t="s">
        <v>7856</v>
      </c>
      <c r="C3750" s="0" t="n">
        <v>5.51</v>
      </c>
    </row>
    <row r="3751" customFormat="false" ht="15" hidden="false" customHeight="false" outlineLevel="0" collapsed="false">
      <c r="A3751" s="0" t="s">
        <v>7857</v>
      </c>
      <c r="B3751" s="0" t="s">
        <v>7858</v>
      </c>
      <c r="C3751" s="0" t="n">
        <v>2.96</v>
      </c>
    </row>
    <row r="3752" customFormat="false" ht="15" hidden="false" customHeight="false" outlineLevel="0" collapsed="false">
      <c r="A3752" s="0" t="s">
        <v>7859</v>
      </c>
      <c r="B3752" s="0" t="s">
        <v>7860</v>
      </c>
      <c r="C3752" s="0" t="n">
        <v>6.95</v>
      </c>
    </row>
    <row r="3753" customFormat="false" ht="15" hidden="false" customHeight="false" outlineLevel="0" collapsed="false">
      <c r="A3753" s="0" t="s">
        <v>7861</v>
      </c>
      <c r="B3753" s="0" t="s">
        <v>7862</v>
      </c>
      <c r="C3753" s="0" t="n">
        <v>1.69</v>
      </c>
    </row>
    <row r="3754" customFormat="false" ht="15" hidden="false" customHeight="false" outlineLevel="0" collapsed="false">
      <c r="A3754" s="0" t="s">
        <v>7863</v>
      </c>
      <c r="B3754" s="0" t="s">
        <v>7864</v>
      </c>
      <c r="C3754" s="0" t="n">
        <v>2.1</v>
      </c>
    </row>
    <row r="3755" customFormat="false" ht="15" hidden="false" customHeight="false" outlineLevel="0" collapsed="false">
      <c r="A3755" s="0" t="s">
        <v>7865</v>
      </c>
      <c r="B3755" s="0" t="s">
        <v>7866</v>
      </c>
      <c r="C3755" s="0" t="n">
        <v>1.25</v>
      </c>
    </row>
    <row r="3756" customFormat="false" ht="15" hidden="false" customHeight="false" outlineLevel="0" collapsed="false">
      <c r="A3756" s="0" t="s">
        <v>7867</v>
      </c>
      <c r="B3756" s="0" t="s">
        <v>7868</v>
      </c>
      <c r="C3756" s="0" t="n">
        <v>4.95</v>
      </c>
    </row>
    <row r="3757" customFormat="false" ht="15" hidden="false" customHeight="false" outlineLevel="0" collapsed="false">
      <c r="A3757" s="0" t="s">
        <v>7869</v>
      </c>
      <c r="B3757" s="0" t="s">
        <v>7870</v>
      </c>
      <c r="C3757" s="0" t="n">
        <v>1.66</v>
      </c>
    </row>
    <row r="3758" customFormat="false" ht="15" hidden="false" customHeight="false" outlineLevel="0" collapsed="false">
      <c r="A3758" s="0" t="s">
        <v>7871</v>
      </c>
      <c r="B3758" s="0" t="s">
        <v>7872</v>
      </c>
      <c r="C3758" s="0" t="n">
        <v>5.95</v>
      </c>
    </row>
    <row r="3759" customFormat="false" ht="15" hidden="false" customHeight="false" outlineLevel="0" collapsed="false">
      <c r="A3759" s="0" t="s">
        <v>7873</v>
      </c>
      <c r="B3759" s="0" t="s">
        <v>355</v>
      </c>
      <c r="C3759" s="0" t="n">
        <v>4.95</v>
      </c>
    </row>
    <row r="3760" customFormat="false" ht="15" hidden="false" customHeight="false" outlineLevel="0" collapsed="false">
      <c r="A3760" s="0" t="s">
        <v>7874</v>
      </c>
      <c r="B3760" s="0" t="s">
        <v>608</v>
      </c>
      <c r="C3760" s="0" t="n">
        <v>4.95</v>
      </c>
    </row>
    <row r="3761" customFormat="false" ht="15" hidden="false" customHeight="false" outlineLevel="0" collapsed="false">
      <c r="A3761" s="0" t="s">
        <v>7875</v>
      </c>
      <c r="B3761" s="0" t="s">
        <v>336</v>
      </c>
      <c r="C3761" s="0" t="n">
        <v>4.95</v>
      </c>
    </row>
    <row r="3762" customFormat="false" ht="15" hidden="false" customHeight="false" outlineLevel="0" collapsed="false">
      <c r="A3762" s="0" t="s">
        <v>7876</v>
      </c>
      <c r="B3762" s="0" t="s">
        <v>7877</v>
      </c>
      <c r="C3762" s="0" t="n">
        <v>12.75</v>
      </c>
    </row>
    <row r="3763" customFormat="false" ht="15" hidden="false" customHeight="false" outlineLevel="0" collapsed="false">
      <c r="A3763" s="0" t="s">
        <v>7878</v>
      </c>
      <c r="B3763" s="0" t="s">
        <v>7879</v>
      </c>
      <c r="C3763" s="0" t="n">
        <v>1.95</v>
      </c>
    </row>
    <row r="3764" customFormat="false" ht="15" hidden="false" customHeight="false" outlineLevel="0" collapsed="false">
      <c r="A3764" s="0" t="s">
        <v>7880</v>
      </c>
      <c r="B3764" s="0" t="s">
        <v>7881</v>
      </c>
      <c r="C3764" s="0" t="n">
        <v>4.5</v>
      </c>
    </row>
    <row r="3765" customFormat="false" ht="15" hidden="false" customHeight="false" outlineLevel="0" collapsed="false">
      <c r="A3765" s="0" t="s">
        <v>7880</v>
      </c>
      <c r="B3765" s="0" t="s">
        <v>7882</v>
      </c>
      <c r="C3765" s="0" t="n">
        <v>1</v>
      </c>
    </row>
    <row r="3766" customFormat="false" ht="15" hidden="false" customHeight="false" outlineLevel="0" collapsed="false">
      <c r="A3766" s="0" t="s">
        <v>7883</v>
      </c>
      <c r="B3766" s="0" t="s">
        <v>7884</v>
      </c>
      <c r="C3766" s="0" t="n">
        <v>0.85</v>
      </c>
    </row>
    <row r="3767" customFormat="false" ht="15" hidden="false" customHeight="false" outlineLevel="0" collapsed="false">
      <c r="A3767" s="0" t="s">
        <v>7885</v>
      </c>
      <c r="B3767" s="0" t="s">
        <v>7886</v>
      </c>
      <c r="C3767" s="0" t="n">
        <v>1.25</v>
      </c>
    </row>
    <row r="3768" customFormat="false" ht="15" hidden="false" customHeight="false" outlineLevel="0" collapsed="false">
      <c r="A3768" s="0" t="s">
        <v>7887</v>
      </c>
      <c r="B3768" s="0" t="s">
        <v>7888</v>
      </c>
      <c r="C3768" s="0" t="n">
        <v>1.25</v>
      </c>
    </row>
    <row r="3769" customFormat="false" ht="15" hidden="false" customHeight="false" outlineLevel="0" collapsed="false">
      <c r="A3769" s="0" t="s">
        <v>7889</v>
      </c>
      <c r="B3769" s="0" t="s">
        <v>7890</v>
      </c>
      <c r="C3769" s="0" t="n">
        <v>2.1</v>
      </c>
    </row>
    <row r="3770" customFormat="false" ht="15" hidden="false" customHeight="false" outlineLevel="0" collapsed="false">
      <c r="A3770" s="0" t="s">
        <v>7891</v>
      </c>
      <c r="B3770" s="0" t="s">
        <v>7892</v>
      </c>
      <c r="C3770" s="0" t="n">
        <v>5.95</v>
      </c>
    </row>
    <row r="3771" customFormat="false" ht="15" hidden="false" customHeight="false" outlineLevel="0" collapsed="false">
      <c r="A3771" s="0" t="s">
        <v>7893</v>
      </c>
      <c r="B3771" s="0" t="s">
        <v>7894</v>
      </c>
      <c r="C3771" s="0" t="n">
        <v>1.25</v>
      </c>
    </row>
    <row r="3772" customFormat="false" ht="15" hidden="false" customHeight="false" outlineLevel="0" collapsed="false">
      <c r="A3772" s="0" t="s">
        <v>7895</v>
      </c>
      <c r="B3772" s="0" t="s">
        <v>7896</v>
      </c>
      <c r="C3772" s="0" t="n">
        <v>7.95</v>
      </c>
    </row>
    <row r="3773" customFormat="false" ht="15" hidden="false" customHeight="false" outlineLevel="0" collapsed="false">
      <c r="A3773" s="0" t="s">
        <v>7897</v>
      </c>
      <c r="B3773" s="0" t="s">
        <v>7898</v>
      </c>
      <c r="C3773" s="0" t="n">
        <v>1.25</v>
      </c>
    </row>
    <row r="3774" customFormat="false" ht="15" hidden="false" customHeight="false" outlineLevel="0" collapsed="false">
      <c r="A3774" s="0" t="s">
        <v>7899</v>
      </c>
      <c r="B3774" s="0" t="s">
        <v>7900</v>
      </c>
      <c r="C3774" s="0" t="n">
        <v>1.95</v>
      </c>
    </row>
    <row r="3775" customFormat="false" ht="15" hidden="false" customHeight="false" outlineLevel="0" collapsed="false">
      <c r="A3775" s="0" t="s">
        <v>7901</v>
      </c>
      <c r="B3775" s="0" t="s">
        <v>7902</v>
      </c>
      <c r="C3775" s="0" t="n">
        <v>26.95</v>
      </c>
    </row>
    <row r="3776" customFormat="false" ht="15" hidden="false" customHeight="false" outlineLevel="0" collapsed="false">
      <c r="A3776" s="0" t="s">
        <v>7903</v>
      </c>
      <c r="B3776" s="0" t="s">
        <v>7904</v>
      </c>
      <c r="C3776" s="0" t="n">
        <v>1.69</v>
      </c>
    </row>
    <row r="3777" customFormat="false" ht="15" hidden="false" customHeight="false" outlineLevel="0" collapsed="false">
      <c r="A3777" s="0" t="s">
        <v>7905</v>
      </c>
      <c r="B3777" s="0" t="s">
        <v>7906</v>
      </c>
      <c r="C3777" s="0" t="n">
        <v>1.25</v>
      </c>
    </row>
    <row r="3778" customFormat="false" ht="15" hidden="false" customHeight="false" outlineLevel="0" collapsed="false">
      <c r="A3778" s="0" t="s">
        <v>7907</v>
      </c>
      <c r="B3778" s="0" t="s">
        <v>7908</v>
      </c>
      <c r="C3778" s="0" t="n">
        <v>1.25</v>
      </c>
    </row>
    <row r="3779" customFormat="false" ht="15" hidden="false" customHeight="false" outlineLevel="0" collapsed="false">
      <c r="A3779" s="0" t="s">
        <v>7909</v>
      </c>
      <c r="B3779" s="0" t="s">
        <v>7910</v>
      </c>
      <c r="C3779" s="0" t="n">
        <v>0.29</v>
      </c>
    </row>
    <row r="3780" customFormat="false" ht="15" hidden="false" customHeight="false" outlineLevel="0" collapsed="false">
      <c r="A3780" s="0" t="s">
        <v>7911</v>
      </c>
      <c r="B3780" s="0" t="s">
        <v>7912</v>
      </c>
      <c r="C3780" s="0" t="n">
        <v>4.25</v>
      </c>
    </row>
    <row r="3781" customFormat="false" ht="15" hidden="false" customHeight="false" outlineLevel="0" collapsed="false">
      <c r="A3781" s="0" t="s">
        <v>7913</v>
      </c>
      <c r="B3781" s="0" t="s">
        <v>7914</v>
      </c>
      <c r="C3781" s="0" t="n">
        <v>0.29</v>
      </c>
    </row>
    <row r="3782" customFormat="false" ht="15" hidden="false" customHeight="false" outlineLevel="0" collapsed="false">
      <c r="A3782" s="0" t="s">
        <v>7915</v>
      </c>
      <c r="B3782" s="0" t="s">
        <v>7916</v>
      </c>
      <c r="C3782" s="0" t="n">
        <v>3.75</v>
      </c>
    </row>
    <row r="3783" customFormat="false" ht="15" hidden="false" customHeight="false" outlineLevel="0" collapsed="false">
      <c r="A3783" s="0" t="s">
        <v>7917</v>
      </c>
      <c r="B3783" s="0" t="s">
        <v>7918</v>
      </c>
      <c r="C3783" s="0" t="n">
        <v>1.25</v>
      </c>
    </row>
    <row r="3784" customFormat="false" ht="15" hidden="false" customHeight="false" outlineLevel="0" collapsed="false">
      <c r="A3784" s="0" t="s">
        <v>7919</v>
      </c>
      <c r="B3784" s="0" t="s">
        <v>7920</v>
      </c>
      <c r="C3784" s="0" t="n">
        <v>1.65</v>
      </c>
    </row>
    <row r="3785" customFormat="false" ht="15" hidden="false" customHeight="false" outlineLevel="0" collapsed="false">
      <c r="A3785" s="0" t="s">
        <v>7921</v>
      </c>
      <c r="B3785" s="0" t="s">
        <v>538</v>
      </c>
      <c r="C3785" s="0" t="n">
        <v>1.69</v>
      </c>
    </row>
    <row r="3786" customFormat="false" ht="15" hidden="false" customHeight="false" outlineLevel="0" collapsed="false">
      <c r="A3786" s="0" t="s">
        <v>7922</v>
      </c>
      <c r="B3786" s="0" t="s">
        <v>679</v>
      </c>
      <c r="C3786" s="0" t="n">
        <v>12.75</v>
      </c>
    </row>
    <row r="3787" customFormat="false" ht="15" hidden="false" customHeight="false" outlineLevel="0" collapsed="false">
      <c r="A3787" s="0" t="s">
        <v>7923</v>
      </c>
      <c r="B3787" s="0" t="s">
        <v>53</v>
      </c>
      <c r="C3787" s="0" t="n">
        <v>7.95</v>
      </c>
    </row>
    <row r="3788" customFormat="false" ht="15" hidden="false" customHeight="false" outlineLevel="0" collapsed="false">
      <c r="A3788" s="0" t="s">
        <v>7924</v>
      </c>
      <c r="B3788" s="0" t="s">
        <v>52</v>
      </c>
      <c r="C3788" s="0" t="n">
        <v>5.95</v>
      </c>
    </row>
    <row r="3789" customFormat="false" ht="15" hidden="false" customHeight="false" outlineLevel="0" collapsed="false">
      <c r="A3789" s="0" t="s">
        <v>7925</v>
      </c>
      <c r="B3789" s="0" t="s">
        <v>352</v>
      </c>
      <c r="C3789" s="0" t="n">
        <v>1.25</v>
      </c>
    </row>
    <row r="3790" customFormat="false" ht="15" hidden="false" customHeight="false" outlineLevel="0" collapsed="false">
      <c r="A3790" s="0" t="s">
        <v>7926</v>
      </c>
      <c r="B3790" s="0" t="s">
        <v>7927</v>
      </c>
      <c r="C3790" s="0" t="n">
        <v>0.5</v>
      </c>
    </row>
    <row r="3791" customFormat="false" ht="15" hidden="false" customHeight="false" outlineLevel="0" collapsed="false">
      <c r="A3791" s="0" t="s">
        <v>7928</v>
      </c>
      <c r="B3791" s="0" t="s">
        <v>7929</v>
      </c>
      <c r="C3791" s="0" t="n">
        <v>3.35</v>
      </c>
    </row>
    <row r="3792" customFormat="false" ht="15" hidden="false" customHeight="false" outlineLevel="0" collapsed="false">
      <c r="A3792" s="0" t="s">
        <v>7930</v>
      </c>
      <c r="B3792" s="0" t="s">
        <v>7931</v>
      </c>
      <c r="C3792" s="0" t="n">
        <v>4.95</v>
      </c>
    </row>
    <row r="3793" customFormat="false" ht="15" hidden="false" customHeight="false" outlineLevel="0" collapsed="false">
      <c r="A3793" s="0" t="s">
        <v>7932</v>
      </c>
      <c r="B3793" s="0" t="s">
        <v>7933</v>
      </c>
      <c r="C3793" s="0" t="n">
        <v>2.95</v>
      </c>
    </row>
    <row r="3794" customFormat="false" ht="15" hidden="false" customHeight="false" outlineLevel="0" collapsed="false">
      <c r="A3794" s="0" t="s">
        <v>7934</v>
      </c>
      <c r="B3794" s="0" t="s">
        <v>7935</v>
      </c>
      <c r="C3794" s="0" t="n">
        <v>4.25</v>
      </c>
    </row>
    <row r="3795" customFormat="false" ht="15" hidden="false" customHeight="false" outlineLevel="0" collapsed="false">
      <c r="A3795" s="0" t="s">
        <v>7936</v>
      </c>
      <c r="B3795" s="0" t="s">
        <v>7937</v>
      </c>
      <c r="C3795" s="0" t="n">
        <v>4.25</v>
      </c>
    </row>
    <row r="3796" customFormat="false" ht="15" hidden="false" customHeight="false" outlineLevel="0" collapsed="false">
      <c r="A3796" s="0" t="s">
        <v>7938</v>
      </c>
      <c r="B3796" s="0" t="s">
        <v>7939</v>
      </c>
      <c r="C3796" s="0" t="n">
        <v>4.95</v>
      </c>
    </row>
    <row r="3797" customFormat="false" ht="15" hidden="false" customHeight="false" outlineLevel="0" collapsed="false">
      <c r="A3797" s="0" t="s">
        <v>7940</v>
      </c>
      <c r="B3797" s="0" t="s">
        <v>7941</v>
      </c>
      <c r="C3797" s="0" t="n">
        <v>2.95</v>
      </c>
    </row>
    <row r="3798" customFormat="false" ht="15" hidden="false" customHeight="false" outlineLevel="0" collapsed="false">
      <c r="A3798" s="0" t="s">
        <v>7942</v>
      </c>
      <c r="B3798" s="0" t="s">
        <v>7943</v>
      </c>
      <c r="C3798" s="0" t="n">
        <v>7.95</v>
      </c>
    </row>
    <row r="3799" customFormat="false" ht="15" hidden="false" customHeight="false" outlineLevel="0" collapsed="false">
      <c r="A3799" s="0" t="s">
        <v>7944</v>
      </c>
      <c r="B3799" s="0" t="s">
        <v>7945</v>
      </c>
      <c r="C3799" s="0" t="n">
        <v>1.25</v>
      </c>
    </row>
    <row r="3800" customFormat="false" ht="15" hidden="false" customHeight="false" outlineLevel="0" collapsed="false">
      <c r="A3800" s="0" t="s">
        <v>7946</v>
      </c>
      <c r="B3800" s="0" t="s">
        <v>7947</v>
      </c>
      <c r="C3800" s="0" t="n">
        <v>1.25</v>
      </c>
    </row>
    <row r="3801" customFormat="false" ht="15" hidden="false" customHeight="false" outlineLevel="0" collapsed="false">
      <c r="A3801" s="0" t="s">
        <v>7948</v>
      </c>
      <c r="B3801" s="0" t="s">
        <v>7949</v>
      </c>
      <c r="C3801" s="0" t="n">
        <v>1.25</v>
      </c>
    </row>
    <row r="3802" customFormat="false" ht="15" hidden="false" customHeight="false" outlineLevel="0" collapsed="false">
      <c r="A3802" s="0" t="s">
        <v>7950</v>
      </c>
      <c r="B3802" s="0" t="s">
        <v>7951</v>
      </c>
      <c r="C3802" s="0" t="n">
        <v>1.25</v>
      </c>
    </row>
    <row r="3803" customFormat="false" ht="15" hidden="false" customHeight="false" outlineLevel="0" collapsed="false">
      <c r="A3803" s="0" t="s">
        <v>7952</v>
      </c>
      <c r="B3803" s="0" t="s">
        <v>7953</v>
      </c>
      <c r="C3803" s="0" t="n">
        <v>1.25</v>
      </c>
    </row>
    <row r="3804" customFormat="false" ht="15" hidden="false" customHeight="false" outlineLevel="0" collapsed="false">
      <c r="A3804" s="0" t="s">
        <v>7954</v>
      </c>
      <c r="B3804" s="0" t="s">
        <v>7955</v>
      </c>
      <c r="C3804" s="0" t="n">
        <v>295</v>
      </c>
    </row>
    <row r="3805" customFormat="false" ht="15" hidden="false" customHeight="false" outlineLevel="0" collapsed="false">
      <c r="A3805" s="0" t="s">
        <v>7956</v>
      </c>
      <c r="B3805" s="0" t="s">
        <v>7957</v>
      </c>
      <c r="C3805" s="0" t="n">
        <v>0.42</v>
      </c>
    </row>
    <row r="3806" customFormat="false" ht="15" hidden="false" customHeight="false" outlineLevel="0" collapsed="false">
      <c r="A3806" s="0" t="s">
        <v>7958</v>
      </c>
      <c r="B3806" s="0" t="s">
        <v>7959</v>
      </c>
      <c r="C3806" s="0" t="n">
        <v>0.42</v>
      </c>
    </row>
    <row r="3807" customFormat="false" ht="15" hidden="false" customHeight="false" outlineLevel="0" collapsed="false">
      <c r="A3807" s="0" t="s">
        <v>7960</v>
      </c>
      <c r="B3807" s="0" t="s">
        <v>7961</v>
      </c>
      <c r="C3807" s="0" t="n">
        <v>0.42</v>
      </c>
    </row>
    <row r="3808" customFormat="false" ht="15" hidden="false" customHeight="false" outlineLevel="0" collapsed="false">
      <c r="A3808" s="0" t="s">
        <v>7962</v>
      </c>
      <c r="B3808" s="0" t="s">
        <v>7963</v>
      </c>
      <c r="C3808" s="0" t="n">
        <v>0.42</v>
      </c>
    </row>
    <row r="3809" customFormat="false" ht="15" hidden="false" customHeight="false" outlineLevel="0" collapsed="false">
      <c r="A3809" s="0" t="s">
        <v>7964</v>
      </c>
      <c r="B3809" s="0" t="s">
        <v>864</v>
      </c>
      <c r="C3809" s="0" t="n">
        <v>9.95</v>
      </c>
    </row>
    <row r="3810" customFormat="false" ht="15" hidden="false" customHeight="false" outlineLevel="0" collapsed="false">
      <c r="A3810" s="0" t="s">
        <v>7965</v>
      </c>
      <c r="B3810" s="0" t="s">
        <v>7966</v>
      </c>
      <c r="C3810" s="0" t="n">
        <v>6.35</v>
      </c>
    </row>
    <row r="3811" customFormat="false" ht="15" hidden="false" customHeight="false" outlineLevel="0" collapsed="false">
      <c r="A3811" s="0" t="s">
        <v>7967</v>
      </c>
      <c r="B3811" s="0" t="s">
        <v>7968</v>
      </c>
      <c r="C3811" s="0" t="n">
        <v>8.5</v>
      </c>
    </row>
    <row r="3812" customFormat="false" ht="15" hidden="false" customHeight="false" outlineLevel="0" collapsed="false">
      <c r="A3812" s="0" t="s">
        <v>7969</v>
      </c>
      <c r="B3812" s="0" t="s">
        <v>7970</v>
      </c>
      <c r="C3812" s="0" t="n">
        <v>0.85</v>
      </c>
    </row>
    <row r="3813" customFormat="false" ht="15" hidden="false" customHeight="false" outlineLevel="0" collapsed="false">
      <c r="A3813" s="0" t="s">
        <v>7971</v>
      </c>
      <c r="B3813" s="0" t="s">
        <v>7972</v>
      </c>
      <c r="C3813" s="0" t="n">
        <v>5.09</v>
      </c>
    </row>
    <row r="3814" customFormat="false" ht="15" hidden="false" customHeight="false" outlineLevel="0" collapsed="false">
      <c r="A3814" s="0" t="s">
        <v>7973</v>
      </c>
      <c r="B3814" s="0" t="s">
        <v>7974</v>
      </c>
      <c r="C3814" s="0" t="n">
        <v>4.95</v>
      </c>
    </row>
    <row r="3815" customFormat="false" ht="15" hidden="false" customHeight="false" outlineLevel="0" collapsed="false">
      <c r="A3815" s="0" t="s">
        <v>7975</v>
      </c>
      <c r="B3815" s="0" t="s">
        <v>7976</v>
      </c>
      <c r="C3815" s="0" t="n">
        <v>5.95</v>
      </c>
    </row>
    <row r="3816" customFormat="false" ht="15" hidden="false" customHeight="false" outlineLevel="0" collapsed="false">
      <c r="A3816" s="0" t="s">
        <v>7977</v>
      </c>
      <c r="B3816" s="0" t="s">
        <v>7978</v>
      </c>
      <c r="C3816" s="0" t="n">
        <v>5.95</v>
      </c>
    </row>
    <row r="3817" customFormat="false" ht="15" hidden="false" customHeight="false" outlineLevel="0" collapsed="false">
      <c r="A3817" s="0" t="s">
        <v>7979</v>
      </c>
      <c r="B3817" s="0" t="s">
        <v>7980</v>
      </c>
      <c r="C3817" s="0" t="n">
        <v>5.95</v>
      </c>
    </row>
    <row r="3818" customFormat="false" ht="15" hidden="false" customHeight="false" outlineLevel="0" collapsed="false">
      <c r="A3818" s="0" t="s">
        <v>7981</v>
      </c>
      <c r="B3818" s="0" t="s">
        <v>7982</v>
      </c>
      <c r="C3818" s="0" t="n">
        <v>0.42</v>
      </c>
    </row>
    <row r="3819" customFormat="false" ht="15" hidden="false" customHeight="false" outlineLevel="0" collapsed="false">
      <c r="A3819" s="0" t="s">
        <v>7983</v>
      </c>
      <c r="B3819" s="0" t="s">
        <v>293</v>
      </c>
      <c r="C3819" s="0" t="n">
        <v>1.25</v>
      </c>
    </row>
    <row r="3820" customFormat="false" ht="15" hidden="false" customHeight="false" outlineLevel="0" collapsed="false">
      <c r="A3820" s="0" t="s">
        <v>7984</v>
      </c>
      <c r="B3820" s="0" t="s">
        <v>7985</v>
      </c>
      <c r="C3820" s="0" t="n">
        <v>6.35</v>
      </c>
    </row>
    <row r="3821" customFormat="false" ht="15" hidden="false" customHeight="false" outlineLevel="0" collapsed="false">
      <c r="A3821" s="0" t="s">
        <v>7986</v>
      </c>
      <c r="B3821" s="0" t="s">
        <v>7987</v>
      </c>
      <c r="C3821" s="0" t="n">
        <v>12.72</v>
      </c>
    </row>
    <row r="3822" customFormat="false" ht="15" hidden="false" customHeight="false" outlineLevel="0" collapsed="false">
      <c r="A3822" s="0" t="s">
        <v>7988</v>
      </c>
      <c r="B3822" s="0" t="s">
        <v>7989</v>
      </c>
      <c r="C3822" s="0" t="n">
        <v>12.72</v>
      </c>
    </row>
    <row r="3823" customFormat="false" ht="15" hidden="false" customHeight="false" outlineLevel="0" collapsed="false">
      <c r="A3823" s="0" t="s">
        <v>7990</v>
      </c>
      <c r="B3823" s="0" t="s">
        <v>7991</v>
      </c>
      <c r="C3823" s="0" t="n">
        <v>12.72</v>
      </c>
    </row>
    <row r="3824" customFormat="false" ht="15" hidden="false" customHeight="false" outlineLevel="0" collapsed="false">
      <c r="A3824" s="0" t="s">
        <v>7992</v>
      </c>
      <c r="B3824" s="0" t="s">
        <v>172</v>
      </c>
      <c r="C3824" s="0" t="n">
        <v>0.42</v>
      </c>
    </row>
    <row r="3825" customFormat="false" ht="15" hidden="false" customHeight="false" outlineLevel="0" collapsed="false">
      <c r="A3825" s="0" t="s">
        <v>7993</v>
      </c>
      <c r="B3825" s="0" t="s">
        <v>7994</v>
      </c>
      <c r="C3825" s="0" t="n">
        <v>2.55</v>
      </c>
    </row>
    <row r="3826" customFormat="false" ht="15" hidden="false" customHeight="false" outlineLevel="0" collapsed="false">
      <c r="A3826" s="0" t="s">
        <v>7995</v>
      </c>
      <c r="B3826" s="0" t="s">
        <v>7996</v>
      </c>
      <c r="C3826" s="0" t="n">
        <v>2.55</v>
      </c>
    </row>
    <row r="3827" customFormat="false" ht="15" hidden="false" customHeight="false" outlineLevel="0" collapsed="false">
      <c r="A3827" s="0" t="s">
        <v>7997</v>
      </c>
      <c r="B3827" s="0" t="s">
        <v>7998</v>
      </c>
      <c r="C3827" s="0" t="n">
        <v>2.55</v>
      </c>
    </row>
    <row r="3828" customFormat="false" ht="15" hidden="false" customHeight="false" outlineLevel="0" collapsed="false">
      <c r="A3828" s="0" t="s">
        <v>7999</v>
      </c>
      <c r="B3828" s="0" t="s">
        <v>8000</v>
      </c>
      <c r="C3828" s="0" t="n">
        <v>2.55</v>
      </c>
    </row>
    <row r="3829" customFormat="false" ht="15" hidden="false" customHeight="false" outlineLevel="0" collapsed="false">
      <c r="A3829" s="0" t="s">
        <v>8001</v>
      </c>
      <c r="B3829" s="0" t="s">
        <v>8002</v>
      </c>
      <c r="C3829" s="0" t="n">
        <v>12.75</v>
      </c>
    </row>
    <row r="3830" customFormat="false" ht="15" hidden="false" customHeight="false" outlineLevel="0" collapsed="false">
      <c r="A3830" s="0" t="s">
        <v>8003</v>
      </c>
      <c r="B3830" s="0" t="s">
        <v>8004</v>
      </c>
      <c r="C3830" s="0" t="n">
        <v>2.95</v>
      </c>
    </row>
    <row r="3831" customFormat="false" ht="15" hidden="false" customHeight="false" outlineLevel="0" collapsed="false">
      <c r="A3831" s="0" t="s">
        <v>8005</v>
      </c>
      <c r="B3831" s="0" t="s">
        <v>8006</v>
      </c>
      <c r="C3831" s="0" t="n">
        <v>2.95</v>
      </c>
    </row>
    <row r="3832" customFormat="false" ht="15" hidden="false" customHeight="false" outlineLevel="0" collapsed="false">
      <c r="A3832" s="0" t="s">
        <v>8007</v>
      </c>
      <c r="B3832" s="0" t="s">
        <v>8008</v>
      </c>
      <c r="C3832" s="0" t="n">
        <v>2.95</v>
      </c>
    </row>
    <row r="3833" customFormat="false" ht="15" hidden="false" customHeight="false" outlineLevel="0" collapsed="false">
      <c r="A3833" s="0" t="s">
        <v>8009</v>
      </c>
      <c r="B3833" s="0" t="s">
        <v>8010</v>
      </c>
      <c r="C3833" s="0" t="n">
        <v>2.95</v>
      </c>
    </row>
    <row r="3834" customFormat="false" ht="15" hidden="false" customHeight="false" outlineLevel="0" collapsed="false">
      <c r="A3834" s="0" t="s">
        <v>8011</v>
      </c>
      <c r="B3834" s="0" t="s">
        <v>8012</v>
      </c>
      <c r="C3834" s="0" t="n">
        <v>2.95</v>
      </c>
    </row>
    <row r="3835" customFormat="false" ht="15" hidden="false" customHeight="false" outlineLevel="0" collapsed="false">
      <c r="A3835" s="0" t="s">
        <v>8013</v>
      </c>
      <c r="B3835" s="0" t="s">
        <v>8014</v>
      </c>
      <c r="C3835" s="0" t="n">
        <v>2.95</v>
      </c>
    </row>
    <row r="3836" customFormat="false" ht="15" hidden="false" customHeight="false" outlineLevel="0" collapsed="false">
      <c r="A3836" s="0" t="s">
        <v>8015</v>
      </c>
      <c r="B3836" s="0" t="s">
        <v>8016</v>
      </c>
      <c r="C3836" s="0" t="n">
        <v>2.95</v>
      </c>
    </row>
    <row r="3837" customFormat="false" ht="15" hidden="false" customHeight="false" outlineLevel="0" collapsed="false">
      <c r="A3837" s="0" t="s">
        <v>8017</v>
      </c>
      <c r="B3837" s="0" t="s">
        <v>8018</v>
      </c>
      <c r="C3837" s="0" t="n">
        <v>6.35</v>
      </c>
    </row>
    <row r="3838" customFormat="false" ht="15" hidden="false" customHeight="false" outlineLevel="0" collapsed="false">
      <c r="A3838" s="0" t="s">
        <v>8019</v>
      </c>
      <c r="B3838" s="0" t="s">
        <v>8020</v>
      </c>
      <c r="C3838" s="0" t="n">
        <v>12.75</v>
      </c>
    </row>
    <row r="3839" customFormat="false" ht="15" hidden="false" customHeight="false" outlineLevel="0" collapsed="false">
      <c r="A3839" s="0" t="s">
        <v>8021</v>
      </c>
      <c r="B3839" s="0" t="s">
        <v>8022</v>
      </c>
      <c r="C3839" s="0" t="n">
        <v>4.3</v>
      </c>
    </row>
    <row r="3840" customFormat="false" ht="15" hidden="false" customHeight="false" outlineLevel="0" collapsed="false">
      <c r="A3840" s="0" t="s">
        <v>8023</v>
      </c>
      <c r="B3840" s="0" t="s">
        <v>8024</v>
      </c>
      <c r="C3840" s="0" t="n">
        <v>79.95</v>
      </c>
    </row>
    <row r="3841" customFormat="false" ht="15" hidden="false" customHeight="false" outlineLevel="0" collapsed="false">
      <c r="A3841" s="0" t="s">
        <v>8025</v>
      </c>
      <c r="B3841" s="0" t="s">
        <v>8026</v>
      </c>
      <c r="C3841" s="0" t="n">
        <v>295</v>
      </c>
    </row>
    <row r="3842" customFormat="false" ht="15" hidden="false" customHeight="false" outlineLevel="0" collapsed="false">
      <c r="A3842" s="0" t="s">
        <v>8027</v>
      </c>
      <c r="B3842" s="0" t="s">
        <v>8028</v>
      </c>
      <c r="C3842" s="0" t="n">
        <v>1.25</v>
      </c>
    </row>
    <row r="3843" customFormat="false" ht="15" hidden="false" customHeight="false" outlineLevel="0" collapsed="false">
      <c r="A3843" s="0" t="s">
        <v>8029</v>
      </c>
      <c r="B3843" s="0" t="s">
        <v>8030</v>
      </c>
      <c r="C3843" s="0" t="n">
        <v>1.25</v>
      </c>
    </row>
    <row r="3844" customFormat="false" ht="15" hidden="false" customHeight="false" outlineLevel="0" collapsed="false">
      <c r="A3844" s="0" t="s">
        <v>8031</v>
      </c>
      <c r="B3844" s="0" t="s">
        <v>8032</v>
      </c>
      <c r="C3844" s="0" t="n">
        <v>4.25</v>
      </c>
    </row>
    <row r="3845" customFormat="false" ht="15" hidden="false" customHeight="false" outlineLevel="0" collapsed="false">
      <c r="A3845" s="0" t="s">
        <v>8033</v>
      </c>
      <c r="B3845" s="0" t="s">
        <v>8034</v>
      </c>
      <c r="C3845" s="0" t="n">
        <v>4.25</v>
      </c>
    </row>
    <row r="3846" customFormat="false" ht="15" hidden="false" customHeight="false" outlineLevel="0" collapsed="false">
      <c r="A3846" s="0" t="s">
        <v>8035</v>
      </c>
      <c r="B3846" s="0" t="s">
        <v>8036</v>
      </c>
      <c r="C3846" s="0" t="n">
        <v>4.24</v>
      </c>
    </row>
    <row r="3847" customFormat="false" ht="15" hidden="false" customHeight="false" outlineLevel="0" collapsed="false">
      <c r="A3847" s="0" t="s">
        <v>8037</v>
      </c>
      <c r="B3847" s="0" t="s">
        <v>8038</v>
      </c>
      <c r="C3847" s="0" t="n">
        <v>3.75</v>
      </c>
    </row>
    <row r="3848" customFormat="false" ht="15" hidden="false" customHeight="false" outlineLevel="0" collapsed="false">
      <c r="A3848" s="0" t="s">
        <v>8039</v>
      </c>
      <c r="B3848" s="0" t="s">
        <v>8040</v>
      </c>
      <c r="C3848" s="0" t="n">
        <v>6.45</v>
      </c>
    </row>
    <row r="3849" customFormat="false" ht="15" hidden="false" customHeight="false" outlineLevel="0" collapsed="false">
      <c r="A3849" s="0" t="s">
        <v>8041</v>
      </c>
      <c r="B3849" s="0" t="s">
        <v>8042</v>
      </c>
      <c r="C3849" s="0" t="n">
        <v>4.3</v>
      </c>
    </row>
    <row r="3850" customFormat="false" ht="15" hidden="false" customHeight="false" outlineLevel="0" collapsed="false">
      <c r="A3850" s="0" t="s">
        <v>8043</v>
      </c>
      <c r="B3850" s="0" t="s">
        <v>578</v>
      </c>
      <c r="C3850" s="0" t="n">
        <v>3.75</v>
      </c>
    </row>
    <row r="3851" customFormat="false" ht="15" hidden="false" customHeight="false" outlineLevel="0" collapsed="false">
      <c r="A3851" s="0" t="s">
        <v>8044</v>
      </c>
      <c r="B3851" s="0" t="s">
        <v>139</v>
      </c>
      <c r="C3851" s="0" t="n">
        <v>0.85</v>
      </c>
    </row>
    <row r="3852" customFormat="false" ht="15" hidden="false" customHeight="false" outlineLevel="0" collapsed="false">
      <c r="A3852" s="0" t="s">
        <v>8045</v>
      </c>
      <c r="B3852" s="0" t="s">
        <v>8046</v>
      </c>
      <c r="C3852" s="0" t="n">
        <v>6.95</v>
      </c>
    </row>
    <row r="3853" customFormat="false" ht="15" hidden="false" customHeight="false" outlineLevel="0" collapsed="false">
      <c r="A3853" s="0" t="s">
        <v>8047</v>
      </c>
      <c r="B3853" s="0" t="s">
        <v>421</v>
      </c>
      <c r="C3853" s="0" t="n">
        <v>8.5</v>
      </c>
    </row>
    <row r="3854" customFormat="false" ht="15" hidden="false" customHeight="false" outlineLevel="0" collapsed="false">
      <c r="A3854" s="0" t="s">
        <v>8048</v>
      </c>
      <c r="B3854" s="0" t="s">
        <v>8049</v>
      </c>
      <c r="C3854" s="0" t="n">
        <v>4.95</v>
      </c>
    </row>
    <row r="3855" customFormat="false" ht="15" hidden="false" customHeight="false" outlineLevel="0" collapsed="false">
      <c r="A3855" s="0" t="s">
        <v>8050</v>
      </c>
      <c r="B3855" s="0" t="s">
        <v>8051</v>
      </c>
      <c r="C3855" s="0" t="n">
        <v>5.95</v>
      </c>
    </row>
    <row r="3856" customFormat="false" ht="15" hidden="false" customHeight="false" outlineLevel="0" collapsed="false">
      <c r="A3856" s="0" t="s">
        <v>8052</v>
      </c>
      <c r="B3856" s="0" t="s">
        <v>296</v>
      </c>
      <c r="C3856" s="0" t="n">
        <v>9.95</v>
      </c>
    </row>
    <row r="3857" customFormat="false" ht="15" hidden="false" customHeight="false" outlineLevel="0" collapsed="false">
      <c r="A3857" s="0" t="s">
        <v>8053</v>
      </c>
      <c r="B3857" s="0" t="s">
        <v>8054</v>
      </c>
      <c r="C3857" s="0" t="n">
        <v>1.95</v>
      </c>
    </row>
    <row r="3858" customFormat="false" ht="15" hidden="false" customHeight="false" outlineLevel="0" collapsed="false">
      <c r="A3858" s="0" t="s">
        <v>8055</v>
      </c>
      <c r="B3858" s="0" t="s">
        <v>8056</v>
      </c>
      <c r="C3858" s="0" t="n">
        <v>4.95</v>
      </c>
    </row>
    <row r="3859" customFormat="false" ht="15" hidden="false" customHeight="false" outlineLevel="0" collapsed="false">
      <c r="A3859" s="0" t="s">
        <v>8057</v>
      </c>
      <c r="B3859" s="0" t="s">
        <v>8058</v>
      </c>
      <c r="C3859" s="0" t="n">
        <v>29.95</v>
      </c>
    </row>
    <row r="3860" customFormat="false" ht="15" hidden="false" customHeight="false" outlineLevel="0" collapsed="false">
      <c r="A3860" s="0" t="s">
        <v>8059</v>
      </c>
      <c r="B3860" s="0" t="s">
        <v>8060</v>
      </c>
      <c r="C3860" s="0" t="n">
        <v>39.95</v>
      </c>
    </row>
    <row r="3861" customFormat="false" ht="15" hidden="false" customHeight="false" outlineLevel="0" collapsed="false">
      <c r="A3861" s="0" t="s">
        <v>8061</v>
      </c>
      <c r="B3861" s="0" t="s">
        <v>8062</v>
      </c>
      <c r="C3861" s="0" t="n">
        <v>3.75</v>
      </c>
    </row>
    <row r="3862" customFormat="false" ht="15" hidden="false" customHeight="false" outlineLevel="0" collapsed="false">
      <c r="A3862" s="0" t="s">
        <v>8063</v>
      </c>
      <c r="B3862" s="0" t="s">
        <v>8064</v>
      </c>
      <c r="C3862" s="0" t="n">
        <v>2.51</v>
      </c>
    </row>
    <row r="3863" customFormat="false" ht="15" hidden="false" customHeight="false" outlineLevel="0" collapsed="false">
      <c r="A3863" s="0" t="s">
        <v>8065</v>
      </c>
      <c r="B3863" s="0" t="s">
        <v>8066</v>
      </c>
      <c r="C3863" s="0" t="n">
        <v>1.25</v>
      </c>
    </row>
    <row r="3864" customFormat="false" ht="15" hidden="false" customHeight="false" outlineLevel="0" collapsed="false">
      <c r="A3864" s="0" t="s">
        <v>8067</v>
      </c>
      <c r="B3864" s="0" t="s">
        <v>8068</v>
      </c>
      <c r="C3864" s="0" t="n">
        <v>2.1</v>
      </c>
    </row>
    <row r="3865" customFormat="false" ht="15" hidden="false" customHeight="false" outlineLevel="0" collapsed="false">
      <c r="A3865" s="0" t="s">
        <v>8069</v>
      </c>
      <c r="B3865" s="0" t="s">
        <v>8070</v>
      </c>
      <c r="C3865" s="0" t="n">
        <v>3.75</v>
      </c>
    </row>
    <row r="3866" customFormat="false" ht="15" hidden="false" customHeight="false" outlineLevel="0" collapsed="false">
      <c r="A3866" s="0" t="s">
        <v>8071</v>
      </c>
      <c r="B3866" s="0" t="s">
        <v>8072</v>
      </c>
      <c r="C3866" s="0" t="n">
        <v>1.25</v>
      </c>
    </row>
    <row r="3867" customFormat="false" ht="15" hidden="false" customHeight="false" outlineLevel="0" collapsed="false">
      <c r="A3867" s="0" t="s">
        <v>8073</v>
      </c>
      <c r="B3867" s="0" t="s">
        <v>8074</v>
      </c>
      <c r="C3867" s="0" t="n">
        <v>2.1</v>
      </c>
    </row>
    <row r="3868" customFormat="false" ht="15" hidden="false" customHeight="false" outlineLevel="0" collapsed="false">
      <c r="A3868" s="0" t="s">
        <v>8075</v>
      </c>
      <c r="B3868" s="0" t="s">
        <v>8076</v>
      </c>
      <c r="C3868" s="0" t="n">
        <v>2.55</v>
      </c>
    </row>
    <row r="3869" customFormat="false" ht="15" hidden="false" customHeight="false" outlineLevel="0" collapsed="false">
      <c r="A3869" s="0" t="s">
        <v>8077</v>
      </c>
      <c r="B3869" s="0" t="s">
        <v>8078</v>
      </c>
      <c r="C3869" s="0" t="n">
        <v>9.95</v>
      </c>
    </row>
    <row r="3870" customFormat="false" ht="15" hidden="false" customHeight="false" outlineLevel="0" collapsed="false">
      <c r="A3870" s="0" t="s">
        <v>8079</v>
      </c>
      <c r="B3870" s="0" t="s">
        <v>8080</v>
      </c>
      <c r="C3870" s="0" t="n">
        <v>16.13</v>
      </c>
    </row>
    <row r="3871" customFormat="false" ht="15" hidden="false" customHeight="false" outlineLevel="0" collapsed="false">
      <c r="A3871" s="0" t="s">
        <v>8081</v>
      </c>
      <c r="B3871" s="0" t="s">
        <v>8082</v>
      </c>
      <c r="C3871" s="0" t="n">
        <v>14.95</v>
      </c>
    </row>
    <row r="3872" customFormat="false" ht="15" hidden="false" customHeight="false" outlineLevel="0" collapsed="false">
      <c r="A3872" s="0" t="s">
        <v>8083</v>
      </c>
      <c r="B3872" s="0" t="s">
        <v>8084</v>
      </c>
      <c r="C3872" s="0" t="n">
        <v>2.1</v>
      </c>
    </row>
    <row r="3873" customFormat="false" ht="15" hidden="false" customHeight="false" outlineLevel="0" collapsed="false">
      <c r="A3873" s="0" t="s">
        <v>8085</v>
      </c>
      <c r="B3873" s="0" t="s">
        <v>8086</v>
      </c>
      <c r="C3873" s="0" t="n">
        <v>2.55</v>
      </c>
    </row>
    <row r="3874" customFormat="false" ht="15" hidden="false" customHeight="false" outlineLevel="0" collapsed="false">
      <c r="A3874" s="0" t="s">
        <v>8087</v>
      </c>
      <c r="B3874" s="0" t="s">
        <v>8088</v>
      </c>
      <c r="C3874" s="0" t="n">
        <v>1.25</v>
      </c>
    </row>
    <row r="3875" customFormat="false" ht="15" hidden="false" customHeight="false" outlineLevel="0" collapsed="false">
      <c r="A3875" s="0" t="s">
        <v>8089</v>
      </c>
      <c r="B3875" s="0" t="s">
        <v>480</v>
      </c>
      <c r="C3875" s="0" t="n">
        <v>1.95</v>
      </c>
    </row>
    <row r="3876" customFormat="false" ht="15" hidden="false" customHeight="false" outlineLevel="0" collapsed="false">
      <c r="A3876" s="0" t="s">
        <v>8090</v>
      </c>
      <c r="B3876" s="0" t="s">
        <v>8091</v>
      </c>
      <c r="C3876" s="0" t="n">
        <v>1.25</v>
      </c>
    </row>
    <row r="3877" customFormat="false" ht="15" hidden="false" customHeight="false" outlineLevel="0" collapsed="false">
      <c r="A3877" s="0" t="s">
        <v>8092</v>
      </c>
      <c r="B3877" s="0" t="s">
        <v>8093</v>
      </c>
      <c r="C3877" s="0" t="n">
        <v>1.95</v>
      </c>
    </row>
    <row r="3878" customFormat="false" ht="15" hidden="false" customHeight="false" outlineLevel="0" collapsed="false">
      <c r="A3878" s="0" t="s">
        <v>8094</v>
      </c>
      <c r="B3878" s="0" t="s">
        <v>700</v>
      </c>
      <c r="C3878" s="0" t="n">
        <v>1.95</v>
      </c>
    </row>
    <row r="3879" customFormat="false" ht="15" hidden="false" customHeight="false" outlineLevel="0" collapsed="false">
      <c r="A3879" s="0" t="s">
        <v>8095</v>
      </c>
      <c r="B3879" s="0" t="s">
        <v>8096</v>
      </c>
      <c r="C3879" s="0" t="n">
        <v>1.69</v>
      </c>
    </row>
    <row r="3880" customFormat="false" ht="15" hidden="false" customHeight="false" outlineLevel="0" collapsed="false">
      <c r="A3880" s="0" t="s">
        <v>8097</v>
      </c>
      <c r="B3880" s="0" t="s">
        <v>8098</v>
      </c>
      <c r="C3880" s="0" t="n">
        <v>1.25</v>
      </c>
    </row>
    <row r="3881" customFormat="false" ht="15" hidden="false" customHeight="false" outlineLevel="0" collapsed="false">
      <c r="A3881" s="0" t="s">
        <v>8099</v>
      </c>
      <c r="B3881" s="0" t="s">
        <v>8100</v>
      </c>
      <c r="C3881" s="0" t="n">
        <v>3.75</v>
      </c>
    </row>
    <row r="3882" customFormat="false" ht="15" hidden="false" customHeight="false" outlineLevel="0" collapsed="false">
      <c r="A3882" s="0" t="s">
        <v>8101</v>
      </c>
      <c r="B3882" s="0" t="s">
        <v>8102</v>
      </c>
      <c r="C3882" s="0" t="n">
        <v>1.65</v>
      </c>
    </row>
    <row r="3883" customFormat="false" ht="15" hidden="false" customHeight="false" outlineLevel="0" collapsed="false">
      <c r="A3883" s="0" t="s">
        <v>8103</v>
      </c>
      <c r="B3883" s="0" t="s">
        <v>8104</v>
      </c>
      <c r="C3883" s="0" t="n">
        <v>8.5</v>
      </c>
    </row>
    <row r="3884" customFormat="false" ht="15" hidden="false" customHeight="false" outlineLevel="0" collapsed="false">
      <c r="A3884" s="0" t="s">
        <v>8105</v>
      </c>
      <c r="B3884" s="0" t="s">
        <v>8106</v>
      </c>
      <c r="C3884" s="0" t="n">
        <v>1.25</v>
      </c>
    </row>
    <row r="3885" customFormat="false" ht="15" hidden="false" customHeight="false" outlineLevel="0" collapsed="false">
      <c r="A3885" s="0" t="s">
        <v>8107</v>
      </c>
      <c r="B3885" s="0" t="s">
        <v>8108</v>
      </c>
      <c r="C3885" s="0" t="n">
        <v>9.95</v>
      </c>
    </row>
    <row r="3886" customFormat="false" ht="15" hidden="false" customHeight="false" outlineLevel="0" collapsed="false">
      <c r="A3886" s="0" t="s">
        <v>8109</v>
      </c>
      <c r="B3886" s="0" t="s">
        <v>8110</v>
      </c>
      <c r="C3886" s="0" t="n">
        <v>12.75</v>
      </c>
    </row>
    <row r="3887" customFormat="false" ht="15" hidden="false" customHeight="false" outlineLevel="0" collapsed="false">
      <c r="A3887" s="0" t="s">
        <v>8111</v>
      </c>
      <c r="B3887" s="0" t="s">
        <v>8112</v>
      </c>
      <c r="C3887" s="0" t="n">
        <v>21.95</v>
      </c>
    </row>
    <row r="3888" customFormat="false" ht="15" hidden="false" customHeight="false" outlineLevel="0" collapsed="false">
      <c r="A3888" s="0" t="s">
        <v>8113</v>
      </c>
      <c r="B3888" s="0" t="s">
        <v>8114</v>
      </c>
      <c r="C3888" s="0" t="n">
        <v>2.12</v>
      </c>
    </row>
    <row r="3889" customFormat="false" ht="15" hidden="false" customHeight="false" outlineLevel="0" collapsed="false">
      <c r="A3889" s="0" t="s">
        <v>8115</v>
      </c>
      <c r="B3889" s="0" t="s">
        <v>8116</v>
      </c>
      <c r="C3889" s="0" t="n">
        <v>1.69</v>
      </c>
    </row>
    <row r="3890" customFormat="false" ht="15" hidden="false" customHeight="false" outlineLevel="0" collapsed="false">
      <c r="A3890" s="0" t="s">
        <v>8117</v>
      </c>
      <c r="B3890" s="0" t="s">
        <v>8118</v>
      </c>
      <c r="C3890" s="0" t="n">
        <v>1.25</v>
      </c>
    </row>
    <row r="3891" customFormat="false" ht="15" hidden="false" customHeight="false" outlineLevel="0" collapsed="false">
      <c r="A3891" s="0" t="s">
        <v>8119</v>
      </c>
      <c r="B3891" s="0" t="s">
        <v>8120</v>
      </c>
      <c r="C3891" s="0" t="n">
        <v>1.69</v>
      </c>
    </row>
    <row r="3892" customFormat="false" ht="15" hidden="false" customHeight="false" outlineLevel="0" collapsed="false">
      <c r="A3892" s="0" t="s">
        <v>8121</v>
      </c>
      <c r="B3892" s="0" t="s">
        <v>8122</v>
      </c>
      <c r="C3892" s="0" t="n">
        <v>0.85</v>
      </c>
    </row>
    <row r="3893" customFormat="false" ht="15" hidden="false" customHeight="false" outlineLevel="0" collapsed="false">
      <c r="A3893" s="0" t="s">
        <v>8121</v>
      </c>
      <c r="B3893" s="0" t="s">
        <v>8123</v>
      </c>
      <c r="C3893" s="0" t="n">
        <v>0.85</v>
      </c>
    </row>
    <row r="3894" customFormat="false" ht="15" hidden="false" customHeight="false" outlineLevel="0" collapsed="false">
      <c r="A3894" s="0" t="s">
        <v>8121</v>
      </c>
      <c r="B3894" s="0" t="s">
        <v>8124</v>
      </c>
      <c r="C3894" s="0" t="n">
        <v>1.25</v>
      </c>
    </row>
    <row r="3895" customFormat="false" ht="15" hidden="false" customHeight="false" outlineLevel="0" collapsed="false">
      <c r="A3895" s="0" t="s">
        <v>8125</v>
      </c>
      <c r="B3895" s="0" t="s">
        <v>8126</v>
      </c>
      <c r="C3895" s="0" t="n">
        <v>9.95</v>
      </c>
    </row>
    <row r="3896" customFormat="false" ht="15" hidden="false" customHeight="false" outlineLevel="0" collapsed="false">
      <c r="A3896" s="0" t="s">
        <v>8127</v>
      </c>
      <c r="B3896" s="0" t="s">
        <v>8128</v>
      </c>
      <c r="C3896" s="0" t="n">
        <v>12.75</v>
      </c>
    </row>
    <row r="3897" customFormat="false" ht="15" hidden="false" customHeight="false" outlineLevel="0" collapsed="false">
      <c r="A3897" s="0" t="s">
        <v>8129</v>
      </c>
      <c r="B3897" s="0" t="s">
        <v>8130</v>
      </c>
      <c r="C3897" s="0" t="n">
        <v>6.35</v>
      </c>
    </row>
    <row r="3898" customFormat="false" ht="15" hidden="false" customHeight="false" outlineLevel="0" collapsed="false">
      <c r="A3898" s="0" t="s">
        <v>8131</v>
      </c>
      <c r="B3898" s="0" t="s">
        <v>8132</v>
      </c>
      <c r="C3898" s="0" t="n">
        <v>1.65</v>
      </c>
    </row>
    <row r="3899" customFormat="false" ht="15" hidden="false" customHeight="false" outlineLevel="0" collapsed="false">
      <c r="A3899" s="0" t="s">
        <v>8133</v>
      </c>
      <c r="B3899" s="0" t="s">
        <v>8134</v>
      </c>
      <c r="C3899" s="0" t="n">
        <v>1.65</v>
      </c>
    </row>
    <row r="3900" customFormat="false" ht="15" hidden="false" customHeight="false" outlineLevel="0" collapsed="false">
      <c r="A3900" s="0" t="s">
        <v>8135</v>
      </c>
      <c r="B3900" s="0" t="s">
        <v>8136</v>
      </c>
      <c r="C3900" s="0" t="n">
        <v>1.25</v>
      </c>
    </row>
    <row r="3901" customFormat="false" ht="15" hidden="false" customHeight="false" outlineLevel="0" collapsed="false">
      <c r="A3901" s="0" t="s">
        <v>8137</v>
      </c>
      <c r="B3901" s="0" t="s">
        <v>8138</v>
      </c>
      <c r="C3901" s="0" t="n">
        <v>4.65</v>
      </c>
    </row>
    <row r="3902" customFormat="false" ht="15" hidden="false" customHeight="false" outlineLevel="0" collapsed="false">
      <c r="A3902" s="0" t="s">
        <v>8139</v>
      </c>
      <c r="B3902" s="0" t="s">
        <v>8140</v>
      </c>
      <c r="C3902" s="0" t="n">
        <v>2.95</v>
      </c>
    </row>
    <row r="3903" customFormat="false" ht="15" hidden="false" customHeight="false" outlineLevel="0" collapsed="false">
      <c r="A3903" s="0" t="s">
        <v>8141</v>
      </c>
      <c r="B3903" s="0" t="s">
        <v>8142</v>
      </c>
      <c r="C3903" s="0" t="n">
        <v>1.45</v>
      </c>
    </row>
    <row r="3904" customFormat="false" ht="15" hidden="false" customHeight="false" outlineLevel="0" collapsed="false">
      <c r="A3904" s="0" t="s">
        <v>8143</v>
      </c>
      <c r="B3904" s="0" t="s">
        <v>8144</v>
      </c>
      <c r="C3904" s="0" t="n">
        <v>4.25</v>
      </c>
    </row>
    <row r="3905" customFormat="false" ht="15" hidden="false" customHeight="false" outlineLevel="0" collapsed="false">
      <c r="A3905" s="0" t="s">
        <v>8145</v>
      </c>
      <c r="B3905" s="0" t="s">
        <v>8146</v>
      </c>
      <c r="C3905" s="0" t="n">
        <v>6.75</v>
      </c>
    </row>
    <row r="3906" customFormat="false" ht="15" hidden="false" customHeight="false" outlineLevel="0" collapsed="false">
      <c r="A3906" s="0" t="s">
        <v>8147</v>
      </c>
      <c r="B3906" s="0" t="s">
        <v>8148</v>
      </c>
      <c r="C3906" s="0" t="n">
        <v>2.57</v>
      </c>
    </row>
    <row r="3907" customFormat="false" ht="15" hidden="false" customHeight="false" outlineLevel="0" collapsed="false">
      <c r="A3907" s="0" t="s">
        <v>8149</v>
      </c>
      <c r="B3907" s="0" t="s">
        <v>8150</v>
      </c>
      <c r="C3907" s="0" t="n">
        <v>1.25</v>
      </c>
    </row>
    <row r="3908" customFormat="false" ht="15" hidden="false" customHeight="false" outlineLevel="0" collapsed="false">
      <c r="A3908" s="0" t="s">
        <v>8151</v>
      </c>
      <c r="B3908" s="0" t="s">
        <v>8152</v>
      </c>
      <c r="C3908" s="0" t="n">
        <v>3.75</v>
      </c>
    </row>
    <row r="3909" customFormat="false" ht="15" hidden="false" customHeight="false" outlineLevel="0" collapsed="false">
      <c r="A3909" s="0" t="s">
        <v>8153</v>
      </c>
      <c r="B3909" s="0" t="s">
        <v>8154</v>
      </c>
      <c r="C3909" s="0" t="n">
        <v>0.42</v>
      </c>
    </row>
    <row r="3910" customFormat="false" ht="15" hidden="false" customHeight="false" outlineLevel="0" collapsed="false">
      <c r="A3910" s="0" t="s">
        <v>8155</v>
      </c>
      <c r="B3910" s="0" t="s">
        <v>8156</v>
      </c>
      <c r="C3910" s="0" t="n">
        <v>0.42</v>
      </c>
    </row>
    <row r="3911" customFormat="false" ht="15" hidden="false" customHeight="false" outlineLevel="0" collapsed="false">
      <c r="A3911" s="0" t="s">
        <v>8157</v>
      </c>
      <c r="B3911" s="0" t="s">
        <v>8158</v>
      </c>
      <c r="C3911" s="0" t="n">
        <v>2.95</v>
      </c>
    </row>
    <row r="3912" customFormat="false" ht="15" hidden="false" customHeight="false" outlineLevel="0" collapsed="false">
      <c r="A3912" s="0" t="s">
        <v>8159</v>
      </c>
      <c r="B3912" s="0" t="s">
        <v>8160</v>
      </c>
      <c r="C3912" s="0" t="n">
        <v>0.42</v>
      </c>
    </row>
    <row r="3913" customFormat="false" ht="15" hidden="false" customHeight="false" outlineLevel="0" collapsed="false">
      <c r="A3913" s="0" t="s">
        <v>8161</v>
      </c>
      <c r="B3913" s="0" t="s">
        <v>8162</v>
      </c>
      <c r="C3913" s="0" t="n">
        <v>2.1</v>
      </c>
    </row>
    <row r="3914" customFormat="false" ht="15" hidden="false" customHeight="false" outlineLevel="0" collapsed="false">
      <c r="A3914" s="0" t="s">
        <v>8163</v>
      </c>
      <c r="B3914" s="0" t="s">
        <v>8164</v>
      </c>
      <c r="C3914" s="0" t="n">
        <v>1.65</v>
      </c>
    </row>
    <row r="3915" customFormat="false" ht="15" hidden="false" customHeight="false" outlineLevel="0" collapsed="false">
      <c r="A3915" s="0" t="s">
        <v>8165</v>
      </c>
      <c r="B3915" s="0" t="s">
        <v>8166</v>
      </c>
      <c r="C3915" s="0" t="n">
        <v>2.96</v>
      </c>
    </row>
    <row r="3916" customFormat="false" ht="15" hidden="false" customHeight="false" outlineLevel="0" collapsed="false">
      <c r="A3916" s="0" t="s">
        <v>8167</v>
      </c>
      <c r="B3916" s="0" t="s">
        <v>8168</v>
      </c>
      <c r="C3916" s="0" t="n">
        <v>2.55</v>
      </c>
    </row>
    <row r="3917" customFormat="false" ht="15" hidden="false" customHeight="false" outlineLevel="0" collapsed="false">
      <c r="A3917" s="0" t="s">
        <v>8169</v>
      </c>
      <c r="B3917" s="0" t="s">
        <v>8170</v>
      </c>
      <c r="C3917" s="0" t="n">
        <v>0.85</v>
      </c>
    </row>
    <row r="3918" customFormat="false" ht="15" hidden="false" customHeight="false" outlineLevel="0" collapsed="false">
      <c r="A3918" s="0" t="s">
        <v>8171</v>
      </c>
      <c r="B3918" s="0" t="s">
        <v>8172</v>
      </c>
      <c r="C3918" s="0" t="n">
        <v>2.54</v>
      </c>
    </row>
    <row r="3919" customFormat="false" ht="15" hidden="false" customHeight="false" outlineLevel="0" collapsed="false">
      <c r="A3919" s="0" t="s">
        <v>8173</v>
      </c>
      <c r="B3919" s="0" t="s">
        <v>8174</v>
      </c>
      <c r="C3919" s="0" t="n">
        <v>8.95</v>
      </c>
    </row>
    <row r="3920" customFormat="false" ht="15" hidden="false" customHeight="false" outlineLevel="0" collapsed="false">
      <c r="A3920" s="0" t="s">
        <v>8175</v>
      </c>
      <c r="B3920" s="0" t="s">
        <v>8176</v>
      </c>
      <c r="C3920" s="0" t="n">
        <v>4.25</v>
      </c>
    </row>
    <row r="3921" customFormat="false" ht="15" hidden="false" customHeight="false" outlineLevel="0" collapsed="false">
      <c r="A3921" s="0" t="s">
        <v>8177</v>
      </c>
      <c r="B3921" s="0" t="s">
        <v>8178</v>
      </c>
      <c r="C3921" s="0" t="n">
        <v>2.95</v>
      </c>
    </row>
    <row r="3922" customFormat="false" ht="15" hidden="false" customHeight="false" outlineLevel="0" collapsed="false">
      <c r="A3922" s="0" t="s">
        <v>8179</v>
      </c>
      <c r="B3922" s="0" t="s">
        <v>8180</v>
      </c>
      <c r="C3922" s="0" t="n">
        <v>9.95</v>
      </c>
    </row>
    <row r="3923" customFormat="false" ht="15" hidden="false" customHeight="false" outlineLevel="0" collapsed="false">
      <c r="A3923" s="0" t="s">
        <v>8181</v>
      </c>
      <c r="B3923" s="0" t="s">
        <v>8182</v>
      </c>
      <c r="C3923" s="0" t="n">
        <v>4.25</v>
      </c>
    </row>
    <row r="3924" customFormat="false" ht="15" hidden="false" customHeight="false" outlineLevel="0" collapsed="false">
      <c r="A3924" s="0" t="s">
        <v>8183</v>
      </c>
      <c r="B3924" s="0" t="s">
        <v>8184</v>
      </c>
      <c r="C3924" s="0" t="n">
        <v>4.21</v>
      </c>
    </row>
    <row r="3925" customFormat="false" ht="15" hidden="false" customHeight="false" outlineLevel="0" collapsed="false">
      <c r="A3925" s="0" t="s">
        <v>8185</v>
      </c>
      <c r="B3925" s="0" t="s">
        <v>8186</v>
      </c>
      <c r="C3925" s="0" t="n">
        <v>5.45</v>
      </c>
    </row>
    <row r="3926" customFormat="false" ht="15" hidden="false" customHeight="false" outlineLevel="0" collapsed="false">
      <c r="A3926" s="0" t="s">
        <v>8187</v>
      </c>
      <c r="B3926" s="0" t="s">
        <v>412</v>
      </c>
      <c r="C3926" s="0" t="n">
        <v>2.95</v>
      </c>
    </row>
    <row r="3927" customFormat="false" ht="15" hidden="false" customHeight="false" outlineLevel="0" collapsed="false">
      <c r="A3927" s="0" t="s">
        <v>8188</v>
      </c>
      <c r="B3927" s="0" t="s">
        <v>646</v>
      </c>
      <c r="C3927" s="0" t="n">
        <v>1.65</v>
      </c>
    </row>
    <row r="3928" customFormat="false" ht="15" hidden="false" customHeight="false" outlineLevel="0" collapsed="false">
      <c r="A3928" s="0" t="s">
        <v>8189</v>
      </c>
      <c r="B3928" s="0" t="s">
        <v>8190</v>
      </c>
      <c r="C3928" s="0" t="n">
        <v>5.95</v>
      </c>
    </row>
    <row r="3929" customFormat="false" ht="15" hidden="false" customHeight="false" outlineLevel="0" collapsed="false">
      <c r="A3929" s="0" t="s">
        <v>8191</v>
      </c>
      <c r="B3929" s="0" t="s">
        <v>8192</v>
      </c>
      <c r="C3929" s="0" t="n">
        <v>2.1</v>
      </c>
    </row>
    <row r="3930" customFormat="false" ht="15" hidden="false" customHeight="false" outlineLevel="0" collapsed="false">
      <c r="A3930" s="0" t="s">
        <v>8193</v>
      </c>
      <c r="B3930" s="0" t="s">
        <v>8194</v>
      </c>
      <c r="C3930" s="0" t="n">
        <v>1.65</v>
      </c>
    </row>
    <row r="3931" customFormat="false" ht="15" hidden="false" customHeight="false" outlineLevel="0" collapsed="false">
      <c r="A3931" s="0" t="s">
        <v>8195</v>
      </c>
      <c r="B3931" s="0" t="s">
        <v>8196</v>
      </c>
      <c r="C3931" s="0" t="n">
        <v>2.1</v>
      </c>
    </row>
    <row r="3932" customFormat="false" ht="15" hidden="false" customHeight="false" outlineLevel="0" collapsed="false">
      <c r="A3932" s="0" t="s">
        <v>8197</v>
      </c>
      <c r="B3932" s="0" t="s">
        <v>8198</v>
      </c>
      <c r="C3932" s="0" t="n">
        <v>0.85</v>
      </c>
    </row>
    <row r="3933" customFormat="false" ht="15" hidden="false" customHeight="false" outlineLevel="0" collapsed="false">
      <c r="A3933" s="0" t="s">
        <v>8199</v>
      </c>
      <c r="B3933" s="0" t="s">
        <v>8200</v>
      </c>
      <c r="C3933" s="0" t="n">
        <v>2.95</v>
      </c>
    </row>
    <row r="3934" customFormat="false" ht="15" hidden="false" customHeight="false" outlineLevel="0" collapsed="false">
      <c r="A3934" s="0" t="s">
        <v>8201</v>
      </c>
      <c r="B3934" s="0" t="s">
        <v>8202</v>
      </c>
      <c r="C3934" s="0" t="n">
        <v>3.75</v>
      </c>
    </row>
    <row r="3935" customFormat="false" ht="15" hidden="false" customHeight="false" outlineLevel="0" collapsed="false">
      <c r="A3935" s="0" t="s">
        <v>8203</v>
      </c>
      <c r="B3935" s="0" t="s">
        <v>141</v>
      </c>
      <c r="C3935" s="0" t="n">
        <v>3.75</v>
      </c>
    </row>
    <row r="3936" customFormat="false" ht="15" hidden="false" customHeight="false" outlineLevel="0" collapsed="false">
      <c r="A3936" s="0" t="s">
        <v>8204</v>
      </c>
      <c r="B3936" s="0" t="s">
        <v>8205</v>
      </c>
      <c r="C3936" s="0" t="n">
        <v>4.25</v>
      </c>
    </row>
    <row r="3937" customFormat="false" ht="15" hidden="false" customHeight="false" outlineLevel="0" collapsed="false">
      <c r="A3937" s="0" t="s">
        <v>8206</v>
      </c>
      <c r="B3937" s="0" t="s">
        <v>8207</v>
      </c>
      <c r="C3937" s="0" t="n">
        <v>2.95</v>
      </c>
    </row>
    <row r="3938" customFormat="false" ht="15" hidden="false" customHeight="false" outlineLevel="0" collapsed="false">
      <c r="A3938" s="0" t="s">
        <v>8208</v>
      </c>
      <c r="B3938" s="0" t="s">
        <v>8209</v>
      </c>
      <c r="C3938" s="0" t="n">
        <v>1.25</v>
      </c>
    </row>
    <row r="3939" customFormat="false" ht="15" hidden="false" customHeight="false" outlineLevel="0" collapsed="false">
      <c r="A3939" s="0" t="s">
        <v>8210</v>
      </c>
      <c r="B3939" s="0" t="s">
        <v>8211</v>
      </c>
      <c r="C3939" s="0" t="n">
        <v>10.75</v>
      </c>
    </row>
    <row r="3940" customFormat="false" ht="15" hidden="false" customHeight="false" outlineLevel="0" collapsed="false">
      <c r="A3940" s="0" t="s">
        <v>8212</v>
      </c>
      <c r="B3940" s="0" t="s">
        <v>8213</v>
      </c>
      <c r="C3940" s="0" t="n">
        <v>1.95</v>
      </c>
    </row>
    <row r="3941" customFormat="false" ht="15" hidden="false" customHeight="false" outlineLevel="0" collapsed="false">
      <c r="A3941" s="0" t="s">
        <v>8214</v>
      </c>
      <c r="B3941" s="0" t="s">
        <v>8215</v>
      </c>
      <c r="C3941" s="0" t="n">
        <v>2.95</v>
      </c>
    </row>
    <row r="3942" customFormat="false" ht="15" hidden="false" customHeight="false" outlineLevel="0" collapsed="false">
      <c r="A3942" s="0" t="s">
        <v>8216</v>
      </c>
      <c r="B3942" s="0" t="s">
        <v>8217</v>
      </c>
      <c r="C3942" s="0" t="n">
        <v>5.95</v>
      </c>
    </row>
    <row r="3943" customFormat="false" ht="15" hidden="false" customHeight="false" outlineLevel="0" collapsed="false">
      <c r="A3943" s="0" t="s">
        <v>8218</v>
      </c>
      <c r="B3943" s="0" t="s">
        <v>8219</v>
      </c>
      <c r="C3943" s="0" t="n">
        <v>7.64</v>
      </c>
    </row>
    <row r="3944" customFormat="false" ht="15" hidden="false" customHeight="false" outlineLevel="0" collapsed="false">
      <c r="A3944" s="0" t="s">
        <v>8220</v>
      </c>
      <c r="B3944" s="0" t="s">
        <v>8221</v>
      </c>
      <c r="C3944" s="0" t="n">
        <v>7.64</v>
      </c>
    </row>
    <row r="3945" customFormat="false" ht="15" hidden="false" customHeight="false" outlineLevel="0" collapsed="false">
      <c r="A3945" s="0" t="s">
        <v>8222</v>
      </c>
      <c r="B3945" s="0" t="s">
        <v>8223</v>
      </c>
      <c r="C3945" s="0" t="n">
        <v>2.54</v>
      </c>
    </row>
    <row r="3946" customFormat="false" ht="15" hidden="false" customHeight="false" outlineLevel="0" collapsed="false">
      <c r="A3946" s="0" t="s">
        <v>8224</v>
      </c>
      <c r="B3946" s="0" t="s">
        <v>8225</v>
      </c>
      <c r="C3946" s="0" t="n">
        <v>2.55</v>
      </c>
    </row>
    <row r="3947" customFormat="false" ht="15" hidden="false" customHeight="false" outlineLevel="0" collapsed="false">
      <c r="A3947" s="0" t="s">
        <v>8226</v>
      </c>
      <c r="B3947" s="0" t="s">
        <v>8227</v>
      </c>
      <c r="C3947" s="0" t="n">
        <v>0.21</v>
      </c>
    </row>
    <row r="3948" customFormat="false" ht="15" hidden="false" customHeight="false" outlineLevel="0" collapsed="false">
      <c r="A3948" s="0" t="s">
        <v>8228</v>
      </c>
      <c r="B3948" s="0" t="s">
        <v>8229</v>
      </c>
      <c r="C3948" s="0" t="n">
        <v>4.95</v>
      </c>
    </row>
    <row r="3949" customFormat="false" ht="15" hidden="false" customHeight="false" outlineLevel="0" collapsed="false">
      <c r="A3949" s="0" t="s">
        <v>8230</v>
      </c>
      <c r="B3949" s="0" t="s">
        <v>8231</v>
      </c>
      <c r="C3949" s="0" t="n">
        <v>1.25</v>
      </c>
    </row>
    <row r="3950" customFormat="false" ht="15" hidden="false" customHeight="false" outlineLevel="0" collapsed="false">
      <c r="A3950" s="0" t="s">
        <v>8232</v>
      </c>
      <c r="B3950" s="0" t="s">
        <v>8233</v>
      </c>
      <c r="C3950" s="0" t="n">
        <v>9.95</v>
      </c>
    </row>
    <row r="3951" customFormat="false" ht="15" hidden="false" customHeight="false" outlineLevel="0" collapsed="false">
      <c r="A3951" s="0" t="s">
        <v>8234</v>
      </c>
      <c r="B3951" s="0" t="s">
        <v>497</v>
      </c>
      <c r="C3951" s="0" t="n">
        <v>3.75</v>
      </c>
    </row>
    <row r="3952" customFormat="false" ht="15" hidden="false" customHeight="false" outlineLevel="0" collapsed="false">
      <c r="A3952" s="0" t="s">
        <v>8235</v>
      </c>
      <c r="B3952" s="0" t="s">
        <v>8236</v>
      </c>
      <c r="C3952" s="0" t="n">
        <v>0.38</v>
      </c>
    </row>
    <row r="3953" customFormat="false" ht="15" hidden="false" customHeight="false" outlineLevel="0" collapsed="false">
      <c r="A3953" s="0" t="s">
        <v>8237</v>
      </c>
      <c r="B3953" s="0" t="s">
        <v>752</v>
      </c>
      <c r="C3953" s="0" t="n">
        <v>5.95</v>
      </c>
    </row>
    <row r="3954" customFormat="false" ht="15" hidden="false" customHeight="false" outlineLevel="0" collapsed="false">
      <c r="A3954" s="0" t="s">
        <v>8238</v>
      </c>
      <c r="B3954" s="0" t="s">
        <v>8239</v>
      </c>
      <c r="C3954" s="0" t="n">
        <v>1.25</v>
      </c>
    </row>
    <row r="3955" customFormat="false" ht="15" hidden="false" customHeight="false" outlineLevel="0" collapsed="false">
      <c r="A3955" s="0" t="s">
        <v>8240</v>
      </c>
      <c r="B3955" s="0" t="s">
        <v>663</v>
      </c>
      <c r="C3955" s="0" t="n">
        <v>1.25</v>
      </c>
    </row>
    <row r="3956" customFormat="false" ht="15" hidden="false" customHeight="false" outlineLevel="0" collapsed="false">
      <c r="A3956" s="0" t="s">
        <v>8241</v>
      </c>
      <c r="B3956" s="0" t="s">
        <v>591</v>
      </c>
      <c r="C3956" s="0" t="n">
        <v>5.06</v>
      </c>
    </row>
    <row r="3957" customFormat="false" ht="15" hidden="false" customHeight="false" outlineLevel="0" collapsed="false">
      <c r="A3957" s="0" t="s">
        <v>8242</v>
      </c>
      <c r="B3957" s="0" t="s">
        <v>8243</v>
      </c>
      <c r="C3957" s="0" t="n">
        <v>6.95</v>
      </c>
    </row>
    <row r="3958" customFormat="false" ht="15" hidden="false" customHeight="false" outlineLevel="0" collapsed="false">
      <c r="A3958" s="0" t="s">
        <v>8244</v>
      </c>
      <c r="B3958" s="0" t="s">
        <v>8245</v>
      </c>
      <c r="C3958" s="0" t="n">
        <v>3.75</v>
      </c>
    </row>
    <row r="3959" customFormat="false" ht="15" hidden="false" customHeight="false" outlineLevel="0" collapsed="false">
      <c r="A3959" s="0" t="s">
        <v>8246</v>
      </c>
      <c r="B3959" s="0" t="s">
        <v>8247</v>
      </c>
      <c r="C3959" s="0" t="n">
        <v>2.95</v>
      </c>
    </row>
    <row r="3960" customFormat="false" ht="15" hidden="false" customHeight="false" outlineLevel="0" collapsed="false">
      <c r="A3960" s="0" t="s">
        <v>8248</v>
      </c>
      <c r="B3960" s="0" t="s">
        <v>8249</v>
      </c>
      <c r="C3960" s="0" t="n">
        <v>12.75</v>
      </c>
    </row>
    <row r="3961" customFormat="false" ht="15" hidden="false" customHeight="false" outlineLevel="0" collapsed="false">
      <c r="A3961" s="0" t="s">
        <v>8250</v>
      </c>
      <c r="B3961" s="0" t="s">
        <v>8251</v>
      </c>
      <c r="C3961" s="0" t="n">
        <v>2.55</v>
      </c>
    </row>
    <row r="3962" customFormat="false" ht="15" hidden="false" customHeight="false" outlineLevel="0" collapsed="false">
      <c r="A3962" s="0" t="s">
        <v>8252</v>
      </c>
      <c r="B3962" s="0" t="s">
        <v>8253</v>
      </c>
      <c r="C3962" s="0" t="n">
        <v>12.72</v>
      </c>
    </row>
    <row r="3963" customFormat="false" ht="15" hidden="false" customHeight="false" outlineLevel="0" collapsed="false">
      <c r="A3963" s="0" t="s">
        <v>8254</v>
      </c>
      <c r="B3963" s="0" t="s">
        <v>8255</v>
      </c>
      <c r="C3963" s="0" t="n">
        <v>7.95</v>
      </c>
    </row>
    <row r="3964" customFormat="false" ht="15" hidden="false" customHeight="false" outlineLevel="0" collapsed="false">
      <c r="A3964" s="0" t="s">
        <v>8256</v>
      </c>
      <c r="B3964" s="0" t="s">
        <v>8257</v>
      </c>
      <c r="C3964" s="0" t="n">
        <v>2.51</v>
      </c>
    </row>
    <row r="3965" customFormat="false" ht="15" hidden="false" customHeight="false" outlineLevel="0" collapsed="false">
      <c r="A3965" s="0" t="s">
        <v>8258</v>
      </c>
      <c r="B3965" s="0" t="s">
        <v>8259</v>
      </c>
      <c r="C3965" s="0" t="n">
        <v>8.5</v>
      </c>
    </row>
    <row r="3966" customFormat="false" ht="15" hidden="false" customHeight="false" outlineLevel="0" collapsed="false">
      <c r="A3966" s="0" t="s">
        <v>8260</v>
      </c>
      <c r="B3966" s="0" t="s">
        <v>8261</v>
      </c>
      <c r="C3966" s="0" t="n">
        <v>7.37</v>
      </c>
    </row>
    <row r="3967" customFormat="false" ht="15" hidden="false" customHeight="false" outlineLevel="0" collapsed="false">
      <c r="A3967" s="0" t="s">
        <v>8262</v>
      </c>
      <c r="B3967" s="0" t="s">
        <v>8263</v>
      </c>
      <c r="C3967" s="0" t="n">
        <v>4.24</v>
      </c>
    </row>
    <row r="3968" customFormat="false" ht="15" hidden="false" customHeight="false" outlineLevel="0" collapsed="false">
      <c r="A3968" s="0" t="s">
        <v>8264</v>
      </c>
      <c r="B3968" s="0" t="s">
        <v>8265</v>
      </c>
      <c r="C3968" s="0" t="n">
        <v>5.95</v>
      </c>
    </row>
    <row r="3969" customFormat="false" ht="15" hidden="false" customHeight="false" outlineLevel="0" collapsed="false">
      <c r="A3969" s="0" t="s">
        <v>8266</v>
      </c>
      <c r="B3969" s="0" t="s">
        <v>8267</v>
      </c>
      <c r="C3969" s="0" t="n">
        <v>1.66</v>
      </c>
    </row>
    <row r="3970" customFormat="false" ht="15" hidden="false" customHeight="false" outlineLevel="0" collapsed="false">
      <c r="A3970" s="0" t="s">
        <v>8268</v>
      </c>
      <c r="B3970" s="0" t="s">
        <v>8269</v>
      </c>
      <c r="C3970" s="0" t="n">
        <v>1.66</v>
      </c>
    </row>
    <row r="3971" customFormat="false" ht="15" hidden="false" customHeight="false" outlineLevel="0" collapsed="false">
      <c r="A3971" s="0" t="s">
        <v>8270</v>
      </c>
      <c r="B3971" s="0" t="s">
        <v>8271</v>
      </c>
      <c r="C3971" s="0" t="n">
        <v>1.66</v>
      </c>
    </row>
    <row r="3972" customFormat="false" ht="15" hidden="false" customHeight="false" outlineLevel="0" collapsed="false">
      <c r="A3972" s="0" t="s">
        <v>8272</v>
      </c>
      <c r="B3972" s="0" t="s">
        <v>8273</v>
      </c>
      <c r="C3972" s="0" t="n">
        <v>4.95</v>
      </c>
    </row>
    <row r="3973" customFormat="false" ht="15" hidden="false" customHeight="false" outlineLevel="0" collapsed="false">
      <c r="A3973" s="0" t="s">
        <v>8274</v>
      </c>
      <c r="B3973" s="0" t="s">
        <v>706</v>
      </c>
      <c r="C3973" s="0" t="n">
        <v>9.95</v>
      </c>
    </row>
    <row r="3974" customFormat="false" ht="15" hidden="false" customHeight="false" outlineLevel="0" collapsed="false">
      <c r="A3974" s="0" t="s">
        <v>8275</v>
      </c>
      <c r="B3974" s="0" t="s">
        <v>8276</v>
      </c>
      <c r="C3974" s="0" t="n">
        <v>1.25</v>
      </c>
    </row>
    <row r="3975" customFormat="false" ht="15" hidden="false" customHeight="false" outlineLevel="0" collapsed="false">
      <c r="A3975" s="0" t="s">
        <v>8277</v>
      </c>
      <c r="B3975" s="0" t="s">
        <v>8278</v>
      </c>
      <c r="C3975" s="0" t="n">
        <v>0.55</v>
      </c>
    </row>
    <row r="3976" customFormat="false" ht="15" hidden="false" customHeight="false" outlineLevel="0" collapsed="false">
      <c r="A3976" s="0" t="s">
        <v>8279</v>
      </c>
      <c r="B3976" s="0" t="s">
        <v>8280</v>
      </c>
      <c r="C3976" s="0" t="n">
        <v>1.25</v>
      </c>
    </row>
    <row r="3977" customFormat="false" ht="15" hidden="false" customHeight="false" outlineLevel="0" collapsed="false">
      <c r="A3977" s="0" t="s">
        <v>8281</v>
      </c>
      <c r="B3977" s="0" t="s">
        <v>8282</v>
      </c>
      <c r="C3977" s="0" t="n">
        <v>0.85</v>
      </c>
    </row>
    <row r="3978" customFormat="false" ht="15" hidden="false" customHeight="false" outlineLevel="0" collapsed="false">
      <c r="A3978" s="0" t="s">
        <v>8283</v>
      </c>
      <c r="B3978" s="0" t="s">
        <v>8284</v>
      </c>
      <c r="C3978" s="0" t="n">
        <v>5.51</v>
      </c>
    </row>
    <row r="3979" customFormat="false" ht="15" hidden="false" customHeight="false" outlineLevel="0" collapsed="false">
      <c r="A3979" s="0" t="s">
        <v>8285</v>
      </c>
      <c r="B3979" s="0" t="s">
        <v>8286</v>
      </c>
      <c r="C3979" s="0" t="n">
        <v>2.1</v>
      </c>
    </row>
    <row r="3980" customFormat="false" ht="15" hidden="false" customHeight="false" outlineLevel="0" collapsed="false">
      <c r="A3980" s="0" t="s">
        <v>8287</v>
      </c>
      <c r="B3980" s="0" t="s">
        <v>8288</v>
      </c>
      <c r="C3980" s="0" t="n">
        <v>1.95</v>
      </c>
    </row>
    <row r="3981" customFormat="false" ht="15" hidden="false" customHeight="false" outlineLevel="0" collapsed="false">
      <c r="A3981" s="0" t="s">
        <v>8289</v>
      </c>
      <c r="B3981" s="0" t="s">
        <v>8290</v>
      </c>
      <c r="C3981" s="0" t="n">
        <v>1.45</v>
      </c>
    </row>
    <row r="3982" customFormat="false" ht="15" hidden="false" customHeight="false" outlineLevel="0" collapsed="false">
      <c r="A3982" s="0" t="s">
        <v>8291</v>
      </c>
      <c r="B3982" s="0" t="s">
        <v>8292</v>
      </c>
      <c r="C3982" s="0" t="n">
        <v>6.75</v>
      </c>
    </row>
    <row r="3983" customFormat="false" ht="15" hidden="false" customHeight="false" outlineLevel="0" collapsed="false">
      <c r="A3983" s="0" t="s">
        <v>8293</v>
      </c>
      <c r="B3983" s="0" t="s">
        <v>8294</v>
      </c>
      <c r="C3983" s="0" t="n">
        <v>0.29</v>
      </c>
    </row>
    <row r="3984" customFormat="false" ht="15" hidden="false" customHeight="false" outlineLevel="0" collapsed="false">
      <c r="A3984" s="0" t="s">
        <v>8295</v>
      </c>
      <c r="B3984" s="0" t="s">
        <v>8296</v>
      </c>
      <c r="C3984" s="0" t="n">
        <v>0.29</v>
      </c>
    </row>
    <row r="3985" customFormat="false" ht="15" hidden="false" customHeight="false" outlineLevel="0" collapsed="false">
      <c r="A3985" s="0" t="s">
        <v>8297</v>
      </c>
      <c r="B3985" s="0" t="s">
        <v>8298</v>
      </c>
      <c r="C3985" s="0" t="n">
        <v>1.25</v>
      </c>
    </row>
    <row r="3986" customFormat="false" ht="15" hidden="false" customHeight="false" outlineLevel="0" collapsed="false">
      <c r="A3986" s="0" t="s">
        <v>8299</v>
      </c>
      <c r="B3986" s="0" t="s">
        <v>8300</v>
      </c>
      <c r="C3986" s="0" t="n">
        <v>1.65</v>
      </c>
    </row>
    <row r="3987" customFormat="false" ht="15" hidden="false" customHeight="false" outlineLevel="0" collapsed="false">
      <c r="A3987" s="0" t="s">
        <v>8301</v>
      </c>
      <c r="B3987" s="0" t="s">
        <v>8302</v>
      </c>
      <c r="C3987" s="0" t="n">
        <v>0.85</v>
      </c>
    </row>
    <row r="3988" customFormat="false" ht="15" hidden="false" customHeight="false" outlineLevel="0" collapsed="false">
      <c r="A3988" s="0" t="s">
        <v>8303</v>
      </c>
      <c r="B3988" s="0" t="s">
        <v>8304</v>
      </c>
      <c r="C3988" s="0" t="n">
        <v>5.95</v>
      </c>
    </row>
    <row r="3989" customFormat="false" ht="15" hidden="false" customHeight="false" outlineLevel="0" collapsed="false">
      <c r="A3989" s="0" t="s">
        <v>8305</v>
      </c>
      <c r="B3989" s="0" t="s">
        <v>8306</v>
      </c>
      <c r="C3989" s="0" t="n">
        <v>29.95</v>
      </c>
    </row>
    <row r="3990" customFormat="false" ht="15" hidden="false" customHeight="false" outlineLevel="0" collapsed="false">
      <c r="A3990" s="0" t="s">
        <v>8307</v>
      </c>
      <c r="B3990" s="0" t="s">
        <v>8308</v>
      </c>
      <c r="C3990" s="0" t="n">
        <v>6.45</v>
      </c>
    </row>
    <row r="3991" customFormat="false" ht="15" hidden="false" customHeight="false" outlineLevel="0" collapsed="false">
      <c r="A3991" s="0" t="s">
        <v>8309</v>
      </c>
      <c r="B3991" s="0" t="s">
        <v>8310</v>
      </c>
      <c r="C3991" s="0" t="n">
        <v>1.25</v>
      </c>
    </row>
    <row r="3992" customFormat="false" ht="15" hidden="false" customHeight="false" outlineLevel="0" collapsed="false">
      <c r="A3992" s="0" t="s">
        <v>8311</v>
      </c>
      <c r="B3992" s="0" t="s">
        <v>830</v>
      </c>
      <c r="C3992" s="0" t="n">
        <v>7.95</v>
      </c>
    </row>
    <row r="3993" customFormat="false" ht="15" hidden="false" customHeight="false" outlineLevel="0" collapsed="false">
      <c r="A3993" s="0" t="s">
        <v>8312</v>
      </c>
      <c r="B3993" s="0" t="s">
        <v>212</v>
      </c>
      <c r="C3993" s="0" t="n">
        <v>1.65</v>
      </c>
    </row>
    <row r="3994" customFormat="false" ht="15" hidden="false" customHeight="false" outlineLevel="0" collapsed="false">
      <c r="A3994" s="0" t="s">
        <v>8313</v>
      </c>
      <c r="B3994" s="0" t="s">
        <v>8314</v>
      </c>
      <c r="C3994" s="0" t="n">
        <v>1.65</v>
      </c>
    </row>
    <row r="3995" customFormat="false" ht="15" hidden="false" customHeight="false" outlineLevel="0" collapsed="false">
      <c r="A3995" s="0" t="s">
        <v>8315</v>
      </c>
      <c r="B3995" s="0" t="s">
        <v>8316</v>
      </c>
      <c r="C3995" s="0" t="n">
        <v>1.65</v>
      </c>
    </row>
    <row r="3996" customFormat="false" ht="15" hidden="false" customHeight="false" outlineLevel="0" collapsed="false">
      <c r="A3996" s="0" t="s">
        <v>8317</v>
      </c>
      <c r="B3996" s="0" t="s">
        <v>213</v>
      </c>
      <c r="C3996" s="0" t="n">
        <v>1.65</v>
      </c>
    </row>
    <row r="3997" customFormat="false" ht="15" hidden="false" customHeight="false" outlineLevel="0" collapsed="false">
      <c r="A3997" s="0" t="s">
        <v>8318</v>
      </c>
      <c r="B3997" s="0" t="s">
        <v>8319</v>
      </c>
      <c r="C3997" s="0" t="n">
        <v>0.85</v>
      </c>
    </row>
    <row r="3998" customFormat="false" ht="15" hidden="false" customHeight="false" outlineLevel="0" collapsed="false">
      <c r="A3998" s="0" t="s">
        <v>8320</v>
      </c>
      <c r="B3998" s="0" t="s">
        <v>8321</v>
      </c>
      <c r="C3998" s="0" t="n">
        <v>0.85</v>
      </c>
    </row>
    <row r="3999" customFormat="false" ht="15" hidden="false" customHeight="false" outlineLevel="0" collapsed="false">
      <c r="A3999" s="0" t="s">
        <v>8322</v>
      </c>
      <c r="B3999" s="0" t="s">
        <v>8323</v>
      </c>
      <c r="C3999" s="0" t="n">
        <v>16.95</v>
      </c>
    </row>
    <row r="4000" customFormat="false" ht="15" hidden="false" customHeight="false" outlineLevel="0" collapsed="false">
      <c r="A4000" s="0" t="s">
        <v>8324</v>
      </c>
      <c r="B4000" s="0" t="s">
        <v>8325</v>
      </c>
      <c r="C4000" s="0" t="n">
        <v>16.95</v>
      </c>
    </row>
    <row r="4001" customFormat="false" ht="15" hidden="false" customHeight="false" outlineLevel="0" collapsed="false">
      <c r="A4001" s="0" t="s">
        <v>8326</v>
      </c>
      <c r="B4001" s="0" t="s">
        <v>8327</v>
      </c>
      <c r="C4001" s="0" t="n">
        <v>8.95</v>
      </c>
    </row>
    <row r="4002" customFormat="false" ht="15" hidden="false" customHeight="false" outlineLevel="0" collapsed="false">
      <c r="A4002" s="0" t="s">
        <v>8328</v>
      </c>
      <c r="B4002" s="0" t="s">
        <v>580</v>
      </c>
      <c r="C4002" s="0" t="n">
        <v>1.25</v>
      </c>
    </row>
    <row r="4003" customFormat="false" ht="15" hidden="false" customHeight="false" outlineLevel="0" collapsed="false">
      <c r="A4003" s="0" t="s">
        <v>8329</v>
      </c>
      <c r="B4003" s="0" t="s">
        <v>8330</v>
      </c>
      <c r="C4003" s="0" t="n">
        <v>0.42</v>
      </c>
    </row>
    <row r="4004" customFormat="false" ht="15" hidden="false" customHeight="false" outlineLevel="0" collapsed="false">
      <c r="A4004" s="0" t="s">
        <v>8331</v>
      </c>
      <c r="B4004" s="0" t="s">
        <v>613</v>
      </c>
      <c r="C4004" s="0" t="n">
        <v>12.75</v>
      </c>
    </row>
    <row r="4005" customFormat="false" ht="15" hidden="false" customHeight="false" outlineLevel="0" collapsed="false">
      <c r="A4005" s="0" t="s">
        <v>8332</v>
      </c>
      <c r="B4005" s="0" t="s">
        <v>8333</v>
      </c>
      <c r="C4005" s="0" t="n">
        <v>2.95</v>
      </c>
    </row>
    <row r="4006" customFormat="false" ht="15" hidden="false" customHeight="false" outlineLevel="0" collapsed="false">
      <c r="A4006" s="0" t="s">
        <v>8334</v>
      </c>
      <c r="B4006" s="0" t="s">
        <v>174</v>
      </c>
      <c r="C4006" s="0" t="n">
        <v>2.95</v>
      </c>
    </row>
    <row r="4007" customFormat="false" ht="15" hidden="false" customHeight="false" outlineLevel="0" collapsed="false">
      <c r="A4007" s="0" t="s">
        <v>8335</v>
      </c>
      <c r="B4007" s="0" t="s">
        <v>346</v>
      </c>
      <c r="C4007" s="0" t="n">
        <v>0.85</v>
      </c>
    </row>
    <row r="4008" customFormat="false" ht="15" hidden="false" customHeight="false" outlineLevel="0" collapsed="false">
      <c r="A4008" s="0" t="s">
        <v>8336</v>
      </c>
      <c r="B4008" s="0" t="s">
        <v>8337</v>
      </c>
      <c r="C4008" s="0" t="n">
        <v>4.25</v>
      </c>
    </row>
    <row r="4009" customFormat="false" ht="15" hidden="false" customHeight="false" outlineLevel="0" collapsed="false">
      <c r="A4009" s="0" t="s">
        <v>8338</v>
      </c>
      <c r="B4009" s="0" t="s">
        <v>8339</v>
      </c>
      <c r="C4009" s="0" t="n">
        <v>2.55</v>
      </c>
    </row>
    <row r="4010" customFormat="false" ht="15" hidden="false" customHeight="false" outlineLevel="0" collapsed="false">
      <c r="A4010" s="0" t="s">
        <v>8340</v>
      </c>
      <c r="B4010" s="0" t="s">
        <v>8341</v>
      </c>
      <c r="C4010" s="0" t="n">
        <v>5.95</v>
      </c>
    </row>
    <row r="4011" customFormat="false" ht="15" hidden="false" customHeight="false" outlineLevel="0" collapsed="false">
      <c r="A4011" s="0" t="s">
        <v>8342</v>
      </c>
      <c r="B4011" s="0" t="s">
        <v>612</v>
      </c>
      <c r="C4011" s="0" t="n">
        <v>8.5</v>
      </c>
    </row>
    <row r="4012" customFormat="false" ht="15" hidden="false" customHeight="false" outlineLevel="0" collapsed="false">
      <c r="A4012" s="0" t="s">
        <v>8343</v>
      </c>
      <c r="B4012" s="0" t="s">
        <v>267</v>
      </c>
      <c r="C4012" s="0" t="n">
        <v>1.65</v>
      </c>
    </row>
    <row r="4013" customFormat="false" ht="15" hidden="false" customHeight="false" outlineLevel="0" collapsed="false">
      <c r="A4013" s="0" t="s">
        <v>8344</v>
      </c>
      <c r="B4013" s="0" t="s">
        <v>8345</v>
      </c>
      <c r="C4013" s="0" t="n">
        <v>15.95</v>
      </c>
    </row>
    <row r="4014" customFormat="false" ht="15" hidden="false" customHeight="false" outlineLevel="0" collapsed="false">
      <c r="A4014" s="0" t="s">
        <v>8346</v>
      </c>
      <c r="B4014" s="0" t="s">
        <v>347</v>
      </c>
      <c r="C4014" s="0" t="n">
        <v>0.85</v>
      </c>
    </row>
    <row r="4015" customFormat="false" ht="15" hidden="false" customHeight="false" outlineLevel="0" collapsed="false">
      <c r="A4015" s="0" t="s">
        <v>8347</v>
      </c>
      <c r="B4015" s="0" t="s">
        <v>8348</v>
      </c>
      <c r="C4015" s="0" t="n">
        <v>0.85</v>
      </c>
    </row>
    <row r="4016" customFormat="false" ht="15" hidden="false" customHeight="false" outlineLevel="0" collapsed="false">
      <c r="A4016" s="0" t="s">
        <v>8349</v>
      </c>
      <c r="B4016" s="0" t="s">
        <v>8350</v>
      </c>
      <c r="C4016" s="0" t="n">
        <v>5.95</v>
      </c>
    </row>
    <row r="4017" customFormat="false" ht="15" hidden="false" customHeight="false" outlineLevel="0" collapsed="false">
      <c r="A4017" s="0" t="s">
        <v>8351</v>
      </c>
      <c r="B4017" s="0" t="s">
        <v>8352</v>
      </c>
      <c r="C4017" s="0" t="n">
        <v>1.65</v>
      </c>
    </row>
    <row r="4018" customFormat="false" ht="15" hidden="false" customHeight="false" outlineLevel="0" collapsed="false">
      <c r="A4018" s="0" t="s">
        <v>8353</v>
      </c>
      <c r="B4018" s="0" t="s">
        <v>361</v>
      </c>
      <c r="C4018" s="0" t="n">
        <v>0.85</v>
      </c>
    </row>
    <row r="4019" customFormat="false" ht="15" hidden="false" customHeight="false" outlineLevel="0" collapsed="false">
      <c r="A4019" s="0" t="s">
        <v>8354</v>
      </c>
      <c r="B4019" s="0" t="s">
        <v>8355</v>
      </c>
      <c r="C4019" s="0" t="n">
        <v>0.42</v>
      </c>
    </row>
    <row r="4020" customFormat="false" ht="15" hidden="false" customHeight="false" outlineLevel="0" collapsed="false">
      <c r="A4020" s="0" t="s">
        <v>8356</v>
      </c>
      <c r="B4020" s="0" t="s">
        <v>8357</v>
      </c>
      <c r="C4020" s="0" t="n">
        <v>2.25</v>
      </c>
    </row>
    <row r="4021" customFormat="false" ht="15" hidden="false" customHeight="false" outlineLevel="0" collapsed="false">
      <c r="A4021" s="0" t="s">
        <v>8358</v>
      </c>
      <c r="B4021" s="0" t="s">
        <v>8359</v>
      </c>
      <c r="C4021" s="0" t="n">
        <v>2.95</v>
      </c>
    </row>
    <row r="4022" customFormat="false" ht="15" hidden="false" customHeight="false" outlineLevel="0" collapsed="false">
      <c r="A4022" s="0" t="s">
        <v>8360</v>
      </c>
      <c r="B4022" s="0" t="s">
        <v>885</v>
      </c>
      <c r="C4022" s="0" t="n">
        <v>1.65</v>
      </c>
    </row>
    <row r="4023" customFormat="false" ht="15" hidden="false" customHeight="false" outlineLevel="0" collapsed="false">
      <c r="A4023" s="0" t="s">
        <v>8361</v>
      </c>
      <c r="B4023" s="0" t="s">
        <v>8362</v>
      </c>
      <c r="C4023" s="0" t="n">
        <v>0.85</v>
      </c>
    </row>
    <row r="4024" customFormat="false" ht="15" hidden="false" customHeight="false" outlineLevel="0" collapsed="false">
      <c r="A4024" s="0" t="s">
        <v>8363</v>
      </c>
      <c r="B4024" s="0" t="s">
        <v>8364</v>
      </c>
      <c r="C4024" s="0" t="n">
        <v>2.95</v>
      </c>
    </row>
    <row r="4025" customFormat="false" ht="15" hidden="false" customHeight="false" outlineLevel="0" collapsed="false">
      <c r="A4025" s="0" t="s">
        <v>8365</v>
      </c>
      <c r="B4025" s="0" t="s">
        <v>8366</v>
      </c>
      <c r="C4025" s="0" t="n">
        <v>2.1</v>
      </c>
    </row>
    <row r="4026" customFormat="false" ht="15" hidden="false" customHeight="false" outlineLevel="0" collapsed="false">
      <c r="A4026" s="0" t="s">
        <v>8367</v>
      </c>
      <c r="B4026" s="0" t="s">
        <v>8368</v>
      </c>
      <c r="C4026" s="0" t="n">
        <v>0.85</v>
      </c>
    </row>
    <row r="4027" customFormat="false" ht="15" hidden="false" customHeight="false" outlineLevel="0" collapsed="false">
      <c r="A4027" s="0" t="s">
        <v>8369</v>
      </c>
      <c r="B4027" s="0" t="s">
        <v>8370</v>
      </c>
      <c r="C4027" s="0" t="n">
        <v>2.95</v>
      </c>
    </row>
    <row r="4028" customFormat="false" ht="15" hidden="false" customHeight="false" outlineLevel="0" collapsed="false">
      <c r="A4028" s="0" t="s">
        <v>8371</v>
      </c>
      <c r="B4028" s="0" t="s">
        <v>680</v>
      </c>
      <c r="C4028" s="0" t="n">
        <v>0.21</v>
      </c>
    </row>
    <row r="4029" customFormat="false" ht="15" hidden="false" customHeight="false" outlineLevel="0" collapsed="false">
      <c r="A4029" s="0" t="s">
        <v>8372</v>
      </c>
      <c r="B4029" s="0" t="s">
        <v>8373</v>
      </c>
      <c r="C4029" s="0" t="n">
        <v>4.21</v>
      </c>
    </row>
    <row r="4030" customFormat="false" ht="15" hidden="false" customHeight="false" outlineLevel="0" collapsed="false">
      <c r="A4030" s="0" t="s">
        <v>8374</v>
      </c>
      <c r="B4030" s="0" t="s">
        <v>8375</v>
      </c>
      <c r="C4030" s="0" t="n">
        <v>4.21</v>
      </c>
    </row>
    <row r="4031" customFormat="false" ht="15" hidden="false" customHeight="false" outlineLevel="0" collapsed="false">
      <c r="A4031" s="0" t="s">
        <v>8376</v>
      </c>
      <c r="B4031" s="0" t="s">
        <v>8377</v>
      </c>
      <c r="C4031" s="0" t="n">
        <v>4.21</v>
      </c>
    </row>
    <row r="4032" customFormat="false" ht="15" hidden="false" customHeight="false" outlineLevel="0" collapsed="false">
      <c r="A4032" s="0" t="s">
        <v>8378</v>
      </c>
      <c r="B4032" s="0" t="s">
        <v>8379</v>
      </c>
      <c r="C4032" s="0" t="n">
        <v>4.21</v>
      </c>
    </row>
    <row r="4033" customFormat="false" ht="15" hidden="false" customHeight="false" outlineLevel="0" collapsed="false">
      <c r="A4033" s="0" t="s">
        <v>8380</v>
      </c>
      <c r="B4033" s="0" t="s">
        <v>8381</v>
      </c>
      <c r="C4033" s="0" t="n">
        <v>4.21</v>
      </c>
    </row>
    <row r="4034" customFormat="false" ht="15" hidden="false" customHeight="false" outlineLevel="0" collapsed="false">
      <c r="A4034" s="0" t="s">
        <v>8382</v>
      </c>
      <c r="B4034" s="0" t="s">
        <v>8383</v>
      </c>
      <c r="C4034" s="0" t="n">
        <v>4.21</v>
      </c>
    </row>
    <row r="4035" customFormat="false" ht="15" hidden="false" customHeight="false" outlineLevel="0" collapsed="false">
      <c r="A4035" s="0" t="s">
        <v>8384</v>
      </c>
      <c r="B4035" s="0" t="s">
        <v>8385</v>
      </c>
      <c r="C4035" s="0" t="n">
        <v>0.42</v>
      </c>
    </row>
    <row r="4036" customFormat="false" ht="15" hidden="false" customHeight="false" outlineLevel="0" collapsed="false">
      <c r="A4036" s="0" t="s">
        <v>8386</v>
      </c>
      <c r="B4036" s="0" t="s">
        <v>8387</v>
      </c>
      <c r="C4036" s="0" t="n">
        <v>0.1</v>
      </c>
    </row>
    <row r="4037" customFormat="false" ht="15" hidden="false" customHeight="false" outlineLevel="0" collapsed="false">
      <c r="A4037" s="0" t="s">
        <v>8388</v>
      </c>
      <c r="B4037" s="0" t="s">
        <v>8389</v>
      </c>
      <c r="C4037" s="0" t="n">
        <v>0.42</v>
      </c>
    </row>
    <row r="4038" customFormat="false" ht="15" hidden="false" customHeight="false" outlineLevel="0" collapsed="false">
      <c r="A4038" s="0" t="s">
        <v>8390</v>
      </c>
      <c r="B4038" s="0" t="s">
        <v>8391</v>
      </c>
      <c r="C4038" s="0" t="n">
        <v>0.42</v>
      </c>
    </row>
    <row r="4039" customFormat="false" ht="15" hidden="false" customHeight="false" outlineLevel="0" collapsed="false">
      <c r="A4039" s="0" t="s">
        <v>8392</v>
      </c>
      <c r="B4039" s="0" t="s">
        <v>8393</v>
      </c>
      <c r="C4039" s="0" t="n">
        <v>0.42</v>
      </c>
    </row>
    <row r="4040" customFormat="false" ht="15" hidden="false" customHeight="false" outlineLevel="0" collapsed="false">
      <c r="A4040" s="0" t="s">
        <v>8394</v>
      </c>
      <c r="B4040" s="0" t="s">
        <v>8395</v>
      </c>
      <c r="C4040" s="0" t="n">
        <v>0.1</v>
      </c>
    </row>
    <row r="4041" customFormat="false" ht="15" hidden="false" customHeight="false" outlineLevel="0" collapsed="false">
      <c r="A4041" s="0" t="s">
        <v>8396</v>
      </c>
      <c r="B4041" s="0" t="s">
        <v>8397</v>
      </c>
      <c r="C4041" s="0" t="n">
        <v>0.42</v>
      </c>
    </row>
    <row r="4042" customFormat="false" ht="15" hidden="false" customHeight="false" outlineLevel="0" collapsed="false">
      <c r="A4042" s="0" t="s">
        <v>8398</v>
      </c>
      <c r="B4042" s="0" t="s">
        <v>8399</v>
      </c>
      <c r="C4042" s="0" t="n">
        <v>0.42</v>
      </c>
    </row>
    <row r="4043" customFormat="false" ht="15" hidden="false" customHeight="false" outlineLevel="0" collapsed="false">
      <c r="A4043" s="0" t="s">
        <v>8400</v>
      </c>
      <c r="B4043" s="0" t="s">
        <v>540</v>
      </c>
      <c r="C4043" s="0" t="n">
        <v>0.42</v>
      </c>
    </row>
    <row r="4044" customFormat="false" ht="15" hidden="false" customHeight="false" outlineLevel="0" collapsed="false">
      <c r="A4044" s="0" t="s">
        <v>8401</v>
      </c>
      <c r="B4044" s="0" t="s">
        <v>897</v>
      </c>
      <c r="C4044" s="0" t="n">
        <v>0.42</v>
      </c>
    </row>
    <row r="4045" customFormat="false" ht="15" hidden="false" customHeight="false" outlineLevel="0" collapsed="false">
      <c r="A4045" s="0" t="s">
        <v>8402</v>
      </c>
      <c r="B4045" s="0" t="s">
        <v>162</v>
      </c>
      <c r="C4045" s="0" t="n">
        <v>0.42</v>
      </c>
    </row>
    <row r="4046" customFormat="false" ht="15" hidden="false" customHeight="false" outlineLevel="0" collapsed="false">
      <c r="A4046" s="0" t="s">
        <v>8403</v>
      </c>
      <c r="B4046" s="0" t="s">
        <v>156</v>
      </c>
      <c r="C4046" s="0" t="n">
        <v>0.19</v>
      </c>
    </row>
    <row r="4047" customFormat="false" ht="15" hidden="false" customHeight="false" outlineLevel="0" collapsed="false">
      <c r="A4047" s="0" t="s">
        <v>8404</v>
      </c>
      <c r="B4047" s="0" t="s">
        <v>164</v>
      </c>
      <c r="C4047" s="0" t="n">
        <v>0.42</v>
      </c>
    </row>
    <row r="4048" customFormat="false" ht="15" hidden="false" customHeight="false" outlineLevel="0" collapsed="false">
      <c r="A4048" s="0" t="s">
        <v>8405</v>
      </c>
      <c r="B4048" s="0" t="s">
        <v>541</v>
      </c>
      <c r="C4048" s="0" t="n">
        <v>0.42</v>
      </c>
    </row>
    <row r="4049" customFormat="false" ht="15" hidden="false" customHeight="false" outlineLevel="0" collapsed="false">
      <c r="A4049" s="0" t="s">
        <v>8406</v>
      </c>
      <c r="B4049" s="0" t="s">
        <v>8407</v>
      </c>
      <c r="C4049" s="0" t="n">
        <v>0.42</v>
      </c>
    </row>
    <row r="4050" customFormat="false" ht="15" hidden="false" customHeight="false" outlineLevel="0" collapsed="false">
      <c r="A4050" s="0" t="s">
        <v>8408</v>
      </c>
      <c r="B4050" s="0" t="s">
        <v>8409</v>
      </c>
      <c r="C4050" s="0" t="n">
        <v>0.42</v>
      </c>
    </row>
    <row r="4051" customFormat="false" ht="15" hidden="false" customHeight="false" outlineLevel="0" collapsed="false">
      <c r="A4051" s="0" t="s">
        <v>8410</v>
      </c>
      <c r="B4051" s="0" t="s">
        <v>8411</v>
      </c>
      <c r="C4051" s="0" t="n">
        <v>0.42</v>
      </c>
    </row>
    <row r="4052" customFormat="false" ht="15" hidden="false" customHeight="false" outlineLevel="0" collapsed="false">
      <c r="A4052" s="0" t="s">
        <v>8412</v>
      </c>
      <c r="B4052" s="0" t="s">
        <v>8413</v>
      </c>
      <c r="C4052" s="0" t="n">
        <v>0.42</v>
      </c>
    </row>
    <row r="4053" customFormat="false" ht="15" hidden="false" customHeight="false" outlineLevel="0" collapsed="false">
      <c r="A4053" s="0" t="s">
        <v>8414</v>
      </c>
      <c r="B4053" s="0" t="s">
        <v>163</v>
      </c>
      <c r="C4053" s="0" t="n">
        <v>0.42</v>
      </c>
    </row>
    <row r="4054" customFormat="false" ht="15" hidden="false" customHeight="false" outlineLevel="0" collapsed="false">
      <c r="A4054" s="0" t="s">
        <v>8415</v>
      </c>
      <c r="B4054" s="0" t="s">
        <v>166</v>
      </c>
      <c r="C4054" s="0" t="n">
        <v>0.42</v>
      </c>
    </row>
    <row r="4055" customFormat="false" ht="15" hidden="false" customHeight="false" outlineLevel="0" collapsed="false">
      <c r="A4055" s="0" t="s">
        <v>8416</v>
      </c>
      <c r="B4055" s="0" t="s">
        <v>8417</v>
      </c>
      <c r="C4055" s="0" t="n">
        <v>0.42</v>
      </c>
    </row>
    <row r="4056" customFormat="false" ht="15" hidden="false" customHeight="false" outlineLevel="0" collapsed="false">
      <c r="A4056" s="0" t="s">
        <v>8418</v>
      </c>
      <c r="B4056" s="0" t="s">
        <v>159</v>
      </c>
      <c r="C4056" s="0" t="n">
        <v>0.42</v>
      </c>
    </row>
    <row r="4057" customFormat="false" ht="15" hidden="false" customHeight="false" outlineLevel="0" collapsed="false">
      <c r="A4057" s="0" t="s">
        <v>8419</v>
      </c>
      <c r="B4057" s="0" t="s">
        <v>8420</v>
      </c>
      <c r="C4057" s="0" t="n">
        <v>0.42</v>
      </c>
    </row>
    <row r="4058" customFormat="false" ht="15" hidden="false" customHeight="false" outlineLevel="0" collapsed="false">
      <c r="A4058" s="0" t="s">
        <v>8421</v>
      </c>
      <c r="B4058" s="0" t="s">
        <v>8422</v>
      </c>
      <c r="C4058" s="0" t="n">
        <v>0.1</v>
      </c>
    </row>
    <row r="4059" customFormat="false" ht="15" hidden="false" customHeight="false" outlineLevel="0" collapsed="false">
      <c r="A4059" s="0" t="s">
        <v>8423</v>
      </c>
      <c r="B4059" s="0" t="s">
        <v>8424</v>
      </c>
      <c r="C4059" s="0" t="n">
        <v>1.25</v>
      </c>
    </row>
    <row r="4060" customFormat="false" ht="15" hidden="false" customHeight="false" outlineLevel="0" collapsed="false">
      <c r="A4060" s="0" t="s">
        <v>8425</v>
      </c>
      <c r="B4060" s="0" t="s">
        <v>781</v>
      </c>
      <c r="C4060" s="0" t="n">
        <v>0.42</v>
      </c>
    </row>
    <row r="4061" customFormat="false" ht="15" hidden="false" customHeight="false" outlineLevel="0" collapsed="false">
      <c r="A4061" s="0" t="s">
        <v>8426</v>
      </c>
      <c r="B4061" s="0" t="s">
        <v>8427</v>
      </c>
      <c r="C4061" s="0" t="n">
        <v>0.42</v>
      </c>
    </row>
    <row r="4062" customFormat="false" ht="15" hidden="false" customHeight="false" outlineLevel="0" collapsed="false">
      <c r="A4062" s="0" t="s">
        <v>8428</v>
      </c>
      <c r="B4062" s="0" t="s">
        <v>8429</v>
      </c>
      <c r="C4062" s="0" t="n">
        <v>0.42</v>
      </c>
    </row>
    <row r="4063" customFormat="false" ht="15" hidden="false" customHeight="false" outlineLevel="0" collapsed="false">
      <c r="A4063" s="0" t="s">
        <v>8430</v>
      </c>
      <c r="B4063" s="0" t="s">
        <v>165</v>
      </c>
      <c r="C4063" s="0" t="n">
        <v>0.42</v>
      </c>
    </row>
    <row r="4064" customFormat="false" ht="15" hidden="false" customHeight="false" outlineLevel="0" collapsed="false">
      <c r="A4064" s="0" t="s">
        <v>8431</v>
      </c>
      <c r="B4064" s="0" t="s">
        <v>8432</v>
      </c>
      <c r="C4064" s="0" t="n">
        <v>0.42</v>
      </c>
    </row>
    <row r="4065" customFormat="false" ht="15" hidden="false" customHeight="false" outlineLevel="0" collapsed="false">
      <c r="A4065" s="0" t="s">
        <v>8433</v>
      </c>
      <c r="B4065" s="0" t="s">
        <v>167</v>
      </c>
      <c r="C4065" s="0" t="n">
        <v>0.42</v>
      </c>
    </row>
    <row r="4066" customFormat="false" ht="15" hidden="false" customHeight="false" outlineLevel="0" collapsed="false">
      <c r="A4066" s="0" t="s">
        <v>8434</v>
      </c>
      <c r="B4066" s="0" t="s">
        <v>8435</v>
      </c>
      <c r="C4066" s="0" t="n">
        <v>1.25</v>
      </c>
    </row>
    <row r="4067" customFormat="false" ht="15" hidden="false" customHeight="false" outlineLevel="0" collapsed="false">
      <c r="A4067" s="0" t="s">
        <v>8436</v>
      </c>
      <c r="B4067" s="0" t="s">
        <v>8437</v>
      </c>
      <c r="C4067" s="0" t="n">
        <v>3.75</v>
      </c>
    </row>
    <row r="4068" customFormat="false" ht="15" hidden="false" customHeight="false" outlineLevel="0" collapsed="false">
      <c r="A4068" s="0" t="s">
        <v>8438</v>
      </c>
      <c r="B4068" s="0" t="s">
        <v>8439</v>
      </c>
      <c r="C4068" s="0" t="n">
        <v>2.95</v>
      </c>
    </row>
    <row r="4069" customFormat="false" ht="15" hidden="false" customHeight="false" outlineLevel="0" collapsed="false">
      <c r="A4069" s="0" t="s">
        <v>8440</v>
      </c>
      <c r="B4069" s="0" t="s">
        <v>8441</v>
      </c>
      <c r="C4069" s="0" t="n">
        <v>4.95</v>
      </c>
    </row>
    <row r="4070" customFormat="false" ht="15" hidden="false" customHeight="false" outlineLevel="0" collapsed="false">
      <c r="A4070" s="0" t="s">
        <v>8442</v>
      </c>
      <c r="B4070" s="0" t="s">
        <v>8443</v>
      </c>
      <c r="C4070" s="0" t="n">
        <v>7.95</v>
      </c>
    </row>
    <row r="4071" customFormat="false" ht="15" hidden="false" customHeight="false" outlineLevel="0" collapsed="false">
      <c r="A4071" s="0" t="s">
        <v>8444</v>
      </c>
      <c r="B4071" s="0" t="s">
        <v>8445</v>
      </c>
      <c r="C4071" s="0" t="n">
        <v>1.95</v>
      </c>
    </row>
    <row r="4072" customFormat="false" ht="15" hidden="false" customHeight="false" outlineLevel="0" collapsed="false">
      <c r="A4072" s="0" t="s">
        <v>8446</v>
      </c>
      <c r="B4072" s="0" t="s">
        <v>8447</v>
      </c>
      <c r="C4072" s="0" t="n">
        <v>1.66</v>
      </c>
    </row>
    <row r="4073" customFormat="false" ht="15" hidden="false" customHeight="false" outlineLevel="0" collapsed="false">
      <c r="A4073" s="0" t="s">
        <v>8448</v>
      </c>
      <c r="B4073" s="0" t="s">
        <v>8449</v>
      </c>
      <c r="C4073" s="0" t="n">
        <v>2.1</v>
      </c>
    </row>
    <row r="4074" customFormat="false" ht="15" hidden="false" customHeight="false" outlineLevel="0" collapsed="false">
      <c r="A4074" s="0" t="s">
        <v>8450</v>
      </c>
      <c r="B4074" s="0" t="s">
        <v>8451</v>
      </c>
      <c r="C4074" s="0" t="n">
        <v>5.95</v>
      </c>
    </row>
    <row r="4075" customFormat="false" ht="15" hidden="false" customHeight="false" outlineLevel="0" collapsed="false">
      <c r="A4075" s="0" t="s">
        <v>8452</v>
      </c>
      <c r="B4075" s="0" t="s">
        <v>8453</v>
      </c>
      <c r="C4075" s="0" t="n">
        <v>4.21</v>
      </c>
    </row>
    <row r="4076" customFormat="false" ht="15" hidden="false" customHeight="false" outlineLevel="0" collapsed="false">
      <c r="A4076" s="0" t="s">
        <v>8454</v>
      </c>
      <c r="B4076" s="0" t="s">
        <v>8455</v>
      </c>
      <c r="C4076" s="0" t="n">
        <v>1.49</v>
      </c>
    </row>
    <row r="4077" customFormat="false" ht="15" hidden="false" customHeight="false" outlineLevel="0" collapsed="false">
      <c r="A4077" s="0" t="s">
        <v>8456</v>
      </c>
      <c r="B4077" s="0" t="s">
        <v>8457</v>
      </c>
      <c r="C4077" s="0" t="n">
        <v>2.95</v>
      </c>
    </row>
    <row r="4078" customFormat="false" ht="15" hidden="false" customHeight="false" outlineLevel="0" collapsed="false">
      <c r="A4078" s="0" t="s">
        <v>8458</v>
      </c>
      <c r="B4078" s="0" t="s">
        <v>8459</v>
      </c>
      <c r="C4078" s="0" t="n">
        <v>3.75</v>
      </c>
    </row>
    <row r="4079" customFormat="false" ht="15" hidden="false" customHeight="false" outlineLevel="0" collapsed="false">
      <c r="A4079" s="0" t="s">
        <v>8460</v>
      </c>
      <c r="B4079" s="0" t="s">
        <v>8461</v>
      </c>
      <c r="C4079" s="0" t="n">
        <v>1.25</v>
      </c>
    </row>
    <row r="4080" customFormat="false" ht="15" hidden="false" customHeight="false" outlineLevel="0" collapsed="false">
      <c r="A4080" s="0" t="s">
        <v>8462</v>
      </c>
      <c r="B4080" s="0" t="s">
        <v>8463</v>
      </c>
      <c r="C4080" s="0" t="n">
        <v>4.65</v>
      </c>
    </row>
    <row r="4081" customFormat="false" ht="15" hidden="false" customHeight="false" outlineLevel="0" collapsed="false">
      <c r="A4081" s="0" t="s">
        <v>8464</v>
      </c>
      <c r="B4081" s="0" t="s">
        <v>8465</v>
      </c>
      <c r="C4081" s="0" t="n">
        <v>7.95</v>
      </c>
    </row>
    <row r="4082" customFormat="false" ht="15" hidden="false" customHeight="false" outlineLevel="0" collapsed="false">
      <c r="A4082" s="0" t="s">
        <v>8466</v>
      </c>
      <c r="B4082" s="0" t="s">
        <v>8467</v>
      </c>
      <c r="C4082" s="0" t="n">
        <v>2.95</v>
      </c>
    </row>
    <row r="4083" customFormat="false" ht="15" hidden="false" customHeight="false" outlineLevel="0" collapsed="false">
      <c r="A4083" s="0" t="s">
        <v>8468</v>
      </c>
      <c r="B4083" s="0" t="s">
        <v>8469</v>
      </c>
      <c r="C4083" s="0" t="n">
        <v>2.95</v>
      </c>
    </row>
    <row r="4084" customFormat="false" ht="15" hidden="false" customHeight="false" outlineLevel="0" collapsed="false">
      <c r="A4084" s="0" t="s">
        <v>8470</v>
      </c>
      <c r="B4084" s="0" t="s">
        <v>8471</v>
      </c>
      <c r="C4084" s="0" t="n">
        <v>1.65</v>
      </c>
    </row>
    <row r="4085" customFormat="false" ht="15" hidden="false" customHeight="false" outlineLevel="0" collapsed="false">
      <c r="A4085" s="0" t="s">
        <v>8472</v>
      </c>
      <c r="B4085" s="0" t="s">
        <v>8473</v>
      </c>
      <c r="C4085" s="0" t="n">
        <v>1.95</v>
      </c>
    </row>
    <row r="4086" customFormat="false" ht="15" hidden="false" customHeight="false" outlineLevel="0" collapsed="false">
      <c r="A4086" s="0" t="s">
        <v>8474</v>
      </c>
      <c r="B4086" s="0" t="s">
        <v>207</v>
      </c>
      <c r="C4086" s="0" t="n">
        <v>1.69</v>
      </c>
    </row>
    <row r="4087" customFormat="false" ht="15" hidden="false" customHeight="false" outlineLevel="0" collapsed="false">
      <c r="A4087" s="0" t="s">
        <v>8475</v>
      </c>
      <c r="B4087" s="0" t="s">
        <v>8476</v>
      </c>
      <c r="C4087" s="0" t="n">
        <v>2.1</v>
      </c>
    </row>
    <row r="4088" customFormat="false" ht="15" hidden="false" customHeight="false" outlineLevel="0" collapsed="false">
      <c r="A4088" s="0" t="s">
        <v>8477</v>
      </c>
      <c r="B4088" s="0" t="s">
        <v>8478</v>
      </c>
      <c r="C4088" s="0" t="n">
        <v>2.55</v>
      </c>
    </row>
    <row r="4089" customFormat="false" ht="15" hidden="false" customHeight="false" outlineLevel="0" collapsed="false">
      <c r="A4089" s="0" t="s">
        <v>8479</v>
      </c>
      <c r="B4089" s="0" t="s">
        <v>8480</v>
      </c>
      <c r="C4089" s="0" t="n">
        <v>1.25</v>
      </c>
    </row>
    <row r="4090" customFormat="false" ht="15" hidden="false" customHeight="false" outlineLevel="0" collapsed="false">
      <c r="A4090" s="0" t="s">
        <v>8481</v>
      </c>
      <c r="B4090" s="0" t="s">
        <v>657</v>
      </c>
      <c r="C4090" s="0" t="n">
        <v>1.69</v>
      </c>
    </row>
    <row r="4091" customFormat="false" ht="15" hidden="false" customHeight="false" outlineLevel="0" collapsed="false">
      <c r="A4091" s="0" t="s">
        <v>8482</v>
      </c>
      <c r="B4091" s="0" t="s">
        <v>8483</v>
      </c>
      <c r="C4091" s="0" t="n">
        <v>6.04</v>
      </c>
    </row>
    <row r="4092" customFormat="false" ht="15" hidden="false" customHeight="false" outlineLevel="0" collapsed="false">
      <c r="A4092" s="0" t="s">
        <v>8484</v>
      </c>
      <c r="B4092" s="0" t="s">
        <v>8485</v>
      </c>
      <c r="C4092" s="0" t="n">
        <v>6.35</v>
      </c>
    </row>
    <row r="4093" customFormat="false" ht="15" hidden="false" customHeight="false" outlineLevel="0" collapsed="false">
      <c r="A4093" s="0" t="s">
        <v>8486</v>
      </c>
      <c r="B4093" s="0" t="s">
        <v>8487</v>
      </c>
      <c r="C4093" s="0" t="n">
        <v>3.75</v>
      </c>
    </row>
    <row r="4094" customFormat="false" ht="15" hidden="false" customHeight="false" outlineLevel="0" collapsed="false">
      <c r="A4094" s="0" t="s">
        <v>8488</v>
      </c>
      <c r="B4094" s="0" t="s">
        <v>8489</v>
      </c>
      <c r="C4094" s="0" t="n">
        <v>2.95</v>
      </c>
    </row>
    <row r="4095" customFormat="false" ht="15" hidden="false" customHeight="false" outlineLevel="0" collapsed="false">
      <c r="A4095" s="0" t="s">
        <v>8490</v>
      </c>
      <c r="B4095" s="0" t="s">
        <v>8491</v>
      </c>
      <c r="C4095" s="0" t="n">
        <v>3.75</v>
      </c>
    </row>
    <row r="4096" customFormat="false" ht="15" hidden="false" customHeight="false" outlineLevel="0" collapsed="false">
      <c r="A4096" s="0" t="s">
        <v>8492</v>
      </c>
      <c r="B4096" s="0" t="s">
        <v>8493</v>
      </c>
      <c r="C4096" s="0" t="n">
        <v>2.95</v>
      </c>
    </row>
    <row r="4097" customFormat="false" ht="15" hidden="false" customHeight="false" outlineLevel="0" collapsed="false">
      <c r="A4097" s="0" t="s">
        <v>8494</v>
      </c>
      <c r="B4097" s="0" t="s">
        <v>8495</v>
      </c>
      <c r="C4097" s="0" t="n">
        <v>1.25</v>
      </c>
    </row>
    <row r="4098" customFormat="false" ht="15" hidden="false" customHeight="false" outlineLevel="0" collapsed="false">
      <c r="A4098" s="0" t="s">
        <v>8496</v>
      </c>
      <c r="B4098" s="0" t="s">
        <v>8497</v>
      </c>
      <c r="C4098" s="0" t="n">
        <v>5.95</v>
      </c>
    </row>
    <row r="4099" customFormat="false" ht="15" hidden="false" customHeight="false" outlineLevel="0" collapsed="false">
      <c r="A4099" s="0" t="s">
        <v>8498</v>
      </c>
      <c r="B4099" s="0" t="s">
        <v>8499</v>
      </c>
      <c r="C4099" s="0" t="n">
        <v>1.25</v>
      </c>
    </row>
    <row r="4100" customFormat="false" ht="15" hidden="false" customHeight="false" outlineLevel="0" collapsed="false">
      <c r="A4100" s="0" t="s">
        <v>8500</v>
      </c>
      <c r="B4100" s="0" t="s">
        <v>8501</v>
      </c>
      <c r="C4100" s="0" t="n">
        <v>5.95</v>
      </c>
    </row>
    <row r="4101" customFormat="false" ht="15" hidden="false" customHeight="false" outlineLevel="0" collapsed="false">
      <c r="A4101" s="0" t="s">
        <v>8502</v>
      </c>
      <c r="B4101" s="0" t="s">
        <v>8503</v>
      </c>
      <c r="C4101" s="0" t="n">
        <v>3.95</v>
      </c>
    </row>
    <row r="4102" customFormat="false" ht="15" hidden="false" customHeight="false" outlineLevel="0" collapsed="false">
      <c r="A4102" s="0" t="s">
        <v>8504</v>
      </c>
      <c r="B4102" s="0" t="s">
        <v>8505</v>
      </c>
      <c r="C4102" s="0" t="n">
        <v>0.85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sheetData>
    <row r="1" customFormat="false" ht="15" hidden="false" customHeight="false" outlineLevel="0" collapsed="false">
      <c r="A1" s="2" t="s">
        <v>19</v>
      </c>
      <c r="B1" s="0" t="s">
        <v>775</v>
      </c>
      <c r="C1" s="0" t="s">
        <v>153</v>
      </c>
      <c r="D1" s="0" t="s">
        <v>418</v>
      </c>
      <c r="E1" s="0" t="s">
        <v>459</v>
      </c>
      <c r="F1" s="0" t="s">
        <v>41</v>
      </c>
      <c r="G1" s="0" t="s">
        <v>92</v>
      </c>
      <c r="H1" s="0" t="s">
        <v>81</v>
      </c>
      <c r="I1" s="0" t="s">
        <v>29</v>
      </c>
      <c r="J1" s="0" t="s">
        <v>493</v>
      </c>
      <c r="K1" s="0" t="s">
        <v>723</v>
      </c>
      <c r="L1" s="0" t="s">
        <v>487</v>
      </c>
      <c r="M1" s="0" t="s">
        <v>683</v>
      </c>
      <c r="N1" s="0" t="s">
        <v>425</v>
      </c>
      <c r="O1" s="0" t="s">
        <v>180</v>
      </c>
      <c r="P1" s="0" t="s">
        <v>524</v>
      </c>
      <c r="Q1" s="0" t="s">
        <v>436</v>
      </c>
      <c r="R1" s="0" t="s">
        <v>226</v>
      </c>
      <c r="S1" s="0" t="s">
        <v>8506</v>
      </c>
    </row>
    <row r="2" customFormat="false" ht="15" hidden="false" customHeight="false" outlineLevel="0" collapsed="false">
      <c r="A2" s="2" t="s">
        <v>25</v>
      </c>
      <c r="B2" s="0" t="s">
        <v>8507</v>
      </c>
      <c r="C2" s="0" t="s">
        <v>8507</v>
      </c>
      <c r="D2" s="0" t="s">
        <v>8508</v>
      </c>
      <c r="E2" s="0" t="s">
        <v>8507</v>
      </c>
      <c r="F2" s="0" t="s">
        <v>8507</v>
      </c>
      <c r="G2" s="0" t="s">
        <v>8507</v>
      </c>
      <c r="H2" s="0" t="s">
        <v>8507</v>
      </c>
      <c r="I2" s="0" t="s">
        <v>8507</v>
      </c>
      <c r="J2" s="0" t="s">
        <v>8507</v>
      </c>
      <c r="K2" s="0" t="s">
        <v>8508</v>
      </c>
      <c r="L2" s="0" t="s">
        <v>8507</v>
      </c>
      <c r="M2" s="0" t="s">
        <v>8507</v>
      </c>
      <c r="N2" s="0" t="s">
        <v>8508</v>
      </c>
      <c r="O2" s="0" t="s">
        <v>8507</v>
      </c>
      <c r="P2" s="0" t="s">
        <v>8507</v>
      </c>
      <c r="Q2" s="0" t="s">
        <v>8507</v>
      </c>
      <c r="R2" s="0" t="s">
        <v>8508</v>
      </c>
      <c r="S2" s="0" t="s">
        <v>8507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2" t="s">
        <v>8509</v>
      </c>
      <c r="B1" s="2" t="s">
        <v>8510</v>
      </c>
    </row>
    <row r="2" customFormat="false" ht="15" hidden="false" customHeight="false" outlineLevel="0" collapsed="false">
      <c r="A2" s="0" t="s">
        <v>8511</v>
      </c>
      <c r="B2" s="7" t="n">
        <f aca="false">COUNTIF(Orders!G2:G1519,"NOT IN CATALOG")</f>
        <v>440</v>
      </c>
    </row>
    <row r="3" customFormat="false" ht="15" hidden="false" customHeight="false" outlineLevel="0" collapsed="false">
      <c r="A3" s="0" t="s">
        <v>8512</v>
      </c>
      <c r="B3" s="7" t="n">
        <f aca="false">COUNTIF(Orders!K2:K1519,"&gt;0")</f>
        <v>260</v>
      </c>
    </row>
    <row r="4" customFormat="false" ht="15" hidden="false" customHeight="false" outlineLevel="0" collapsed="false">
      <c r="A4" s="0" t="s">
        <v>8513</v>
      </c>
      <c r="B4" s="7" t="n">
        <f aca="false">SUM(Orders!J2:J1519)</f>
        <v>46188.59</v>
      </c>
    </row>
    <row r="5" customFormat="false" ht="15" hidden="false" customHeight="false" outlineLevel="0" collapsed="false">
      <c r="A5" s="0" t="s">
        <v>8514</v>
      </c>
      <c r="B5" s="7" t="n">
        <f aca="false">SUMIFS(Orders!J2:J1519,Orders!G2:G1519,"NOT IN CATALOG")</f>
        <v>17297.98</v>
      </c>
    </row>
    <row r="6" customFormat="false" ht="15" hidden="false" customHeight="false" outlineLevel="0" collapsed="false">
      <c r="A6" s="0" t="s">
        <v>8515</v>
      </c>
      <c r="B6" s="8" t="n">
        <f aca="false">SUMIFS(Orders!J2:J1519,Orders!I2:I1519,"EU")/B4</f>
        <v>0.911359926769793</v>
      </c>
    </row>
    <row r="8" customFormat="false" ht="15" hidden="false" customHeight="false" outlineLevel="0" collapsed="false">
      <c r="A8" s="0" t="s">
        <v>8516</v>
      </c>
      <c r="B8" s="0" t="s">
        <v>54</v>
      </c>
    </row>
    <row r="9" customFormat="false" ht="15" hidden="false" customHeight="false" outlineLevel="0" collapsed="false">
      <c r="A9" s="0" t="s">
        <v>8517</v>
      </c>
      <c r="B9" s="7" t="n">
        <f aca="false">INDEX(Catalog!$C$2:$C$4102,MATCH(B8,Catalog!$B$2:$B$4102,0))</f>
        <v>12.75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2026-10-30T04:37:45Z</dcterms:created>
  <dc:creator>openpyxl</dc:creator>
  <dc:description/>
  <dc:language>en-US</dc:language>
  <cp:lastModifiedBy/>
  <dcterms:modified xsi:type="dcterms:W3CDTF">2026-10-30T04:37:45Z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